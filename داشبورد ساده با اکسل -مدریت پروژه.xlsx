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theme/themeOverride6.xml" ContentType="application/vnd.openxmlformats-officedocument.themeOverrid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8.xml" ContentType="application/vnd.openxmlformats-officedocument.themeOverrid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9.xml" ContentType="application/vnd.openxmlformats-officedocument.themeOverrid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0.xml" ContentType="application/vnd.openxmlformats-officedocument.themeOverrid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1.xml" ContentType="application/vnd.openxmlformats-officedocument.themeOverrid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min\OneDrive\Desktop\"/>
    </mc:Choice>
  </mc:AlternateContent>
  <xr:revisionPtr revIDLastSave="0" documentId="13_ncr:1_{8C8A13C7-34CC-4FE8-A105-AF185CCF542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Data" sheetId="3" state="hidden" r:id="rId1"/>
    <sheet name="Dashboar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1" l="1"/>
  <c r="D26" i="1" s="1"/>
  <c r="D28" i="1" s="1"/>
  <c r="M26" i="1"/>
  <c r="N26" i="1" s="1"/>
  <c r="N28" i="1" s="1"/>
  <c r="K26" i="1"/>
  <c r="L26" i="1" s="1"/>
  <c r="L28" i="1" s="1"/>
  <c r="I26" i="1"/>
  <c r="J26" i="1" s="1"/>
  <c r="J28" i="1" s="1"/>
  <c r="G26" i="1"/>
  <c r="H26" i="1" s="1"/>
  <c r="H28" i="1" s="1"/>
  <c r="E26" i="1"/>
  <c r="F26" i="1" s="1"/>
  <c r="F28" i="1" s="1"/>
  <c r="A26" i="1"/>
  <c r="B26" i="1" s="1"/>
  <c r="B28" i="1" s="1"/>
  <c r="G7" i="3" l="1"/>
  <c r="G11" i="3"/>
  <c r="G15" i="3"/>
  <c r="G31" i="3"/>
  <c r="G35" i="3"/>
  <c r="G39" i="3"/>
  <c r="G43" i="3"/>
  <c r="G47" i="3"/>
  <c r="G51" i="3"/>
  <c r="G59" i="3"/>
  <c r="G63" i="3"/>
  <c r="G67" i="3"/>
  <c r="G71" i="3"/>
  <c r="G75" i="3"/>
  <c r="G79" i="3"/>
  <c r="G87" i="3"/>
  <c r="G91" i="3"/>
  <c r="G95" i="3"/>
  <c r="G99" i="3"/>
  <c r="G103" i="3"/>
  <c r="G111" i="3"/>
  <c r="G115" i="3"/>
  <c r="G119" i="3"/>
  <c r="G127" i="3"/>
  <c r="G131" i="3"/>
  <c r="G135" i="3"/>
  <c r="G139" i="3"/>
  <c r="G143" i="3"/>
  <c r="G147" i="3"/>
  <c r="G155" i="3"/>
  <c r="G163" i="3"/>
  <c r="G167" i="3"/>
  <c r="G171" i="3"/>
  <c r="G175" i="3"/>
  <c r="G179" i="3"/>
  <c r="G183" i="3"/>
  <c r="G187" i="3"/>
  <c r="G191" i="3"/>
  <c r="G195" i="3"/>
  <c r="G199" i="3"/>
  <c r="G211" i="3"/>
  <c r="G215" i="3"/>
  <c r="G219" i="3"/>
  <c r="G223" i="3"/>
  <c r="G227" i="3"/>
  <c r="G231" i="3"/>
  <c r="G235" i="3"/>
  <c r="G243" i="3"/>
  <c r="G247" i="3"/>
  <c r="G251" i="3"/>
  <c r="G255" i="3"/>
  <c r="G259" i="3"/>
  <c r="F2" i="3"/>
  <c r="AU262" i="3"/>
  <c r="AS262" i="3"/>
  <c r="AQ262" i="3"/>
  <c r="AB262" i="3"/>
  <c r="AA262" i="3"/>
  <c r="Z262" i="3"/>
  <c r="Y262" i="3"/>
  <c r="X262" i="3"/>
  <c r="W262" i="3"/>
  <c r="O262" i="3"/>
  <c r="V262" i="3" s="1"/>
  <c r="K262" i="3"/>
  <c r="AW262" i="3" s="1"/>
  <c r="C262" i="3"/>
  <c r="G262" i="3" s="1"/>
  <c r="AU261" i="3"/>
  <c r="AS261" i="3"/>
  <c r="AQ261" i="3"/>
  <c r="AB261" i="3"/>
  <c r="AA261" i="3"/>
  <c r="Z261" i="3"/>
  <c r="Y261" i="3"/>
  <c r="X261" i="3"/>
  <c r="W261" i="3"/>
  <c r="O261" i="3"/>
  <c r="V261" i="3" s="1"/>
  <c r="K261" i="3"/>
  <c r="AW261" i="3" s="1"/>
  <c r="C261" i="3"/>
  <c r="G261" i="3" s="1"/>
  <c r="AU260" i="3"/>
  <c r="AS260" i="3"/>
  <c r="AQ260" i="3"/>
  <c r="AB260" i="3"/>
  <c r="AA260" i="3"/>
  <c r="Z260" i="3"/>
  <c r="Y260" i="3"/>
  <c r="X260" i="3"/>
  <c r="W260" i="3"/>
  <c r="O260" i="3"/>
  <c r="V260" i="3" s="1"/>
  <c r="K260" i="3"/>
  <c r="AW260" i="3" s="1"/>
  <c r="C260" i="3"/>
  <c r="G260" i="3" s="1"/>
  <c r="AU259" i="3"/>
  <c r="AS259" i="3"/>
  <c r="AQ259" i="3"/>
  <c r="AB259" i="3"/>
  <c r="AA259" i="3"/>
  <c r="Z259" i="3"/>
  <c r="Y259" i="3"/>
  <c r="X259" i="3"/>
  <c r="W259" i="3"/>
  <c r="O259" i="3"/>
  <c r="V259" i="3" s="1"/>
  <c r="K259" i="3"/>
  <c r="AW259" i="3" s="1"/>
  <c r="C259" i="3"/>
  <c r="AU258" i="3"/>
  <c r="AS258" i="3"/>
  <c r="AQ258" i="3"/>
  <c r="AB258" i="3"/>
  <c r="AA258" i="3"/>
  <c r="Z258" i="3"/>
  <c r="Y258" i="3"/>
  <c r="X258" i="3"/>
  <c r="W258" i="3"/>
  <c r="O258" i="3"/>
  <c r="V258" i="3" s="1"/>
  <c r="K258" i="3"/>
  <c r="AW258" i="3" s="1"/>
  <c r="C258" i="3"/>
  <c r="G258" i="3" s="1"/>
  <c r="AU257" i="3"/>
  <c r="AS257" i="3"/>
  <c r="AQ257" i="3"/>
  <c r="AB257" i="3"/>
  <c r="AA257" i="3"/>
  <c r="Z257" i="3"/>
  <c r="Y257" i="3"/>
  <c r="X257" i="3"/>
  <c r="W257" i="3"/>
  <c r="O257" i="3"/>
  <c r="V257" i="3" s="1"/>
  <c r="K257" i="3"/>
  <c r="AW257" i="3" s="1"/>
  <c r="C257" i="3"/>
  <c r="G257" i="3" s="1"/>
  <c r="AU256" i="3"/>
  <c r="AS256" i="3"/>
  <c r="AQ256" i="3"/>
  <c r="AB256" i="3"/>
  <c r="AA256" i="3"/>
  <c r="Z256" i="3"/>
  <c r="Y256" i="3"/>
  <c r="X256" i="3"/>
  <c r="W256" i="3"/>
  <c r="O256" i="3"/>
  <c r="V256" i="3" s="1"/>
  <c r="K256" i="3"/>
  <c r="AW256" i="3" s="1"/>
  <c r="C256" i="3"/>
  <c r="G256" i="3" s="1"/>
  <c r="AU255" i="3"/>
  <c r="AS255" i="3"/>
  <c r="AQ255" i="3"/>
  <c r="AB255" i="3"/>
  <c r="AA255" i="3"/>
  <c r="Z255" i="3"/>
  <c r="Y255" i="3"/>
  <c r="X255" i="3"/>
  <c r="W255" i="3"/>
  <c r="O255" i="3"/>
  <c r="V255" i="3" s="1"/>
  <c r="K255" i="3"/>
  <c r="AW255" i="3" s="1"/>
  <c r="C255" i="3"/>
  <c r="AU254" i="3"/>
  <c r="AS254" i="3"/>
  <c r="AQ254" i="3"/>
  <c r="AB254" i="3"/>
  <c r="AA254" i="3"/>
  <c r="Z254" i="3"/>
  <c r="Y254" i="3"/>
  <c r="X254" i="3"/>
  <c r="W254" i="3"/>
  <c r="O254" i="3"/>
  <c r="V254" i="3" s="1"/>
  <c r="K254" i="3"/>
  <c r="AW254" i="3" s="1"/>
  <c r="C254" i="3"/>
  <c r="G254" i="3" s="1"/>
  <c r="AU253" i="3"/>
  <c r="AS253" i="3"/>
  <c r="AQ253" i="3"/>
  <c r="AB253" i="3"/>
  <c r="AA253" i="3"/>
  <c r="Z253" i="3"/>
  <c r="Y253" i="3"/>
  <c r="X253" i="3"/>
  <c r="W253" i="3"/>
  <c r="O253" i="3"/>
  <c r="V253" i="3" s="1"/>
  <c r="K253" i="3"/>
  <c r="AW253" i="3" s="1"/>
  <c r="C253" i="3"/>
  <c r="G253" i="3" s="1"/>
  <c r="AU252" i="3"/>
  <c r="AS252" i="3"/>
  <c r="AQ252" i="3"/>
  <c r="AB252" i="3"/>
  <c r="AA252" i="3"/>
  <c r="Z252" i="3"/>
  <c r="Y252" i="3"/>
  <c r="X252" i="3"/>
  <c r="W252" i="3"/>
  <c r="O252" i="3"/>
  <c r="V252" i="3" s="1"/>
  <c r="K252" i="3"/>
  <c r="AW252" i="3" s="1"/>
  <c r="C252" i="3"/>
  <c r="G252" i="3" s="1"/>
  <c r="AU251" i="3"/>
  <c r="AS251" i="3"/>
  <c r="AQ251" i="3"/>
  <c r="AB251" i="3"/>
  <c r="AA251" i="3"/>
  <c r="Z251" i="3"/>
  <c r="Y251" i="3"/>
  <c r="X251" i="3"/>
  <c r="W251" i="3"/>
  <c r="O251" i="3"/>
  <c r="V251" i="3" s="1"/>
  <c r="K251" i="3"/>
  <c r="AW251" i="3" s="1"/>
  <c r="C251" i="3"/>
  <c r="AU250" i="3"/>
  <c r="AS250" i="3"/>
  <c r="AQ250" i="3"/>
  <c r="AB250" i="3"/>
  <c r="AA250" i="3"/>
  <c r="Z250" i="3"/>
  <c r="Y250" i="3"/>
  <c r="X250" i="3"/>
  <c r="W250" i="3"/>
  <c r="O250" i="3"/>
  <c r="V250" i="3" s="1"/>
  <c r="K250" i="3"/>
  <c r="AW250" i="3" s="1"/>
  <c r="C250" i="3"/>
  <c r="G250" i="3" s="1"/>
  <c r="AU249" i="3"/>
  <c r="AS249" i="3"/>
  <c r="AQ249" i="3"/>
  <c r="AB249" i="3"/>
  <c r="AA249" i="3"/>
  <c r="Z249" i="3"/>
  <c r="Y249" i="3"/>
  <c r="X249" i="3"/>
  <c r="W249" i="3"/>
  <c r="O249" i="3"/>
  <c r="V249" i="3" s="1"/>
  <c r="K249" i="3"/>
  <c r="AW249" i="3" s="1"/>
  <c r="C249" i="3"/>
  <c r="G249" i="3" s="1"/>
  <c r="AU248" i="3"/>
  <c r="AS248" i="3"/>
  <c r="AQ248" i="3"/>
  <c r="AB248" i="3"/>
  <c r="AA248" i="3"/>
  <c r="Z248" i="3"/>
  <c r="Y248" i="3"/>
  <c r="X248" i="3"/>
  <c r="W248" i="3"/>
  <c r="O248" i="3"/>
  <c r="V248" i="3" s="1"/>
  <c r="K248" i="3"/>
  <c r="AW248" i="3" s="1"/>
  <c r="C248" i="3"/>
  <c r="G248" i="3" s="1"/>
  <c r="AU247" i="3"/>
  <c r="AQ247" i="3"/>
  <c r="AB247" i="3"/>
  <c r="AA247" i="3"/>
  <c r="Z247" i="3"/>
  <c r="Y247" i="3"/>
  <c r="X247" i="3"/>
  <c r="W247" i="3"/>
  <c r="O247" i="3"/>
  <c r="V247" i="3" s="1"/>
  <c r="K247" i="3"/>
  <c r="AW247" i="3" s="1"/>
  <c r="C247" i="3"/>
  <c r="AU246" i="3"/>
  <c r="AQ246" i="3"/>
  <c r="AB246" i="3"/>
  <c r="AA246" i="3"/>
  <c r="Z246" i="3"/>
  <c r="Y246" i="3"/>
  <c r="X246" i="3"/>
  <c r="W246" i="3"/>
  <c r="O246" i="3"/>
  <c r="V246" i="3" s="1"/>
  <c r="K246" i="3"/>
  <c r="AW246" i="3" s="1"/>
  <c r="C246" i="3"/>
  <c r="G246" i="3" s="1"/>
  <c r="AU245" i="3"/>
  <c r="AQ245" i="3"/>
  <c r="AB245" i="3"/>
  <c r="AA245" i="3"/>
  <c r="Z245" i="3"/>
  <c r="Y245" i="3"/>
  <c r="X245" i="3"/>
  <c r="W245" i="3"/>
  <c r="O245" i="3"/>
  <c r="V245" i="3" s="1"/>
  <c r="K245" i="3"/>
  <c r="AW245" i="3" s="1"/>
  <c r="C245" i="3"/>
  <c r="G245" i="3" s="1"/>
  <c r="AU244" i="3"/>
  <c r="AQ244" i="3"/>
  <c r="AB244" i="3"/>
  <c r="AA244" i="3"/>
  <c r="Z244" i="3"/>
  <c r="Y244" i="3"/>
  <c r="X244" i="3"/>
  <c r="W244" i="3"/>
  <c r="O244" i="3"/>
  <c r="V244" i="3" s="1"/>
  <c r="K244" i="3"/>
  <c r="AW244" i="3" s="1"/>
  <c r="C244" i="3"/>
  <c r="G244" i="3" s="1"/>
  <c r="AU243" i="3"/>
  <c r="AQ243" i="3"/>
  <c r="AB243" i="3"/>
  <c r="AA243" i="3"/>
  <c r="Z243" i="3"/>
  <c r="Y243" i="3"/>
  <c r="X243" i="3"/>
  <c r="W243" i="3"/>
  <c r="O243" i="3"/>
  <c r="V243" i="3" s="1"/>
  <c r="K243" i="3"/>
  <c r="AW243" i="3" s="1"/>
  <c r="C243" i="3"/>
  <c r="AU242" i="3"/>
  <c r="AQ242" i="3"/>
  <c r="AB242" i="3"/>
  <c r="AA242" i="3"/>
  <c r="Z242" i="3"/>
  <c r="Y242" i="3"/>
  <c r="X242" i="3"/>
  <c r="W242" i="3"/>
  <c r="O242" i="3"/>
  <c r="V242" i="3" s="1"/>
  <c r="K242" i="3"/>
  <c r="AW242" i="3" s="1"/>
  <c r="C242" i="3"/>
  <c r="G242" i="3" s="1"/>
  <c r="AU241" i="3"/>
  <c r="AQ241" i="3"/>
  <c r="AB241" i="3"/>
  <c r="AA241" i="3"/>
  <c r="Z241" i="3"/>
  <c r="Y241" i="3"/>
  <c r="X241" i="3"/>
  <c r="W241" i="3"/>
  <c r="O241" i="3"/>
  <c r="V241" i="3" s="1"/>
  <c r="K241" i="3"/>
  <c r="AW241" i="3" s="1"/>
  <c r="C241" i="3"/>
  <c r="G241" i="3" s="1"/>
  <c r="AU240" i="3"/>
  <c r="AQ240" i="3"/>
  <c r="AB240" i="3"/>
  <c r="AA240" i="3"/>
  <c r="Z240" i="3"/>
  <c r="Y240" i="3"/>
  <c r="X240" i="3"/>
  <c r="W240" i="3"/>
  <c r="O240" i="3"/>
  <c r="V240" i="3" s="1"/>
  <c r="K240" i="3"/>
  <c r="AW240" i="3" s="1"/>
  <c r="C240" i="3"/>
  <c r="G240" i="3" s="1"/>
  <c r="AW239" i="3"/>
  <c r="AU239" i="3"/>
  <c r="AQ239" i="3"/>
  <c r="AB239" i="3"/>
  <c r="AA239" i="3"/>
  <c r="Z239" i="3"/>
  <c r="Y239" i="3"/>
  <c r="X239" i="3"/>
  <c r="W239" i="3"/>
  <c r="O239" i="3"/>
  <c r="V239" i="3" s="1"/>
  <c r="K239" i="3"/>
  <c r="C239" i="3"/>
  <c r="G239" i="3" s="1"/>
  <c r="AU238" i="3"/>
  <c r="AQ238" i="3"/>
  <c r="AB238" i="3"/>
  <c r="AA238" i="3"/>
  <c r="Z238" i="3"/>
  <c r="Y238" i="3"/>
  <c r="X238" i="3"/>
  <c r="W238" i="3"/>
  <c r="O238" i="3"/>
  <c r="V238" i="3" s="1"/>
  <c r="K238" i="3"/>
  <c r="C238" i="3"/>
  <c r="G238" i="3" s="1"/>
  <c r="AU237" i="3"/>
  <c r="AQ237" i="3"/>
  <c r="AB237" i="3"/>
  <c r="AA237" i="3"/>
  <c r="Z237" i="3"/>
  <c r="Y237" i="3"/>
  <c r="X237" i="3"/>
  <c r="W237" i="3"/>
  <c r="O237" i="3"/>
  <c r="V237" i="3" s="1"/>
  <c r="K237" i="3"/>
  <c r="L261" i="3" s="1"/>
  <c r="AY261" i="3" s="1"/>
  <c r="C237" i="3"/>
  <c r="G237" i="3" s="1"/>
  <c r="AU236" i="3"/>
  <c r="AQ236" i="3"/>
  <c r="AB236" i="3"/>
  <c r="AA236" i="3"/>
  <c r="Z236" i="3"/>
  <c r="Y236" i="3"/>
  <c r="X236" i="3"/>
  <c r="W236" i="3"/>
  <c r="O236" i="3"/>
  <c r="V236" i="3" s="1"/>
  <c r="K236" i="3"/>
  <c r="C236" i="3"/>
  <c r="G236" i="3" s="1"/>
  <c r="AU235" i="3"/>
  <c r="AQ235" i="3"/>
  <c r="AB235" i="3"/>
  <c r="AA235" i="3"/>
  <c r="Z235" i="3"/>
  <c r="Y235" i="3"/>
  <c r="X235" i="3"/>
  <c r="W235" i="3"/>
  <c r="O235" i="3"/>
  <c r="V235" i="3" s="1"/>
  <c r="K235" i="3"/>
  <c r="L259" i="3" s="1"/>
  <c r="AY259" i="3" s="1"/>
  <c r="C235" i="3"/>
  <c r="AU234" i="3"/>
  <c r="AQ234" i="3"/>
  <c r="AB234" i="3"/>
  <c r="AA234" i="3"/>
  <c r="Z234" i="3"/>
  <c r="Y234" i="3"/>
  <c r="X234" i="3"/>
  <c r="W234" i="3"/>
  <c r="O234" i="3"/>
  <c r="V234" i="3" s="1"/>
  <c r="K234" i="3"/>
  <c r="L258" i="3" s="1"/>
  <c r="AY258" i="3" s="1"/>
  <c r="C234" i="3"/>
  <c r="G234" i="3" s="1"/>
  <c r="AU233" i="3"/>
  <c r="AQ233" i="3"/>
  <c r="AB233" i="3"/>
  <c r="AA233" i="3"/>
  <c r="Z233" i="3"/>
  <c r="Y233" i="3"/>
  <c r="X233" i="3"/>
  <c r="W233" i="3"/>
  <c r="O233" i="3"/>
  <c r="V233" i="3" s="1"/>
  <c r="K233" i="3"/>
  <c r="L257" i="3" s="1"/>
  <c r="AY257" i="3" s="1"/>
  <c r="C233" i="3"/>
  <c r="G233" i="3" s="1"/>
  <c r="AU232" i="3"/>
  <c r="AQ232" i="3"/>
  <c r="AB232" i="3"/>
  <c r="AA232" i="3"/>
  <c r="Z232" i="3"/>
  <c r="Y232" i="3"/>
  <c r="X232" i="3"/>
  <c r="W232" i="3"/>
  <c r="O232" i="3"/>
  <c r="V232" i="3" s="1"/>
  <c r="K232" i="3"/>
  <c r="C232" i="3"/>
  <c r="G232" i="3" s="1"/>
  <c r="AU231" i="3"/>
  <c r="AQ231" i="3"/>
  <c r="AB231" i="3"/>
  <c r="AA231" i="3"/>
  <c r="Z231" i="3"/>
  <c r="Y231" i="3"/>
  <c r="X231" i="3"/>
  <c r="W231" i="3"/>
  <c r="O231" i="3"/>
  <c r="V231" i="3" s="1"/>
  <c r="K231" i="3"/>
  <c r="C231" i="3"/>
  <c r="AU230" i="3"/>
  <c r="AQ230" i="3"/>
  <c r="AB230" i="3"/>
  <c r="AA230" i="3"/>
  <c r="Z230" i="3"/>
  <c r="Y230" i="3"/>
  <c r="X230" i="3"/>
  <c r="W230" i="3"/>
  <c r="O230" i="3"/>
  <c r="V230" i="3" s="1"/>
  <c r="K230" i="3"/>
  <c r="L254" i="3" s="1"/>
  <c r="AY254" i="3" s="1"/>
  <c r="C230" i="3"/>
  <c r="G230" i="3" s="1"/>
  <c r="AU229" i="3"/>
  <c r="AQ229" i="3"/>
  <c r="AB229" i="3"/>
  <c r="AA229" i="3"/>
  <c r="Z229" i="3"/>
  <c r="Y229" i="3"/>
  <c r="X229" i="3"/>
  <c r="W229" i="3"/>
  <c r="O229" i="3"/>
  <c r="V229" i="3" s="1"/>
  <c r="K229" i="3"/>
  <c r="AW229" i="3" s="1"/>
  <c r="C229" i="3"/>
  <c r="G229" i="3" s="1"/>
  <c r="AU228" i="3"/>
  <c r="AQ228" i="3"/>
  <c r="AB228" i="3"/>
  <c r="AA228" i="3"/>
  <c r="Z228" i="3"/>
  <c r="Y228" i="3"/>
  <c r="X228" i="3"/>
  <c r="W228" i="3"/>
  <c r="O228" i="3"/>
  <c r="V228" i="3" s="1"/>
  <c r="K228" i="3"/>
  <c r="L252" i="3" s="1"/>
  <c r="AY252" i="3" s="1"/>
  <c r="C228" i="3"/>
  <c r="G228" i="3" s="1"/>
  <c r="AU227" i="3"/>
  <c r="AQ227" i="3"/>
  <c r="AB227" i="3"/>
  <c r="AA227" i="3"/>
  <c r="Z227" i="3"/>
  <c r="Y227" i="3"/>
  <c r="X227" i="3"/>
  <c r="W227" i="3"/>
  <c r="O227" i="3"/>
  <c r="V227" i="3" s="1"/>
  <c r="K227" i="3"/>
  <c r="L251" i="3" s="1"/>
  <c r="AY251" i="3" s="1"/>
  <c r="C227" i="3"/>
  <c r="AU226" i="3"/>
  <c r="AQ226" i="3"/>
  <c r="AB226" i="3"/>
  <c r="AA226" i="3"/>
  <c r="Z226" i="3"/>
  <c r="Y226" i="3"/>
  <c r="X226" i="3"/>
  <c r="W226" i="3"/>
  <c r="O226" i="3"/>
  <c r="V226" i="3" s="1"/>
  <c r="K226" i="3"/>
  <c r="C226" i="3"/>
  <c r="G226" i="3" s="1"/>
  <c r="AU225" i="3"/>
  <c r="AQ225" i="3"/>
  <c r="AB225" i="3"/>
  <c r="AA225" i="3"/>
  <c r="Z225" i="3"/>
  <c r="Y225" i="3"/>
  <c r="X225" i="3"/>
  <c r="W225" i="3"/>
  <c r="O225" i="3"/>
  <c r="V225" i="3" s="1"/>
  <c r="K225" i="3"/>
  <c r="C225" i="3"/>
  <c r="G225" i="3" s="1"/>
  <c r="AU224" i="3"/>
  <c r="AQ224" i="3"/>
  <c r="AB224" i="3"/>
  <c r="AA224" i="3"/>
  <c r="Z224" i="3"/>
  <c r="Y224" i="3"/>
  <c r="X224" i="3"/>
  <c r="W224" i="3"/>
  <c r="O224" i="3"/>
  <c r="V224" i="3" s="1"/>
  <c r="K224" i="3"/>
  <c r="L248" i="3" s="1"/>
  <c r="AY248" i="3" s="1"/>
  <c r="C224" i="3"/>
  <c r="G224" i="3" s="1"/>
  <c r="AU223" i="3"/>
  <c r="AQ223" i="3"/>
  <c r="AB223" i="3"/>
  <c r="AA223" i="3"/>
  <c r="Z223" i="3"/>
  <c r="Y223" i="3"/>
  <c r="X223" i="3"/>
  <c r="W223" i="3"/>
  <c r="O223" i="3"/>
  <c r="V223" i="3" s="1"/>
  <c r="K223" i="3"/>
  <c r="AW223" i="3" s="1"/>
  <c r="C223" i="3"/>
  <c r="AU222" i="3"/>
  <c r="AQ222" i="3"/>
  <c r="AB222" i="3"/>
  <c r="AA222" i="3"/>
  <c r="Z222" i="3"/>
  <c r="Y222" i="3"/>
  <c r="X222" i="3"/>
  <c r="W222" i="3"/>
  <c r="O222" i="3"/>
  <c r="V222" i="3" s="1"/>
  <c r="K222" i="3"/>
  <c r="C222" i="3"/>
  <c r="G222" i="3" s="1"/>
  <c r="AU221" i="3"/>
  <c r="AQ221" i="3"/>
  <c r="AB221" i="3"/>
  <c r="AA221" i="3"/>
  <c r="Z221" i="3"/>
  <c r="Y221" i="3"/>
  <c r="X221" i="3"/>
  <c r="W221" i="3"/>
  <c r="O221" i="3"/>
  <c r="V221" i="3" s="1"/>
  <c r="K221" i="3"/>
  <c r="C221" i="3"/>
  <c r="G221" i="3" s="1"/>
  <c r="AU220" i="3"/>
  <c r="AQ220" i="3"/>
  <c r="AB220" i="3"/>
  <c r="AA220" i="3"/>
  <c r="Z220" i="3"/>
  <c r="Y220" i="3"/>
  <c r="X220" i="3"/>
  <c r="W220" i="3"/>
  <c r="O220" i="3"/>
  <c r="V220" i="3" s="1"/>
  <c r="K220" i="3"/>
  <c r="L244" i="3" s="1"/>
  <c r="AY244" i="3" s="1"/>
  <c r="C220" i="3"/>
  <c r="G220" i="3" s="1"/>
  <c r="AU219" i="3"/>
  <c r="AQ219" i="3"/>
  <c r="AB219" i="3"/>
  <c r="AA219" i="3"/>
  <c r="Z219" i="3"/>
  <c r="Y219" i="3"/>
  <c r="X219" i="3"/>
  <c r="W219" i="3"/>
  <c r="O219" i="3"/>
  <c r="V219" i="3" s="1"/>
  <c r="K219" i="3"/>
  <c r="AW219" i="3" s="1"/>
  <c r="C219" i="3"/>
  <c r="AU218" i="3"/>
  <c r="AQ218" i="3"/>
  <c r="AB218" i="3"/>
  <c r="AA218" i="3"/>
  <c r="Z218" i="3"/>
  <c r="Y218" i="3"/>
  <c r="X218" i="3"/>
  <c r="W218" i="3"/>
  <c r="O218" i="3"/>
  <c r="V218" i="3" s="1"/>
  <c r="K218" i="3"/>
  <c r="C218" i="3"/>
  <c r="G218" i="3" s="1"/>
  <c r="AU217" i="3"/>
  <c r="AQ217" i="3"/>
  <c r="AB217" i="3"/>
  <c r="AA217" i="3"/>
  <c r="Z217" i="3"/>
  <c r="Y217" i="3"/>
  <c r="X217" i="3"/>
  <c r="W217" i="3"/>
  <c r="O217" i="3"/>
  <c r="V217" i="3" s="1"/>
  <c r="K217" i="3"/>
  <c r="C217" i="3"/>
  <c r="G217" i="3" s="1"/>
  <c r="AU216" i="3"/>
  <c r="AQ216" i="3"/>
  <c r="AB216" i="3"/>
  <c r="AA216" i="3"/>
  <c r="Z216" i="3"/>
  <c r="Y216" i="3"/>
  <c r="X216" i="3"/>
  <c r="W216" i="3"/>
  <c r="O216" i="3"/>
  <c r="V216" i="3" s="1"/>
  <c r="K216" i="3"/>
  <c r="L240" i="3" s="1"/>
  <c r="AY240" i="3" s="1"/>
  <c r="C216" i="3"/>
  <c r="G216" i="3" s="1"/>
  <c r="AU215" i="3"/>
  <c r="AQ215" i="3"/>
  <c r="AB215" i="3"/>
  <c r="AA215" i="3"/>
  <c r="Z215" i="3"/>
  <c r="Y215" i="3"/>
  <c r="X215" i="3"/>
  <c r="W215" i="3"/>
  <c r="V215" i="3"/>
  <c r="O215" i="3"/>
  <c r="K215" i="3"/>
  <c r="L239" i="3" s="1"/>
  <c r="AY239" i="3" s="1"/>
  <c r="C215" i="3"/>
  <c r="AU214" i="3"/>
  <c r="AQ214" i="3"/>
  <c r="AB214" i="3"/>
  <c r="AA214" i="3"/>
  <c r="Z214" i="3"/>
  <c r="Y214" i="3"/>
  <c r="X214" i="3"/>
  <c r="W214" i="3"/>
  <c r="O214" i="3"/>
  <c r="V214" i="3" s="1"/>
  <c r="K214" i="3"/>
  <c r="C214" i="3"/>
  <c r="G214" i="3" s="1"/>
  <c r="AU213" i="3"/>
  <c r="AQ213" i="3"/>
  <c r="AB213" i="3"/>
  <c r="AA213" i="3"/>
  <c r="Z213" i="3"/>
  <c r="Y213" i="3"/>
  <c r="X213" i="3"/>
  <c r="W213" i="3"/>
  <c r="O213" i="3"/>
  <c r="V213" i="3" s="1"/>
  <c r="K213" i="3"/>
  <c r="C213" i="3"/>
  <c r="G213" i="3" s="1"/>
  <c r="AU212" i="3"/>
  <c r="AQ212" i="3"/>
  <c r="AB212" i="3"/>
  <c r="AA212" i="3"/>
  <c r="Z212" i="3"/>
  <c r="Y212" i="3"/>
  <c r="X212" i="3"/>
  <c r="W212" i="3"/>
  <c r="O212" i="3"/>
  <c r="V212" i="3" s="1"/>
  <c r="K212" i="3"/>
  <c r="L236" i="3" s="1"/>
  <c r="C212" i="3"/>
  <c r="G212" i="3" s="1"/>
  <c r="AU211" i="3"/>
  <c r="AQ211" i="3"/>
  <c r="AB211" i="3"/>
  <c r="AA211" i="3"/>
  <c r="Z211" i="3"/>
  <c r="Y211" i="3"/>
  <c r="X211" i="3"/>
  <c r="W211" i="3"/>
  <c r="O211" i="3"/>
  <c r="V211" i="3" s="1"/>
  <c r="K211" i="3"/>
  <c r="C211" i="3"/>
  <c r="AU210" i="3"/>
  <c r="AQ210" i="3"/>
  <c r="AB210" i="3"/>
  <c r="AA210" i="3"/>
  <c r="Z210" i="3"/>
  <c r="Y210" i="3"/>
  <c r="X210" i="3"/>
  <c r="W210" i="3"/>
  <c r="O210" i="3"/>
  <c r="V210" i="3" s="1"/>
  <c r="K210" i="3"/>
  <c r="C210" i="3"/>
  <c r="G210" i="3" s="1"/>
  <c r="AU209" i="3"/>
  <c r="AQ209" i="3"/>
  <c r="AB209" i="3"/>
  <c r="AA209" i="3"/>
  <c r="Z209" i="3"/>
  <c r="Y209" i="3"/>
  <c r="X209" i="3"/>
  <c r="W209" i="3"/>
  <c r="O209" i="3"/>
  <c r="V209" i="3" s="1"/>
  <c r="K209" i="3"/>
  <c r="L233" i="3" s="1"/>
  <c r="C209" i="3"/>
  <c r="G209" i="3" s="1"/>
  <c r="AU208" i="3"/>
  <c r="AQ208" i="3"/>
  <c r="AB208" i="3"/>
  <c r="AA208" i="3"/>
  <c r="Z208" i="3"/>
  <c r="Y208" i="3"/>
  <c r="X208" i="3"/>
  <c r="W208" i="3"/>
  <c r="O208" i="3"/>
  <c r="V208" i="3" s="1"/>
  <c r="K208" i="3"/>
  <c r="L232" i="3" s="1"/>
  <c r="C208" i="3"/>
  <c r="G208" i="3" s="1"/>
  <c r="AU207" i="3"/>
  <c r="AQ207" i="3"/>
  <c r="AB207" i="3"/>
  <c r="AA207" i="3"/>
  <c r="Z207" i="3"/>
  <c r="Y207" i="3"/>
  <c r="X207" i="3"/>
  <c r="W207" i="3"/>
  <c r="O207" i="3"/>
  <c r="V207" i="3" s="1"/>
  <c r="K207" i="3"/>
  <c r="C207" i="3"/>
  <c r="G207" i="3" s="1"/>
  <c r="AU206" i="3"/>
  <c r="AQ206" i="3"/>
  <c r="AB206" i="3"/>
  <c r="AA206" i="3"/>
  <c r="Z206" i="3"/>
  <c r="Y206" i="3"/>
  <c r="X206" i="3"/>
  <c r="W206" i="3"/>
  <c r="O206" i="3"/>
  <c r="V206" i="3" s="1"/>
  <c r="K206" i="3"/>
  <c r="C206" i="3"/>
  <c r="G206" i="3" s="1"/>
  <c r="AU205" i="3"/>
  <c r="AQ205" i="3"/>
  <c r="AB205" i="3"/>
  <c r="AA205" i="3"/>
  <c r="Z205" i="3"/>
  <c r="Y205" i="3"/>
  <c r="X205" i="3"/>
  <c r="W205" i="3"/>
  <c r="O205" i="3"/>
  <c r="V205" i="3" s="1"/>
  <c r="K205" i="3"/>
  <c r="L229" i="3" s="1"/>
  <c r="M253" i="3" s="1"/>
  <c r="BA253" i="3" s="1"/>
  <c r="C205" i="3"/>
  <c r="G205" i="3" s="1"/>
  <c r="AU204" i="3"/>
  <c r="AQ204" i="3"/>
  <c r="AB204" i="3"/>
  <c r="AA204" i="3"/>
  <c r="Z204" i="3"/>
  <c r="Y204" i="3"/>
  <c r="X204" i="3"/>
  <c r="W204" i="3"/>
  <c r="O204" i="3"/>
  <c r="V204" i="3" s="1"/>
  <c r="K204" i="3"/>
  <c r="L228" i="3" s="1"/>
  <c r="M252" i="3" s="1"/>
  <c r="BA252" i="3" s="1"/>
  <c r="C204" i="3"/>
  <c r="G204" i="3" s="1"/>
  <c r="AU203" i="3"/>
  <c r="AQ203" i="3"/>
  <c r="AB203" i="3"/>
  <c r="AA203" i="3"/>
  <c r="Z203" i="3"/>
  <c r="Y203" i="3"/>
  <c r="X203" i="3"/>
  <c r="W203" i="3"/>
  <c r="O203" i="3"/>
  <c r="V203" i="3" s="1"/>
  <c r="K203" i="3"/>
  <c r="C203" i="3"/>
  <c r="G203" i="3" s="1"/>
  <c r="AU202" i="3"/>
  <c r="AQ202" i="3"/>
  <c r="AB202" i="3"/>
  <c r="AA202" i="3"/>
  <c r="Z202" i="3"/>
  <c r="Y202" i="3"/>
  <c r="X202" i="3"/>
  <c r="W202" i="3"/>
  <c r="V202" i="3"/>
  <c r="O202" i="3"/>
  <c r="K202" i="3"/>
  <c r="L226" i="3" s="1"/>
  <c r="C202" i="3"/>
  <c r="G202" i="3" s="1"/>
  <c r="AU201" i="3"/>
  <c r="AQ201" i="3"/>
  <c r="AB201" i="3"/>
  <c r="AA201" i="3"/>
  <c r="Z201" i="3"/>
  <c r="Y201" i="3"/>
  <c r="X201" i="3"/>
  <c r="W201" i="3"/>
  <c r="O201" i="3"/>
  <c r="V201" i="3" s="1"/>
  <c r="K201" i="3"/>
  <c r="L225" i="3" s="1"/>
  <c r="C201" i="3"/>
  <c r="G201" i="3" s="1"/>
  <c r="AU200" i="3"/>
  <c r="AQ200" i="3"/>
  <c r="AB200" i="3"/>
  <c r="AA200" i="3"/>
  <c r="Z200" i="3"/>
  <c r="Y200" i="3"/>
  <c r="X200" i="3"/>
  <c r="W200" i="3"/>
  <c r="O200" i="3"/>
  <c r="V200" i="3" s="1"/>
  <c r="K200" i="3"/>
  <c r="C200" i="3"/>
  <c r="G200" i="3" s="1"/>
  <c r="AU199" i="3"/>
  <c r="AQ199" i="3"/>
  <c r="AB199" i="3"/>
  <c r="AA199" i="3"/>
  <c r="Z199" i="3"/>
  <c r="Y199" i="3"/>
  <c r="X199" i="3"/>
  <c r="W199" i="3"/>
  <c r="O199" i="3"/>
  <c r="V199" i="3" s="1"/>
  <c r="K199" i="3"/>
  <c r="C199" i="3"/>
  <c r="AU198" i="3"/>
  <c r="AQ198" i="3"/>
  <c r="AB198" i="3"/>
  <c r="AA198" i="3"/>
  <c r="Z198" i="3"/>
  <c r="Y198" i="3"/>
  <c r="X198" i="3"/>
  <c r="W198" i="3"/>
  <c r="O198" i="3"/>
  <c r="V198" i="3" s="1"/>
  <c r="K198" i="3"/>
  <c r="L222" i="3" s="1"/>
  <c r="C198" i="3"/>
  <c r="G198" i="3" s="1"/>
  <c r="AU197" i="3"/>
  <c r="AQ197" i="3"/>
  <c r="AB197" i="3"/>
  <c r="AA197" i="3"/>
  <c r="Z197" i="3"/>
  <c r="Y197" i="3"/>
  <c r="X197" i="3"/>
  <c r="W197" i="3"/>
  <c r="O197" i="3"/>
  <c r="V197" i="3" s="1"/>
  <c r="K197" i="3"/>
  <c r="L221" i="3" s="1"/>
  <c r="C197" i="3"/>
  <c r="G197" i="3" s="1"/>
  <c r="AU196" i="3"/>
  <c r="AQ196" i="3"/>
  <c r="AB196" i="3"/>
  <c r="AA196" i="3"/>
  <c r="Z196" i="3"/>
  <c r="Y196" i="3"/>
  <c r="X196" i="3"/>
  <c r="W196" i="3"/>
  <c r="O196" i="3"/>
  <c r="V196" i="3" s="1"/>
  <c r="K196" i="3"/>
  <c r="L220" i="3" s="1"/>
  <c r="AY220" i="3" s="1"/>
  <c r="C196" i="3"/>
  <c r="G196" i="3" s="1"/>
  <c r="AU195" i="3"/>
  <c r="AQ195" i="3"/>
  <c r="AB195" i="3"/>
  <c r="AA195" i="3"/>
  <c r="Z195" i="3"/>
  <c r="Y195" i="3"/>
  <c r="X195" i="3"/>
  <c r="W195" i="3"/>
  <c r="O195" i="3"/>
  <c r="V195" i="3" s="1"/>
  <c r="K195" i="3"/>
  <c r="C195" i="3"/>
  <c r="AU194" i="3"/>
  <c r="AQ194" i="3"/>
  <c r="AB194" i="3"/>
  <c r="AA194" i="3"/>
  <c r="Z194" i="3"/>
  <c r="Y194" i="3"/>
  <c r="X194" i="3"/>
  <c r="W194" i="3"/>
  <c r="O194" i="3"/>
  <c r="V194" i="3" s="1"/>
  <c r="K194" i="3"/>
  <c r="C194" i="3"/>
  <c r="G194" i="3" s="1"/>
  <c r="AU193" i="3"/>
  <c r="AQ193" i="3"/>
  <c r="AB193" i="3"/>
  <c r="AA193" i="3"/>
  <c r="Z193" i="3"/>
  <c r="Y193" i="3"/>
  <c r="X193" i="3"/>
  <c r="W193" i="3"/>
  <c r="O193" i="3"/>
  <c r="V193" i="3" s="1"/>
  <c r="K193" i="3"/>
  <c r="AW193" i="3" s="1"/>
  <c r="C193" i="3"/>
  <c r="G193" i="3" s="1"/>
  <c r="AU192" i="3"/>
  <c r="AQ192" i="3"/>
  <c r="AB192" i="3"/>
  <c r="AA192" i="3"/>
  <c r="Z192" i="3"/>
  <c r="Y192" i="3"/>
  <c r="X192" i="3"/>
  <c r="W192" i="3"/>
  <c r="O192" i="3"/>
  <c r="V192" i="3" s="1"/>
  <c r="K192" i="3"/>
  <c r="L216" i="3" s="1"/>
  <c r="M240" i="3" s="1"/>
  <c r="C192" i="3"/>
  <c r="G192" i="3" s="1"/>
  <c r="AU191" i="3"/>
  <c r="AQ191" i="3"/>
  <c r="AB191" i="3"/>
  <c r="AA191" i="3"/>
  <c r="Z191" i="3"/>
  <c r="Y191" i="3"/>
  <c r="X191" i="3"/>
  <c r="W191" i="3"/>
  <c r="O191" i="3"/>
  <c r="V191" i="3" s="1"/>
  <c r="K191" i="3"/>
  <c r="C191" i="3"/>
  <c r="AU190" i="3"/>
  <c r="AQ190" i="3"/>
  <c r="AB190" i="3"/>
  <c r="AA190" i="3"/>
  <c r="Z190" i="3"/>
  <c r="Y190" i="3"/>
  <c r="X190" i="3"/>
  <c r="W190" i="3"/>
  <c r="O190" i="3"/>
  <c r="V190" i="3" s="1"/>
  <c r="K190" i="3"/>
  <c r="L214" i="3" s="1"/>
  <c r="C190" i="3"/>
  <c r="G190" i="3" s="1"/>
  <c r="AU189" i="3"/>
  <c r="AQ189" i="3"/>
  <c r="AB189" i="3"/>
  <c r="AA189" i="3"/>
  <c r="Z189" i="3"/>
  <c r="Y189" i="3"/>
  <c r="X189" i="3"/>
  <c r="W189" i="3"/>
  <c r="O189" i="3"/>
  <c r="V189" i="3" s="1"/>
  <c r="K189" i="3"/>
  <c r="C189" i="3"/>
  <c r="G189" i="3" s="1"/>
  <c r="AW188" i="3"/>
  <c r="AU188" i="3"/>
  <c r="AQ188" i="3"/>
  <c r="AB188" i="3"/>
  <c r="AA188" i="3"/>
  <c r="Z188" i="3"/>
  <c r="Y188" i="3"/>
  <c r="X188" i="3"/>
  <c r="W188" i="3"/>
  <c r="O188" i="3"/>
  <c r="V188" i="3" s="1"/>
  <c r="K188" i="3"/>
  <c r="L212" i="3" s="1"/>
  <c r="M236" i="3" s="1"/>
  <c r="C188" i="3"/>
  <c r="G188" i="3" s="1"/>
  <c r="AU187" i="3"/>
  <c r="AQ187" i="3"/>
  <c r="AB187" i="3"/>
  <c r="AA187" i="3"/>
  <c r="Z187" i="3"/>
  <c r="Y187" i="3"/>
  <c r="X187" i="3"/>
  <c r="W187" i="3"/>
  <c r="O187" i="3"/>
  <c r="V187" i="3" s="1"/>
  <c r="K187" i="3"/>
  <c r="C187" i="3"/>
  <c r="AW186" i="3"/>
  <c r="AU186" i="3"/>
  <c r="AQ186" i="3"/>
  <c r="AB186" i="3"/>
  <c r="AA186" i="3"/>
  <c r="Z186" i="3"/>
  <c r="Y186" i="3"/>
  <c r="X186" i="3"/>
  <c r="W186" i="3"/>
  <c r="O186" i="3"/>
  <c r="V186" i="3" s="1"/>
  <c r="K186" i="3"/>
  <c r="L210" i="3" s="1"/>
  <c r="C186" i="3"/>
  <c r="G186" i="3" s="1"/>
  <c r="AU185" i="3"/>
  <c r="AQ185" i="3"/>
  <c r="AB185" i="3"/>
  <c r="AA185" i="3"/>
  <c r="Z185" i="3"/>
  <c r="Y185" i="3"/>
  <c r="X185" i="3"/>
  <c r="W185" i="3"/>
  <c r="O185" i="3"/>
  <c r="V185" i="3" s="1"/>
  <c r="K185" i="3"/>
  <c r="C185" i="3"/>
  <c r="G185" i="3" s="1"/>
  <c r="AU184" i="3"/>
  <c r="AQ184" i="3"/>
  <c r="AB184" i="3"/>
  <c r="AA184" i="3"/>
  <c r="Z184" i="3"/>
  <c r="Y184" i="3"/>
  <c r="X184" i="3"/>
  <c r="W184" i="3"/>
  <c r="O184" i="3"/>
  <c r="V184" i="3" s="1"/>
  <c r="K184" i="3"/>
  <c r="L208" i="3" s="1"/>
  <c r="M232" i="3" s="1"/>
  <c r="C184" i="3"/>
  <c r="G184" i="3" s="1"/>
  <c r="AU183" i="3"/>
  <c r="AQ183" i="3"/>
  <c r="AB183" i="3"/>
  <c r="AA183" i="3"/>
  <c r="Z183" i="3"/>
  <c r="Y183" i="3"/>
  <c r="X183" i="3"/>
  <c r="W183" i="3"/>
  <c r="O183" i="3"/>
  <c r="V183" i="3" s="1"/>
  <c r="K183" i="3"/>
  <c r="C183" i="3"/>
  <c r="AU182" i="3"/>
  <c r="AQ182" i="3"/>
  <c r="AB182" i="3"/>
  <c r="AA182" i="3"/>
  <c r="Z182" i="3"/>
  <c r="Y182" i="3"/>
  <c r="X182" i="3"/>
  <c r="W182" i="3"/>
  <c r="O182" i="3"/>
  <c r="V182" i="3" s="1"/>
  <c r="K182" i="3"/>
  <c r="L206" i="3" s="1"/>
  <c r="C182" i="3"/>
  <c r="G182" i="3" s="1"/>
  <c r="AU181" i="3"/>
  <c r="AQ181" i="3"/>
  <c r="AB181" i="3"/>
  <c r="AA181" i="3"/>
  <c r="Z181" i="3"/>
  <c r="Y181" i="3"/>
  <c r="X181" i="3"/>
  <c r="W181" i="3"/>
  <c r="O181" i="3"/>
  <c r="V181" i="3" s="1"/>
  <c r="K181" i="3"/>
  <c r="C181" i="3"/>
  <c r="G181" i="3" s="1"/>
  <c r="AU180" i="3"/>
  <c r="AQ180" i="3"/>
  <c r="AB180" i="3"/>
  <c r="AA180" i="3"/>
  <c r="Z180" i="3"/>
  <c r="Y180" i="3"/>
  <c r="X180" i="3"/>
  <c r="W180" i="3"/>
  <c r="V180" i="3"/>
  <c r="O180" i="3"/>
  <c r="K180" i="3"/>
  <c r="L204" i="3" s="1"/>
  <c r="AY204" i="3" s="1"/>
  <c r="C180" i="3"/>
  <c r="G180" i="3" s="1"/>
  <c r="AU179" i="3"/>
  <c r="AQ179" i="3"/>
  <c r="AB179" i="3"/>
  <c r="AA179" i="3"/>
  <c r="Z179" i="3"/>
  <c r="Y179" i="3"/>
  <c r="X179" i="3"/>
  <c r="W179" i="3"/>
  <c r="O179" i="3"/>
  <c r="V179" i="3" s="1"/>
  <c r="K179" i="3"/>
  <c r="C179" i="3"/>
  <c r="AU178" i="3"/>
  <c r="AQ178" i="3"/>
  <c r="AB178" i="3"/>
  <c r="AA178" i="3"/>
  <c r="Z178" i="3"/>
  <c r="Y178" i="3"/>
  <c r="X178" i="3"/>
  <c r="W178" i="3"/>
  <c r="O178" i="3"/>
  <c r="V178" i="3" s="1"/>
  <c r="K178" i="3"/>
  <c r="L202" i="3" s="1"/>
  <c r="C178" i="3"/>
  <c r="G178" i="3" s="1"/>
  <c r="AU177" i="3"/>
  <c r="AQ177" i="3"/>
  <c r="AB177" i="3"/>
  <c r="AA177" i="3"/>
  <c r="Z177" i="3"/>
  <c r="Y177" i="3"/>
  <c r="X177" i="3"/>
  <c r="W177" i="3"/>
  <c r="O177" i="3"/>
  <c r="V177" i="3" s="1"/>
  <c r="K177" i="3"/>
  <c r="L201" i="3" s="1"/>
  <c r="C177" i="3"/>
  <c r="G177" i="3" s="1"/>
  <c r="AU176" i="3"/>
  <c r="AQ176" i="3"/>
  <c r="AB176" i="3"/>
  <c r="AA176" i="3"/>
  <c r="Z176" i="3"/>
  <c r="Y176" i="3"/>
  <c r="X176" i="3"/>
  <c r="W176" i="3"/>
  <c r="O176" i="3"/>
  <c r="V176" i="3" s="1"/>
  <c r="K176" i="3"/>
  <c r="C176" i="3"/>
  <c r="G176" i="3" s="1"/>
  <c r="AU175" i="3"/>
  <c r="AQ175" i="3"/>
  <c r="AB175" i="3"/>
  <c r="AA175" i="3"/>
  <c r="Z175" i="3"/>
  <c r="Y175" i="3"/>
  <c r="X175" i="3"/>
  <c r="W175" i="3"/>
  <c r="O175" i="3"/>
  <c r="V175" i="3" s="1"/>
  <c r="K175" i="3"/>
  <c r="L199" i="3" s="1"/>
  <c r="AY199" i="3" s="1"/>
  <c r="C175" i="3"/>
  <c r="AU174" i="3"/>
  <c r="AQ174" i="3"/>
  <c r="AB174" i="3"/>
  <c r="AA174" i="3"/>
  <c r="Z174" i="3"/>
  <c r="Y174" i="3"/>
  <c r="X174" i="3"/>
  <c r="W174" i="3"/>
  <c r="O174" i="3"/>
  <c r="V174" i="3" s="1"/>
  <c r="K174" i="3"/>
  <c r="C174" i="3"/>
  <c r="G174" i="3" s="1"/>
  <c r="AU173" i="3"/>
  <c r="AQ173" i="3"/>
  <c r="AB173" i="3"/>
  <c r="AA173" i="3"/>
  <c r="Z173" i="3"/>
  <c r="Y173" i="3"/>
  <c r="X173" i="3"/>
  <c r="W173" i="3"/>
  <c r="O173" i="3"/>
  <c r="V173" i="3" s="1"/>
  <c r="K173" i="3"/>
  <c r="C173" i="3"/>
  <c r="G173" i="3" s="1"/>
  <c r="AU172" i="3"/>
  <c r="AQ172" i="3"/>
  <c r="AB172" i="3"/>
  <c r="AA172" i="3"/>
  <c r="Z172" i="3"/>
  <c r="Y172" i="3"/>
  <c r="X172" i="3"/>
  <c r="W172" i="3"/>
  <c r="O172" i="3"/>
  <c r="V172" i="3" s="1"/>
  <c r="K172" i="3"/>
  <c r="C172" i="3"/>
  <c r="G172" i="3" s="1"/>
  <c r="AU171" i="3"/>
  <c r="AQ171" i="3"/>
  <c r="AB171" i="3"/>
  <c r="AA171" i="3"/>
  <c r="Z171" i="3"/>
  <c r="Y171" i="3"/>
  <c r="X171" i="3"/>
  <c r="W171" i="3"/>
  <c r="O171" i="3"/>
  <c r="V171" i="3" s="1"/>
  <c r="K171" i="3"/>
  <c r="L195" i="3" s="1"/>
  <c r="M219" i="3" s="1"/>
  <c r="N238" i="3" s="1"/>
  <c r="BC238" i="3" s="1"/>
  <c r="C171" i="3"/>
  <c r="AU170" i="3"/>
  <c r="AQ170" i="3"/>
  <c r="AB170" i="3"/>
  <c r="AA170" i="3"/>
  <c r="Z170" i="3"/>
  <c r="Y170" i="3"/>
  <c r="X170" i="3"/>
  <c r="W170" i="3"/>
  <c r="O170" i="3"/>
  <c r="V170" i="3" s="1"/>
  <c r="K170" i="3"/>
  <c r="L194" i="3" s="1"/>
  <c r="C170" i="3"/>
  <c r="G170" i="3" s="1"/>
  <c r="AU169" i="3"/>
  <c r="AQ169" i="3"/>
  <c r="AB169" i="3"/>
  <c r="AA169" i="3"/>
  <c r="Z169" i="3"/>
  <c r="Y169" i="3"/>
  <c r="X169" i="3"/>
  <c r="W169" i="3"/>
  <c r="O169" i="3"/>
  <c r="V169" i="3" s="1"/>
  <c r="K169" i="3"/>
  <c r="L193" i="3" s="1"/>
  <c r="C169" i="3"/>
  <c r="G169" i="3" s="1"/>
  <c r="AU168" i="3"/>
  <c r="AQ168" i="3"/>
  <c r="AB168" i="3"/>
  <c r="AA168" i="3"/>
  <c r="Z168" i="3"/>
  <c r="Y168" i="3"/>
  <c r="X168" i="3"/>
  <c r="W168" i="3"/>
  <c r="O168" i="3"/>
  <c r="V168" i="3" s="1"/>
  <c r="K168" i="3"/>
  <c r="AW168" i="3" s="1"/>
  <c r="C168" i="3"/>
  <c r="G168" i="3" s="1"/>
  <c r="AU167" i="3"/>
  <c r="AQ167" i="3"/>
  <c r="AB167" i="3"/>
  <c r="AA167" i="3"/>
  <c r="Z167" i="3"/>
  <c r="Y167" i="3"/>
  <c r="X167" i="3"/>
  <c r="W167" i="3"/>
  <c r="O167" i="3"/>
  <c r="V167" i="3" s="1"/>
  <c r="K167" i="3"/>
  <c r="L191" i="3" s="1"/>
  <c r="M215" i="3" s="1"/>
  <c r="N234" i="3" s="1"/>
  <c r="BC234" i="3" s="1"/>
  <c r="C167" i="3"/>
  <c r="AU166" i="3"/>
  <c r="AQ166" i="3"/>
  <c r="AB166" i="3"/>
  <c r="AA166" i="3"/>
  <c r="Z166" i="3"/>
  <c r="Y166" i="3"/>
  <c r="X166" i="3"/>
  <c r="W166" i="3"/>
  <c r="V166" i="3"/>
  <c r="O166" i="3"/>
  <c r="K166" i="3"/>
  <c r="AW166" i="3" s="1"/>
  <c r="C166" i="3"/>
  <c r="G166" i="3" s="1"/>
  <c r="AU165" i="3"/>
  <c r="AQ165" i="3"/>
  <c r="AB165" i="3"/>
  <c r="AA165" i="3"/>
  <c r="Z165" i="3"/>
  <c r="Y165" i="3"/>
  <c r="X165" i="3"/>
  <c r="W165" i="3"/>
  <c r="V165" i="3"/>
  <c r="O165" i="3"/>
  <c r="K165" i="3"/>
  <c r="L189" i="3" s="1"/>
  <c r="M213" i="3" s="1"/>
  <c r="C165" i="3"/>
  <c r="G165" i="3" s="1"/>
  <c r="AU164" i="3"/>
  <c r="AQ164" i="3"/>
  <c r="AB164" i="3"/>
  <c r="AA164" i="3"/>
  <c r="Z164" i="3"/>
  <c r="Y164" i="3"/>
  <c r="X164" i="3"/>
  <c r="W164" i="3"/>
  <c r="V164" i="3"/>
  <c r="O164" i="3"/>
  <c r="K164" i="3"/>
  <c r="L188" i="3" s="1"/>
  <c r="C164" i="3"/>
  <c r="G164" i="3" s="1"/>
  <c r="AU163" i="3"/>
  <c r="AQ163" i="3"/>
  <c r="AB163" i="3"/>
  <c r="AA163" i="3"/>
  <c r="Z163" i="3"/>
  <c r="Y163" i="3"/>
  <c r="X163" i="3"/>
  <c r="W163" i="3"/>
  <c r="O163" i="3"/>
  <c r="V163" i="3" s="1"/>
  <c r="K163" i="3"/>
  <c r="L187" i="3" s="1"/>
  <c r="C163" i="3"/>
  <c r="AU162" i="3"/>
  <c r="AQ162" i="3"/>
  <c r="AB162" i="3"/>
  <c r="AA162" i="3"/>
  <c r="Z162" i="3"/>
  <c r="Y162" i="3"/>
  <c r="X162" i="3"/>
  <c r="W162" i="3"/>
  <c r="O162" i="3"/>
  <c r="V162" i="3" s="1"/>
  <c r="K162" i="3"/>
  <c r="L186" i="3" s="1"/>
  <c r="C162" i="3"/>
  <c r="G162" i="3" s="1"/>
  <c r="AU161" i="3"/>
  <c r="AQ161" i="3"/>
  <c r="AB161" i="3"/>
  <c r="AA161" i="3"/>
  <c r="Z161" i="3"/>
  <c r="Y161" i="3"/>
  <c r="X161" i="3"/>
  <c r="W161" i="3"/>
  <c r="O161" i="3"/>
  <c r="V161" i="3" s="1"/>
  <c r="K161" i="3"/>
  <c r="L185" i="3" s="1"/>
  <c r="C161" i="3"/>
  <c r="G161" i="3" s="1"/>
  <c r="AU160" i="3"/>
  <c r="AQ160" i="3"/>
  <c r="AB160" i="3"/>
  <c r="AA160" i="3"/>
  <c r="Z160" i="3"/>
  <c r="Y160" i="3"/>
  <c r="X160" i="3"/>
  <c r="W160" i="3"/>
  <c r="V160" i="3"/>
  <c r="O160" i="3"/>
  <c r="K160" i="3"/>
  <c r="L184" i="3" s="1"/>
  <c r="C160" i="3"/>
  <c r="G160" i="3" s="1"/>
  <c r="AU159" i="3"/>
  <c r="AQ159" i="3"/>
  <c r="AB159" i="3"/>
  <c r="AA159" i="3"/>
  <c r="Z159" i="3"/>
  <c r="Y159" i="3"/>
  <c r="X159" i="3"/>
  <c r="W159" i="3"/>
  <c r="O159" i="3"/>
  <c r="V159" i="3" s="1"/>
  <c r="K159" i="3"/>
  <c r="L183" i="3" s="1"/>
  <c r="M207" i="3" s="1"/>
  <c r="N226" i="3" s="1"/>
  <c r="BC226" i="3" s="1"/>
  <c r="C159" i="3"/>
  <c r="G159" i="3" s="1"/>
  <c r="AU158" i="3"/>
  <c r="AQ158" i="3"/>
  <c r="AB158" i="3"/>
  <c r="AA158" i="3"/>
  <c r="Z158" i="3"/>
  <c r="Y158" i="3"/>
  <c r="X158" i="3"/>
  <c r="W158" i="3"/>
  <c r="V158" i="3"/>
  <c r="O158" i="3"/>
  <c r="K158" i="3"/>
  <c r="L182" i="3" s="1"/>
  <c r="C158" i="3"/>
  <c r="G158" i="3" s="1"/>
  <c r="AU157" i="3"/>
  <c r="AQ157" i="3"/>
  <c r="AB157" i="3"/>
  <c r="AA157" i="3"/>
  <c r="Z157" i="3"/>
  <c r="Y157" i="3"/>
  <c r="X157" i="3"/>
  <c r="W157" i="3"/>
  <c r="V157" i="3"/>
  <c r="O157" i="3"/>
  <c r="K157" i="3"/>
  <c r="L181" i="3" s="1"/>
  <c r="C157" i="3"/>
  <c r="G157" i="3" s="1"/>
  <c r="AW156" i="3"/>
  <c r="AU156" i="3"/>
  <c r="AQ156" i="3"/>
  <c r="AB156" i="3"/>
  <c r="AA156" i="3"/>
  <c r="Z156" i="3"/>
  <c r="Y156" i="3"/>
  <c r="X156" i="3"/>
  <c r="W156" i="3"/>
  <c r="O156" i="3"/>
  <c r="V156" i="3" s="1"/>
  <c r="K156" i="3"/>
  <c r="L180" i="3" s="1"/>
  <c r="C156" i="3"/>
  <c r="G156" i="3" s="1"/>
  <c r="AU155" i="3"/>
  <c r="AQ155" i="3"/>
  <c r="AB155" i="3"/>
  <c r="AA155" i="3"/>
  <c r="Z155" i="3"/>
  <c r="Y155" i="3"/>
  <c r="X155" i="3"/>
  <c r="W155" i="3"/>
  <c r="O155" i="3"/>
  <c r="V155" i="3" s="1"/>
  <c r="K155" i="3"/>
  <c r="L179" i="3" s="1"/>
  <c r="C155" i="3"/>
  <c r="AW154" i="3"/>
  <c r="AU154" i="3"/>
  <c r="AQ154" i="3"/>
  <c r="AB154" i="3"/>
  <c r="AA154" i="3"/>
  <c r="Z154" i="3"/>
  <c r="Y154" i="3"/>
  <c r="X154" i="3"/>
  <c r="W154" i="3"/>
  <c r="O154" i="3"/>
  <c r="V154" i="3" s="1"/>
  <c r="K154" i="3"/>
  <c r="L178" i="3" s="1"/>
  <c r="C154" i="3"/>
  <c r="G154" i="3" s="1"/>
  <c r="AU153" i="3"/>
  <c r="AQ153" i="3"/>
  <c r="AB153" i="3"/>
  <c r="AA153" i="3"/>
  <c r="Z153" i="3"/>
  <c r="Y153" i="3"/>
  <c r="X153" i="3"/>
  <c r="W153" i="3"/>
  <c r="O153" i="3"/>
  <c r="V153" i="3" s="1"/>
  <c r="K153" i="3"/>
  <c r="L177" i="3" s="1"/>
  <c r="AY177" i="3" s="1"/>
  <c r="C153" i="3"/>
  <c r="G153" i="3" s="1"/>
  <c r="AU152" i="3"/>
  <c r="AQ152" i="3"/>
  <c r="AB152" i="3"/>
  <c r="AA152" i="3"/>
  <c r="Z152" i="3"/>
  <c r="Y152" i="3"/>
  <c r="X152" i="3"/>
  <c r="W152" i="3"/>
  <c r="O152" i="3"/>
  <c r="V152" i="3" s="1"/>
  <c r="K152" i="3"/>
  <c r="C152" i="3"/>
  <c r="G152" i="3" s="1"/>
  <c r="AU151" i="3"/>
  <c r="AQ151" i="3"/>
  <c r="AB151" i="3"/>
  <c r="AA151" i="3"/>
  <c r="Z151" i="3"/>
  <c r="Y151" i="3"/>
  <c r="X151" i="3"/>
  <c r="W151" i="3"/>
  <c r="O151" i="3"/>
  <c r="V151" i="3" s="1"/>
  <c r="K151" i="3"/>
  <c r="L175" i="3" s="1"/>
  <c r="C151" i="3"/>
  <c r="G151" i="3" s="1"/>
  <c r="AU150" i="3"/>
  <c r="AQ150" i="3"/>
  <c r="AB150" i="3"/>
  <c r="AA150" i="3"/>
  <c r="Z150" i="3"/>
  <c r="Y150" i="3"/>
  <c r="X150" i="3"/>
  <c r="W150" i="3"/>
  <c r="O150" i="3"/>
  <c r="V150" i="3" s="1"/>
  <c r="K150" i="3"/>
  <c r="L174" i="3" s="1"/>
  <c r="I150" i="3"/>
  <c r="I151" i="3" s="1"/>
  <c r="I152" i="3" s="1"/>
  <c r="I153" i="3" s="1"/>
  <c r="I154" i="3" s="1"/>
  <c r="I155" i="3" s="1"/>
  <c r="I156" i="3" s="1"/>
  <c r="I157" i="3" s="1"/>
  <c r="I158" i="3" s="1"/>
  <c r="I159" i="3" s="1"/>
  <c r="I160" i="3" s="1"/>
  <c r="I161" i="3" s="1"/>
  <c r="I162" i="3" s="1"/>
  <c r="I163" i="3" s="1"/>
  <c r="I164" i="3" s="1"/>
  <c r="I165" i="3" s="1"/>
  <c r="I166" i="3" s="1"/>
  <c r="I167" i="3" s="1"/>
  <c r="I168" i="3" s="1"/>
  <c r="I169" i="3" s="1"/>
  <c r="I170" i="3" s="1"/>
  <c r="I171" i="3" s="1"/>
  <c r="AS171" i="3" s="1"/>
  <c r="C150" i="3"/>
  <c r="G150" i="3" s="1"/>
  <c r="AU149" i="3"/>
  <c r="AS149" i="3"/>
  <c r="AQ149" i="3"/>
  <c r="AB149" i="3"/>
  <c r="AA149" i="3"/>
  <c r="Z149" i="3"/>
  <c r="Y149" i="3"/>
  <c r="X149" i="3"/>
  <c r="W149" i="3"/>
  <c r="O149" i="3"/>
  <c r="V149" i="3" s="1"/>
  <c r="K149" i="3"/>
  <c r="L173" i="3" s="1"/>
  <c r="C149" i="3"/>
  <c r="G149" i="3" s="1"/>
  <c r="AU148" i="3"/>
  <c r="AS148" i="3"/>
  <c r="AQ148" i="3"/>
  <c r="AB148" i="3"/>
  <c r="AA148" i="3"/>
  <c r="Z148" i="3"/>
  <c r="Y148" i="3"/>
  <c r="X148" i="3"/>
  <c r="W148" i="3"/>
  <c r="O148" i="3"/>
  <c r="V148" i="3" s="1"/>
  <c r="K148" i="3"/>
  <c r="L172" i="3" s="1"/>
  <c r="C148" i="3"/>
  <c r="G148" i="3" s="1"/>
  <c r="AU147" i="3"/>
  <c r="AS147" i="3"/>
  <c r="AQ147" i="3"/>
  <c r="AB147" i="3"/>
  <c r="AA147" i="3"/>
  <c r="Z147" i="3"/>
  <c r="Y147" i="3"/>
  <c r="X147" i="3"/>
  <c r="W147" i="3"/>
  <c r="V147" i="3"/>
  <c r="O147" i="3"/>
  <c r="K147" i="3"/>
  <c r="L171" i="3" s="1"/>
  <c r="C147" i="3"/>
  <c r="AU146" i="3"/>
  <c r="AS146" i="3"/>
  <c r="AQ146" i="3"/>
  <c r="AB146" i="3"/>
  <c r="AA146" i="3"/>
  <c r="Z146" i="3"/>
  <c r="Y146" i="3"/>
  <c r="X146" i="3"/>
  <c r="W146" i="3"/>
  <c r="O146" i="3"/>
  <c r="V146" i="3" s="1"/>
  <c r="K146" i="3"/>
  <c r="AW146" i="3" s="1"/>
  <c r="C146" i="3"/>
  <c r="G146" i="3" s="1"/>
  <c r="AU145" i="3"/>
  <c r="AS145" i="3"/>
  <c r="AQ145" i="3"/>
  <c r="AB145" i="3"/>
  <c r="AA145" i="3"/>
  <c r="Z145" i="3"/>
  <c r="Y145" i="3"/>
  <c r="X145" i="3"/>
  <c r="W145" i="3"/>
  <c r="O145" i="3"/>
  <c r="V145" i="3" s="1"/>
  <c r="K145" i="3"/>
  <c r="L169" i="3" s="1"/>
  <c r="C145" i="3"/>
  <c r="G145" i="3" s="1"/>
  <c r="AU144" i="3"/>
  <c r="AS144" i="3"/>
  <c r="AQ144" i="3"/>
  <c r="AB144" i="3"/>
  <c r="AA144" i="3"/>
  <c r="Z144" i="3"/>
  <c r="Y144" i="3"/>
  <c r="X144" i="3"/>
  <c r="W144" i="3"/>
  <c r="O144" i="3"/>
  <c r="V144" i="3" s="1"/>
  <c r="K144" i="3"/>
  <c r="L168" i="3" s="1"/>
  <c r="C144" i="3"/>
  <c r="G144" i="3" s="1"/>
  <c r="AU143" i="3"/>
  <c r="AS143" i="3"/>
  <c r="AQ143" i="3"/>
  <c r="AB143" i="3"/>
  <c r="AA143" i="3"/>
  <c r="Z143" i="3"/>
  <c r="Y143" i="3"/>
  <c r="X143" i="3"/>
  <c r="W143" i="3"/>
  <c r="O143" i="3"/>
  <c r="V143" i="3" s="1"/>
  <c r="K143" i="3"/>
  <c r="C143" i="3"/>
  <c r="AU142" i="3"/>
  <c r="AS142" i="3"/>
  <c r="AQ142" i="3"/>
  <c r="AB142" i="3"/>
  <c r="AA142" i="3"/>
  <c r="Z142" i="3"/>
  <c r="Y142" i="3"/>
  <c r="X142" i="3"/>
  <c r="W142" i="3"/>
  <c r="O142" i="3"/>
  <c r="V142" i="3" s="1"/>
  <c r="K142" i="3"/>
  <c r="L166" i="3" s="1"/>
  <c r="C142" i="3"/>
  <c r="G142" i="3" s="1"/>
  <c r="AU141" i="3"/>
  <c r="AQ141" i="3"/>
  <c r="AB141" i="3"/>
  <c r="AA141" i="3"/>
  <c r="Z141" i="3"/>
  <c r="Y141" i="3"/>
  <c r="X141" i="3"/>
  <c r="W141" i="3"/>
  <c r="O141" i="3"/>
  <c r="V141" i="3" s="1"/>
  <c r="K141" i="3"/>
  <c r="L165" i="3" s="1"/>
  <c r="C141" i="3"/>
  <c r="G141" i="3" s="1"/>
  <c r="AU140" i="3"/>
  <c r="AQ140" i="3"/>
  <c r="AB140" i="3"/>
  <c r="AA140" i="3"/>
  <c r="Z140" i="3"/>
  <c r="Y140" i="3"/>
  <c r="X140" i="3"/>
  <c r="W140" i="3"/>
  <c r="O140" i="3"/>
  <c r="V140" i="3" s="1"/>
  <c r="K140" i="3"/>
  <c r="C140" i="3"/>
  <c r="G140" i="3" s="1"/>
  <c r="AU139" i="3"/>
  <c r="AQ139" i="3"/>
  <c r="AB139" i="3"/>
  <c r="AA139" i="3"/>
  <c r="Z139" i="3"/>
  <c r="Y139" i="3"/>
  <c r="X139" i="3"/>
  <c r="W139" i="3"/>
  <c r="O139" i="3"/>
  <c r="V139" i="3" s="1"/>
  <c r="K139" i="3"/>
  <c r="L163" i="3" s="1"/>
  <c r="C139" i="3"/>
  <c r="AU138" i="3"/>
  <c r="AQ138" i="3"/>
  <c r="AB138" i="3"/>
  <c r="AA138" i="3"/>
  <c r="Z138" i="3"/>
  <c r="Y138" i="3"/>
  <c r="X138" i="3"/>
  <c r="W138" i="3"/>
  <c r="V138" i="3"/>
  <c r="O138" i="3"/>
  <c r="K138" i="3"/>
  <c r="L162" i="3" s="1"/>
  <c r="C138" i="3"/>
  <c r="G138" i="3" s="1"/>
  <c r="AW137" i="3"/>
  <c r="AU137" i="3"/>
  <c r="AQ137" i="3"/>
  <c r="AB137" i="3"/>
  <c r="AA137" i="3"/>
  <c r="Z137" i="3"/>
  <c r="Y137" i="3"/>
  <c r="X137" i="3"/>
  <c r="W137" i="3"/>
  <c r="O137" i="3"/>
  <c r="V137" i="3" s="1"/>
  <c r="K137" i="3"/>
  <c r="L161" i="3" s="1"/>
  <c r="C137" i="3"/>
  <c r="G137" i="3" s="1"/>
  <c r="AU136" i="3"/>
  <c r="AQ136" i="3"/>
  <c r="AB136" i="3"/>
  <c r="AA136" i="3"/>
  <c r="Z136" i="3"/>
  <c r="Y136" i="3"/>
  <c r="X136" i="3"/>
  <c r="W136" i="3"/>
  <c r="O136" i="3"/>
  <c r="V136" i="3" s="1"/>
  <c r="K136" i="3"/>
  <c r="L160" i="3" s="1"/>
  <c r="C136" i="3"/>
  <c r="G136" i="3" s="1"/>
  <c r="AU135" i="3"/>
  <c r="AQ135" i="3"/>
  <c r="AB135" i="3"/>
  <c r="AA135" i="3"/>
  <c r="Z135" i="3"/>
  <c r="Y135" i="3"/>
  <c r="X135" i="3"/>
  <c r="W135" i="3"/>
  <c r="O135" i="3"/>
  <c r="V135" i="3" s="1"/>
  <c r="K135" i="3"/>
  <c r="L159" i="3" s="1"/>
  <c r="C135" i="3"/>
  <c r="AU134" i="3"/>
  <c r="AQ134" i="3"/>
  <c r="AB134" i="3"/>
  <c r="AA134" i="3"/>
  <c r="Z134" i="3"/>
  <c r="Y134" i="3"/>
  <c r="X134" i="3"/>
  <c r="W134" i="3"/>
  <c r="O134" i="3"/>
  <c r="V134" i="3" s="1"/>
  <c r="K134" i="3"/>
  <c r="AW134" i="3" s="1"/>
  <c r="C134" i="3"/>
  <c r="G134" i="3" s="1"/>
  <c r="AU133" i="3"/>
  <c r="AQ133" i="3"/>
  <c r="AB133" i="3"/>
  <c r="AA133" i="3"/>
  <c r="Z133" i="3"/>
  <c r="Y133" i="3"/>
  <c r="X133" i="3"/>
  <c r="W133" i="3"/>
  <c r="O133" i="3"/>
  <c r="V133" i="3" s="1"/>
  <c r="K133" i="3"/>
  <c r="AW133" i="3" s="1"/>
  <c r="C133" i="3"/>
  <c r="G133" i="3" s="1"/>
  <c r="AU132" i="3"/>
  <c r="AQ132" i="3"/>
  <c r="AB132" i="3"/>
  <c r="AA132" i="3"/>
  <c r="Z132" i="3"/>
  <c r="Y132" i="3"/>
  <c r="X132" i="3"/>
  <c r="W132" i="3"/>
  <c r="O132" i="3"/>
  <c r="V132" i="3" s="1"/>
  <c r="K132" i="3"/>
  <c r="L156" i="3" s="1"/>
  <c r="C132" i="3"/>
  <c r="G132" i="3" s="1"/>
  <c r="AU131" i="3"/>
  <c r="AQ131" i="3"/>
  <c r="AB131" i="3"/>
  <c r="AA131" i="3"/>
  <c r="Z131" i="3"/>
  <c r="Y131" i="3"/>
  <c r="X131" i="3"/>
  <c r="W131" i="3"/>
  <c r="O131" i="3"/>
  <c r="V131" i="3" s="1"/>
  <c r="K131" i="3"/>
  <c r="L155" i="3" s="1"/>
  <c r="C131" i="3"/>
  <c r="AU130" i="3"/>
  <c r="AQ130" i="3"/>
  <c r="AB130" i="3"/>
  <c r="AA130" i="3"/>
  <c r="Z130" i="3"/>
  <c r="Y130" i="3"/>
  <c r="X130" i="3"/>
  <c r="W130" i="3"/>
  <c r="O130" i="3"/>
  <c r="V130" i="3" s="1"/>
  <c r="K130" i="3"/>
  <c r="L154" i="3" s="1"/>
  <c r="C130" i="3"/>
  <c r="G130" i="3" s="1"/>
  <c r="AU129" i="3"/>
  <c r="AQ129" i="3"/>
  <c r="AB129" i="3"/>
  <c r="AA129" i="3"/>
  <c r="Z129" i="3"/>
  <c r="Y129" i="3"/>
  <c r="X129" i="3"/>
  <c r="W129" i="3"/>
  <c r="O129" i="3"/>
  <c r="V129" i="3" s="1"/>
  <c r="K129" i="3"/>
  <c r="L153" i="3" s="1"/>
  <c r="C129" i="3"/>
  <c r="G129" i="3" s="1"/>
  <c r="AU128" i="3"/>
  <c r="AQ128" i="3"/>
  <c r="AB128" i="3"/>
  <c r="AA128" i="3"/>
  <c r="Z128" i="3"/>
  <c r="Y128" i="3"/>
  <c r="X128" i="3"/>
  <c r="W128" i="3"/>
  <c r="O128" i="3"/>
  <c r="V128" i="3" s="1"/>
  <c r="K128" i="3"/>
  <c r="L152" i="3" s="1"/>
  <c r="C128" i="3"/>
  <c r="G128" i="3" s="1"/>
  <c r="AU127" i="3"/>
  <c r="AT127" i="3"/>
  <c r="AT128" i="3" s="1"/>
  <c r="AT129" i="3" s="1"/>
  <c r="AT130" i="3" s="1"/>
  <c r="AT131" i="3" s="1"/>
  <c r="AT132" i="3" s="1"/>
  <c r="AT133" i="3" s="1"/>
  <c r="AT134" i="3" s="1"/>
  <c r="AT135" i="3" s="1"/>
  <c r="AT136" i="3" s="1"/>
  <c r="AT137" i="3" s="1"/>
  <c r="AT138" i="3" s="1"/>
  <c r="AT139" i="3" s="1"/>
  <c r="AT140" i="3" s="1"/>
  <c r="AT141" i="3" s="1"/>
  <c r="AT142" i="3" s="1"/>
  <c r="AT143" i="3" s="1"/>
  <c r="AT144" i="3" s="1"/>
  <c r="AT145" i="3" s="1"/>
  <c r="AT146" i="3" s="1"/>
  <c r="AT147" i="3" s="1"/>
  <c r="AT148" i="3" s="1"/>
  <c r="AT149" i="3" s="1"/>
  <c r="AT150" i="3" s="1"/>
  <c r="AT151" i="3" s="1"/>
  <c r="AT152" i="3" s="1"/>
  <c r="AT153" i="3" s="1"/>
  <c r="AT154" i="3" s="1"/>
  <c r="AT155" i="3" s="1"/>
  <c r="AT156" i="3" s="1"/>
  <c r="AT157" i="3" s="1"/>
  <c r="AT158" i="3" s="1"/>
  <c r="AT159" i="3" s="1"/>
  <c r="AT160" i="3" s="1"/>
  <c r="AT161" i="3" s="1"/>
  <c r="AT162" i="3" s="1"/>
  <c r="AT163" i="3" s="1"/>
  <c r="AT164" i="3" s="1"/>
  <c r="AT165" i="3" s="1"/>
  <c r="AT166" i="3" s="1"/>
  <c r="AT167" i="3" s="1"/>
  <c r="AT168" i="3" s="1"/>
  <c r="AT169" i="3" s="1"/>
  <c r="AT170" i="3" s="1"/>
  <c r="AT171" i="3" s="1"/>
  <c r="AT172" i="3" s="1"/>
  <c r="AT173" i="3" s="1"/>
  <c r="AT174" i="3" s="1"/>
  <c r="AT175" i="3" s="1"/>
  <c r="AT176" i="3" s="1"/>
  <c r="AQ127" i="3"/>
  <c r="AB127" i="3"/>
  <c r="AA127" i="3"/>
  <c r="Z127" i="3"/>
  <c r="Y127" i="3"/>
  <c r="X127" i="3"/>
  <c r="W127" i="3"/>
  <c r="O127" i="3"/>
  <c r="V127" i="3" s="1"/>
  <c r="K127" i="3"/>
  <c r="L151" i="3" s="1"/>
  <c r="C127" i="3"/>
  <c r="AU126" i="3"/>
  <c r="AQ126" i="3"/>
  <c r="AB126" i="3"/>
  <c r="AA126" i="3"/>
  <c r="Z126" i="3"/>
  <c r="Y126" i="3"/>
  <c r="X126" i="3"/>
  <c r="W126" i="3"/>
  <c r="O126" i="3"/>
  <c r="V126" i="3" s="1"/>
  <c r="K126" i="3"/>
  <c r="L150" i="3" s="1"/>
  <c r="C126" i="3"/>
  <c r="G126" i="3" s="1"/>
  <c r="AU125" i="3"/>
  <c r="AQ125" i="3"/>
  <c r="AB125" i="3"/>
  <c r="AA125" i="3"/>
  <c r="Z125" i="3"/>
  <c r="Y125" i="3"/>
  <c r="X125" i="3"/>
  <c r="W125" i="3"/>
  <c r="O125" i="3"/>
  <c r="V125" i="3" s="1"/>
  <c r="K125" i="3"/>
  <c r="C125" i="3"/>
  <c r="G125" i="3" s="1"/>
  <c r="AU124" i="3"/>
  <c r="AQ124" i="3"/>
  <c r="AB124" i="3"/>
  <c r="AA124" i="3"/>
  <c r="Z124" i="3"/>
  <c r="Y124" i="3"/>
  <c r="X124" i="3"/>
  <c r="W124" i="3"/>
  <c r="O124" i="3"/>
  <c r="V124" i="3" s="1"/>
  <c r="K124" i="3"/>
  <c r="L148" i="3" s="1"/>
  <c r="I124" i="3"/>
  <c r="I125" i="3" s="1"/>
  <c r="AS125" i="3" s="1"/>
  <c r="C124" i="3"/>
  <c r="G124" i="3" s="1"/>
  <c r="AU123" i="3"/>
  <c r="AS123" i="3"/>
  <c r="AQ123" i="3"/>
  <c r="AB123" i="3"/>
  <c r="AA123" i="3"/>
  <c r="Z123" i="3"/>
  <c r="Y123" i="3"/>
  <c r="X123" i="3"/>
  <c r="W123" i="3"/>
  <c r="O123" i="3"/>
  <c r="V123" i="3" s="1"/>
  <c r="K123" i="3"/>
  <c r="C123" i="3"/>
  <c r="G123" i="3" s="1"/>
  <c r="AU122" i="3"/>
  <c r="AS122" i="3"/>
  <c r="AQ122" i="3"/>
  <c r="AB122" i="3"/>
  <c r="AA122" i="3"/>
  <c r="Z122" i="3"/>
  <c r="Y122" i="3"/>
  <c r="X122" i="3"/>
  <c r="W122" i="3"/>
  <c r="O122" i="3"/>
  <c r="V122" i="3" s="1"/>
  <c r="K122" i="3"/>
  <c r="C122" i="3"/>
  <c r="G122" i="3" s="1"/>
  <c r="AU121" i="3"/>
  <c r="AS121" i="3"/>
  <c r="AQ121" i="3"/>
  <c r="AB121" i="3"/>
  <c r="AA121" i="3"/>
  <c r="Z121" i="3"/>
  <c r="Y121" i="3"/>
  <c r="X121" i="3"/>
  <c r="W121" i="3"/>
  <c r="O121" i="3"/>
  <c r="V121" i="3" s="1"/>
  <c r="K121" i="3"/>
  <c r="C121" i="3"/>
  <c r="G121" i="3" s="1"/>
  <c r="AU120" i="3"/>
  <c r="AS120" i="3"/>
  <c r="AQ120" i="3"/>
  <c r="AB120" i="3"/>
  <c r="AA120" i="3"/>
  <c r="Z120" i="3"/>
  <c r="Y120" i="3"/>
  <c r="X120" i="3"/>
  <c r="W120" i="3"/>
  <c r="V120" i="3"/>
  <c r="O120" i="3"/>
  <c r="K120" i="3"/>
  <c r="C120" i="3"/>
  <c r="G120" i="3" s="1"/>
  <c r="AU119" i="3"/>
  <c r="AS119" i="3"/>
  <c r="AQ119" i="3"/>
  <c r="AB119" i="3"/>
  <c r="AA119" i="3"/>
  <c r="Z119" i="3"/>
  <c r="Y119" i="3"/>
  <c r="X119" i="3"/>
  <c r="W119" i="3"/>
  <c r="O119" i="3"/>
  <c r="V119" i="3" s="1"/>
  <c r="K119" i="3"/>
  <c r="L143" i="3" s="1"/>
  <c r="C119" i="3"/>
  <c r="AU118" i="3"/>
  <c r="AS118" i="3"/>
  <c r="AQ118" i="3"/>
  <c r="AB118" i="3"/>
  <c r="AA118" i="3"/>
  <c r="Z118" i="3"/>
  <c r="Y118" i="3"/>
  <c r="X118" i="3"/>
  <c r="W118" i="3"/>
  <c r="O118" i="3"/>
  <c r="V118" i="3" s="1"/>
  <c r="K118" i="3"/>
  <c r="L142" i="3" s="1"/>
  <c r="C118" i="3"/>
  <c r="G118" i="3" s="1"/>
  <c r="AU117" i="3"/>
  <c r="AS117" i="3"/>
  <c r="AQ117" i="3"/>
  <c r="AB117" i="3"/>
  <c r="AA117" i="3"/>
  <c r="Z117" i="3"/>
  <c r="Y117" i="3"/>
  <c r="X117" i="3"/>
  <c r="W117" i="3"/>
  <c r="O117" i="3"/>
  <c r="V117" i="3" s="1"/>
  <c r="K117" i="3"/>
  <c r="L141" i="3" s="1"/>
  <c r="C117" i="3"/>
  <c r="G117" i="3" s="1"/>
  <c r="AU116" i="3"/>
  <c r="AS116" i="3"/>
  <c r="AQ116" i="3"/>
  <c r="AB116" i="3"/>
  <c r="AA116" i="3"/>
  <c r="Z116" i="3"/>
  <c r="Y116" i="3"/>
  <c r="X116" i="3"/>
  <c r="W116" i="3"/>
  <c r="O116" i="3"/>
  <c r="V116" i="3" s="1"/>
  <c r="K116" i="3"/>
  <c r="L140" i="3" s="1"/>
  <c r="C116" i="3"/>
  <c r="G116" i="3" s="1"/>
  <c r="AU115" i="3"/>
  <c r="AS115" i="3"/>
  <c r="AQ115" i="3"/>
  <c r="AB115" i="3"/>
  <c r="AA115" i="3"/>
  <c r="Z115" i="3"/>
  <c r="Y115" i="3"/>
  <c r="X115" i="3"/>
  <c r="W115" i="3"/>
  <c r="O115" i="3"/>
  <c r="V115" i="3" s="1"/>
  <c r="K115" i="3"/>
  <c r="L139" i="3" s="1"/>
  <c r="C115" i="3"/>
  <c r="AU114" i="3"/>
  <c r="AS114" i="3"/>
  <c r="AQ114" i="3"/>
  <c r="AB114" i="3"/>
  <c r="AA114" i="3"/>
  <c r="Z114" i="3"/>
  <c r="Y114" i="3"/>
  <c r="X114" i="3"/>
  <c r="W114" i="3"/>
  <c r="O114" i="3"/>
  <c r="V114" i="3" s="1"/>
  <c r="K114" i="3"/>
  <c r="L138" i="3" s="1"/>
  <c r="C114" i="3"/>
  <c r="G114" i="3" s="1"/>
  <c r="AU113" i="3"/>
  <c r="AT113" i="3"/>
  <c r="AT114" i="3" s="1"/>
  <c r="AT115" i="3" s="1"/>
  <c r="AT116" i="3" s="1"/>
  <c r="AT117" i="3" s="1"/>
  <c r="AT118" i="3" s="1"/>
  <c r="AT119" i="3" s="1"/>
  <c r="AT120" i="3" s="1"/>
  <c r="AS113" i="3"/>
  <c r="AQ113" i="3"/>
  <c r="AB113" i="3"/>
  <c r="AA113" i="3"/>
  <c r="Z113" i="3"/>
  <c r="Y113" i="3"/>
  <c r="X113" i="3"/>
  <c r="W113" i="3"/>
  <c r="O113" i="3"/>
  <c r="V113" i="3" s="1"/>
  <c r="K113" i="3"/>
  <c r="L137" i="3" s="1"/>
  <c r="C113" i="3"/>
  <c r="G113" i="3" s="1"/>
  <c r="AU112" i="3"/>
  <c r="AS112" i="3"/>
  <c r="AQ112" i="3"/>
  <c r="AB112" i="3"/>
  <c r="AA112" i="3"/>
  <c r="Z112" i="3"/>
  <c r="Y112" i="3"/>
  <c r="X112" i="3"/>
  <c r="W112" i="3"/>
  <c r="O112" i="3"/>
  <c r="V112" i="3" s="1"/>
  <c r="K112" i="3"/>
  <c r="C112" i="3"/>
  <c r="G112" i="3" s="1"/>
  <c r="AU111" i="3"/>
  <c r="AS111" i="3"/>
  <c r="AQ111" i="3"/>
  <c r="AB111" i="3"/>
  <c r="AA111" i="3"/>
  <c r="Z111" i="3"/>
  <c r="Y111" i="3"/>
  <c r="X111" i="3"/>
  <c r="W111" i="3"/>
  <c r="O111" i="3"/>
  <c r="V111" i="3" s="1"/>
  <c r="K111" i="3"/>
  <c r="L135" i="3" s="1"/>
  <c r="C111" i="3"/>
  <c r="AU110" i="3"/>
  <c r="AS110" i="3"/>
  <c r="AQ110" i="3"/>
  <c r="AB110" i="3"/>
  <c r="AA110" i="3"/>
  <c r="Z110" i="3"/>
  <c r="Y110" i="3"/>
  <c r="X110" i="3"/>
  <c r="W110" i="3"/>
  <c r="O110" i="3"/>
  <c r="V110" i="3" s="1"/>
  <c r="K110" i="3"/>
  <c r="C110" i="3"/>
  <c r="G110" i="3" s="1"/>
  <c r="AU109" i="3"/>
  <c r="AQ109" i="3"/>
  <c r="AB109" i="3"/>
  <c r="AA109" i="3"/>
  <c r="Z109" i="3"/>
  <c r="Y109" i="3"/>
  <c r="X109" i="3"/>
  <c r="W109" i="3"/>
  <c r="O109" i="3"/>
  <c r="V109" i="3" s="1"/>
  <c r="K109" i="3"/>
  <c r="L133" i="3" s="1"/>
  <c r="C109" i="3"/>
  <c r="G109" i="3" s="1"/>
  <c r="AU108" i="3"/>
  <c r="AQ108" i="3"/>
  <c r="AB108" i="3"/>
  <c r="AA108" i="3"/>
  <c r="Z108" i="3"/>
  <c r="Y108" i="3"/>
  <c r="X108" i="3"/>
  <c r="W108" i="3"/>
  <c r="O108" i="3"/>
  <c r="V108" i="3" s="1"/>
  <c r="K108" i="3"/>
  <c r="L132" i="3" s="1"/>
  <c r="C108" i="3"/>
  <c r="G108" i="3" s="1"/>
  <c r="AU107" i="3"/>
  <c r="AQ107" i="3"/>
  <c r="AB107" i="3"/>
  <c r="AA107" i="3"/>
  <c r="Z107" i="3"/>
  <c r="Y107" i="3"/>
  <c r="X107" i="3"/>
  <c r="W107" i="3"/>
  <c r="O107" i="3"/>
  <c r="V107" i="3" s="1"/>
  <c r="K107" i="3"/>
  <c r="L131" i="3" s="1"/>
  <c r="C107" i="3"/>
  <c r="G107" i="3" s="1"/>
  <c r="AU106" i="3"/>
  <c r="AQ106" i="3"/>
  <c r="AB106" i="3"/>
  <c r="AA106" i="3"/>
  <c r="Z106" i="3"/>
  <c r="Y106" i="3"/>
  <c r="X106" i="3"/>
  <c r="W106" i="3"/>
  <c r="O106" i="3"/>
  <c r="V106" i="3" s="1"/>
  <c r="K106" i="3"/>
  <c r="L130" i="3" s="1"/>
  <c r="C106" i="3"/>
  <c r="G106" i="3" s="1"/>
  <c r="AU105" i="3"/>
  <c r="AQ105" i="3"/>
  <c r="AB105" i="3"/>
  <c r="AA105" i="3"/>
  <c r="Z105" i="3"/>
  <c r="Y105" i="3"/>
  <c r="X105" i="3"/>
  <c r="W105" i="3"/>
  <c r="O105" i="3"/>
  <c r="V105" i="3" s="1"/>
  <c r="K105" i="3"/>
  <c r="L129" i="3" s="1"/>
  <c r="C105" i="3"/>
  <c r="G105" i="3" s="1"/>
  <c r="AU104" i="3"/>
  <c r="AQ104" i="3"/>
  <c r="AB104" i="3"/>
  <c r="AA104" i="3"/>
  <c r="Z104" i="3"/>
  <c r="Y104" i="3"/>
  <c r="X104" i="3"/>
  <c r="W104" i="3"/>
  <c r="O104" i="3"/>
  <c r="V104" i="3" s="1"/>
  <c r="K104" i="3"/>
  <c r="L128" i="3" s="1"/>
  <c r="C104" i="3"/>
  <c r="G104" i="3" s="1"/>
  <c r="AU103" i="3"/>
  <c r="AQ103" i="3"/>
  <c r="AB103" i="3"/>
  <c r="AA103" i="3"/>
  <c r="Z103" i="3"/>
  <c r="Y103" i="3"/>
  <c r="X103" i="3"/>
  <c r="W103" i="3"/>
  <c r="O103" i="3"/>
  <c r="V103" i="3" s="1"/>
  <c r="K103" i="3"/>
  <c r="I103" i="3"/>
  <c r="C103" i="3"/>
  <c r="AU102" i="3"/>
  <c r="AS102" i="3"/>
  <c r="AQ102" i="3"/>
  <c r="AB102" i="3"/>
  <c r="AA102" i="3"/>
  <c r="Z102" i="3"/>
  <c r="Y102" i="3"/>
  <c r="X102" i="3"/>
  <c r="W102" i="3"/>
  <c r="O102" i="3"/>
  <c r="V102" i="3" s="1"/>
  <c r="K102" i="3"/>
  <c r="L126" i="3" s="1"/>
  <c r="C102" i="3"/>
  <c r="G102" i="3" s="1"/>
  <c r="AU101" i="3"/>
  <c r="AS101" i="3"/>
  <c r="AQ101" i="3"/>
  <c r="AB101" i="3"/>
  <c r="AA101" i="3"/>
  <c r="Z101" i="3"/>
  <c r="Y101" i="3"/>
  <c r="X101" i="3"/>
  <c r="W101" i="3"/>
  <c r="O101" i="3"/>
  <c r="V101" i="3" s="1"/>
  <c r="K101" i="3"/>
  <c r="L125" i="3" s="1"/>
  <c r="M149" i="3" s="1"/>
  <c r="C101" i="3"/>
  <c r="G101" i="3" s="1"/>
  <c r="BC100" i="3"/>
  <c r="AU100" i="3"/>
  <c r="AS100" i="3"/>
  <c r="AQ100" i="3"/>
  <c r="AB100" i="3"/>
  <c r="AA100" i="3"/>
  <c r="Z100" i="3"/>
  <c r="Y100" i="3"/>
  <c r="X100" i="3"/>
  <c r="W100" i="3"/>
  <c r="O100" i="3"/>
  <c r="V100" i="3" s="1"/>
  <c r="K100" i="3"/>
  <c r="C100" i="3"/>
  <c r="G100" i="3" s="1"/>
  <c r="BC99" i="3"/>
  <c r="AU99" i="3"/>
  <c r="AS99" i="3"/>
  <c r="AQ99" i="3"/>
  <c r="AB99" i="3"/>
  <c r="AA99" i="3"/>
  <c r="Z99" i="3"/>
  <c r="Y99" i="3"/>
  <c r="X99" i="3"/>
  <c r="W99" i="3"/>
  <c r="O99" i="3"/>
  <c r="V99" i="3" s="1"/>
  <c r="K99" i="3"/>
  <c r="C99" i="3"/>
  <c r="BC98" i="3"/>
  <c r="AU98" i="3"/>
  <c r="AS98" i="3"/>
  <c r="AQ98" i="3"/>
  <c r="AB98" i="3"/>
  <c r="AA98" i="3"/>
  <c r="Z98" i="3"/>
  <c r="Y98" i="3"/>
  <c r="X98" i="3"/>
  <c r="W98" i="3"/>
  <c r="O98" i="3"/>
  <c r="V98" i="3" s="1"/>
  <c r="K98" i="3"/>
  <c r="L122" i="3" s="1"/>
  <c r="M146" i="3" s="1"/>
  <c r="C98" i="3"/>
  <c r="G98" i="3" s="1"/>
  <c r="BC97" i="3"/>
  <c r="AU97" i="3"/>
  <c r="AS97" i="3"/>
  <c r="AQ97" i="3"/>
  <c r="AB97" i="3"/>
  <c r="AA97" i="3"/>
  <c r="Z97" i="3"/>
  <c r="Y97" i="3"/>
  <c r="X97" i="3"/>
  <c r="W97" i="3"/>
  <c r="O97" i="3"/>
  <c r="V97" i="3" s="1"/>
  <c r="K97" i="3"/>
  <c r="L121" i="3" s="1"/>
  <c r="M145" i="3" s="1"/>
  <c r="C97" i="3"/>
  <c r="G97" i="3" s="1"/>
  <c r="BC96" i="3"/>
  <c r="AU96" i="3"/>
  <c r="AQ96" i="3"/>
  <c r="AB96" i="3"/>
  <c r="AA96" i="3"/>
  <c r="Z96" i="3"/>
  <c r="Y96" i="3"/>
  <c r="X96" i="3"/>
  <c r="W96" i="3"/>
  <c r="O96" i="3"/>
  <c r="V96" i="3" s="1"/>
  <c r="K96" i="3"/>
  <c r="C96" i="3"/>
  <c r="G96" i="3" s="1"/>
  <c r="BC95" i="3"/>
  <c r="AU95" i="3"/>
  <c r="AQ95" i="3"/>
  <c r="AB95" i="3"/>
  <c r="AA95" i="3"/>
  <c r="Z95" i="3"/>
  <c r="Y95" i="3"/>
  <c r="X95" i="3"/>
  <c r="W95" i="3"/>
  <c r="O95" i="3"/>
  <c r="V95" i="3" s="1"/>
  <c r="K95" i="3"/>
  <c r="C95" i="3"/>
  <c r="BC94" i="3"/>
  <c r="AU94" i="3"/>
  <c r="AQ94" i="3"/>
  <c r="AB94" i="3"/>
  <c r="AA94" i="3"/>
  <c r="Z94" i="3"/>
  <c r="Y94" i="3"/>
  <c r="X94" i="3"/>
  <c r="W94" i="3"/>
  <c r="O94" i="3"/>
  <c r="V94" i="3" s="1"/>
  <c r="K94" i="3"/>
  <c r="C94" i="3"/>
  <c r="G94" i="3" s="1"/>
  <c r="BC93" i="3"/>
  <c r="AU93" i="3"/>
  <c r="AQ93" i="3"/>
  <c r="AB93" i="3"/>
  <c r="AA93" i="3"/>
  <c r="Z93" i="3"/>
  <c r="Y93" i="3"/>
  <c r="X93" i="3"/>
  <c r="W93" i="3"/>
  <c r="O93" i="3"/>
  <c r="V93" i="3" s="1"/>
  <c r="K93" i="3"/>
  <c r="C93" i="3"/>
  <c r="G93" i="3" s="1"/>
  <c r="BC92" i="3"/>
  <c r="AU92" i="3"/>
  <c r="AQ92" i="3"/>
  <c r="AB92" i="3"/>
  <c r="AA92" i="3"/>
  <c r="Z92" i="3"/>
  <c r="Y92" i="3"/>
  <c r="X92" i="3"/>
  <c r="W92" i="3"/>
  <c r="O92" i="3"/>
  <c r="V92" i="3" s="1"/>
  <c r="K92" i="3"/>
  <c r="C92" i="3"/>
  <c r="G92" i="3" s="1"/>
  <c r="BC91" i="3"/>
  <c r="AU91" i="3"/>
  <c r="AQ91" i="3"/>
  <c r="AB91" i="3"/>
  <c r="AA91" i="3"/>
  <c r="Z91" i="3"/>
  <c r="Y91" i="3"/>
  <c r="X91" i="3"/>
  <c r="W91" i="3"/>
  <c r="O91" i="3"/>
  <c r="V91" i="3" s="1"/>
  <c r="K91" i="3"/>
  <c r="C91" i="3"/>
  <c r="BC90" i="3"/>
  <c r="AU90" i="3"/>
  <c r="AQ90" i="3"/>
  <c r="AB90" i="3"/>
  <c r="AA90" i="3"/>
  <c r="Z90" i="3"/>
  <c r="Y90" i="3"/>
  <c r="X90" i="3"/>
  <c r="W90" i="3"/>
  <c r="O90" i="3"/>
  <c r="V90" i="3" s="1"/>
  <c r="K90" i="3"/>
  <c r="C90" i="3"/>
  <c r="G90" i="3" s="1"/>
  <c r="BC89" i="3"/>
  <c r="AU89" i="3"/>
  <c r="AQ89" i="3"/>
  <c r="AB89" i="3"/>
  <c r="AA89" i="3"/>
  <c r="Z89" i="3"/>
  <c r="Y89" i="3"/>
  <c r="X89" i="3"/>
  <c r="W89" i="3"/>
  <c r="O89" i="3"/>
  <c r="V89" i="3" s="1"/>
  <c r="K89" i="3"/>
  <c r="C89" i="3"/>
  <c r="G89" i="3" s="1"/>
  <c r="BC88" i="3"/>
  <c r="AU88" i="3"/>
  <c r="AQ88" i="3"/>
  <c r="AB88" i="3"/>
  <c r="AA88" i="3"/>
  <c r="Z88" i="3"/>
  <c r="Y88" i="3"/>
  <c r="X88" i="3"/>
  <c r="W88" i="3"/>
  <c r="O88" i="3"/>
  <c r="V88" i="3" s="1"/>
  <c r="K88" i="3"/>
  <c r="C88" i="3"/>
  <c r="G88" i="3" s="1"/>
  <c r="BC87" i="3"/>
  <c r="AU87" i="3"/>
  <c r="AQ87" i="3"/>
  <c r="AB87" i="3"/>
  <c r="AA87" i="3"/>
  <c r="Z87" i="3"/>
  <c r="Y87" i="3"/>
  <c r="X87" i="3"/>
  <c r="W87" i="3"/>
  <c r="V87" i="3"/>
  <c r="O87" i="3"/>
  <c r="K87" i="3"/>
  <c r="C87" i="3"/>
  <c r="BC86" i="3"/>
  <c r="AU86" i="3"/>
  <c r="AQ86" i="3"/>
  <c r="AB86" i="3"/>
  <c r="AA86" i="3"/>
  <c r="Z86" i="3"/>
  <c r="Y86" i="3"/>
  <c r="X86" i="3"/>
  <c r="W86" i="3"/>
  <c r="O86" i="3"/>
  <c r="V86" i="3" s="1"/>
  <c r="K86" i="3"/>
  <c r="C86" i="3"/>
  <c r="G86" i="3" s="1"/>
  <c r="BC85" i="3"/>
  <c r="AU85" i="3"/>
  <c r="AQ85" i="3"/>
  <c r="AB85" i="3"/>
  <c r="AA85" i="3"/>
  <c r="Z85" i="3"/>
  <c r="Y85" i="3"/>
  <c r="X85" i="3"/>
  <c r="W85" i="3"/>
  <c r="O85" i="3"/>
  <c r="V85" i="3" s="1"/>
  <c r="K85" i="3"/>
  <c r="C85" i="3"/>
  <c r="G85" i="3" s="1"/>
  <c r="BC84" i="3"/>
  <c r="AU84" i="3"/>
  <c r="AQ84" i="3"/>
  <c r="AB84" i="3"/>
  <c r="AA84" i="3"/>
  <c r="Z84" i="3"/>
  <c r="Y84" i="3"/>
  <c r="X84" i="3"/>
  <c r="W84" i="3"/>
  <c r="O84" i="3"/>
  <c r="V84" i="3" s="1"/>
  <c r="K84" i="3"/>
  <c r="AW84" i="3" s="1"/>
  <c r="C84" i="3"/>
  <c r="G84" i="3" s="1"/>
  <c r="BC83" i="3"/>
  <c r="AU83" i="3"/>
  <c r="AQ83" i="3"/>
  <c r="AB83" i="3"/>
  <c r="AA83" i="3"/>
  <c r="Z83" i="3"/>
  <c r="Y83" i="3"/>
  <c r="X83" i="3"/>
  <c r="W83" i="3"/>
  <c r="V83" i="3"/>
  <c r="O83" i="3"/>
  <c r="K83" i="3"/>
  <c r="C83" i="3"/>
  <c r="G83" i="3" s="1"/>
  <c r="BC82" i="3"/>
  <c r="AU82" i="3"/>
  <c r="AQ82" i="3"/>
  <c r="AB82" i="3"/>
  <c r="AA82" i="3"/>
  <c r="Z82" i="3"/>
  <c r="Y82" i="3"/>
  <c r="X82" i="3"/>
  <c r="W82" i="3"/>
  <c r="O82" i="3"/>
  <c r="V82" i="3" s="1"/>
  <c r="K82" i="3"/>
  <c r="L106" i="3" s="1"/>
  <c r="C82" i="3"/>
  <c r="G82" i="3" s="1"/>
  <c r="BC81" i="3"/>
  <c r="BA81" i="3"/>
  <c r="AU81" i="3"/>
  <c r="AQ81" i="3"/>
  <c r="AB81" i="3"/>
  <c r="AA81" i="3"/>
  <c r="Z81" i="3"/>
  <c r="Y81" i="3"/>
  <c r="X81" i="3"/>
  <c r="W81" i="3"/>
  <c r="O81" i="3"/>
  <c r="V81" i="3" s="1"/>
  <c r="K81" i="3"/>
  <c r="AW81" i="3" s="1"/>
  <c r="C81" i="3"/>
  <c r="G81" i="3" s="1"/>
  <c r="BC80" i="3"/>
  <c r="BA80" i="3"/>
  <c r="AU80" i="3"/>
  <c r="AQ80" i="3"/>
  <c r="AB80" i="3"/>
  <c r="AA80" i="3"/>
  <c r="Z80" i="3"/>
  <c r="Y80" i="3"/>
  <c r="X80" i="3"/>
  <c r="W80" i="3"/>
  <c r="O80" i="3"/>
  <c r="V80" i="3" s="1"/>
  <c r="K80" i="3"/>
  <c r="C80" i="3"/>
  <c r="G80" i="3" s="1"/>
  <c r="BC79" i="3"/>
  <c r="BA79" i="3"/>
  <c r="AU79" i="3"/>
  <c r="AQ79" i="3"/>
  <c r="AB79" i="3"/>
  <c r="AA79" i="3"/>
  <c r="Z79" i="3"/>
  <c r="Y79" i="3"/>
  <c r="X79" i="3"/>
  <c r="W79" i="3"/>
  <c r="O79" i="3"/>
  <c r="V79" i="3" s="1"/>
  <c r="K79" i="3"/>
  <c r="C79" i="3"/>
  <c r="BC78" i="3"/>
  <c r="BA78" i="3"/>
  <c r="AU78" i="3"/>
  <c r="AQ78" i="3"/>
  <c r="AB78" i="3"/>
  <c r="AA78" i="3"/>
  <c r="Z78" i="3"/>
  <c r="Y78" i="3"/>
  <c r="X78" i="3"/>
  <c r="W78" i="3"/>
  <c r="O78" i="3"/>
  <c r="V78" i="3" s="1"/>
  <c r="K78" i="3"/>
  <c r="C78" i="3"/>
  <c r="G78" i="3" s="1"/>
  <c r="BC77" i="3"/>
  <c r="BB77" i="3"/>
  <c r="BB78" i="3" s="1"/>
  <c r="BB79" i="3" s="1"/>
  <c r="BB80" i="3" s="1"/>
  <c r="BB81" i="3" s="1"/>
  <c r="BB82" i="3" s="1"/>
  <c r="BB83" i="3" s="1"/>
  <c r="BB84" i="3" s="1"/>
  <c r="BB85" i="3" s="1"/>
  <c r="BB86" i="3" s="1"/>
  <c r="BB87" i="3" s="1"/>
  <c r="BB88" i="3" s="1"/>
  <c r="BB89" i="3" s="1"/>
  <c r="BB90" i="3" s="1"/>
  <c r="BB91" i="3" s="1"/>
  <c r="BB92" i="3" s="1"/>
  <c r="BB93" i="3" s="1"/>
  <c r="BB94" i="3" s="1"/>
  <c r="BB95" i="3" s="1"/>
  <c r="BB96" i="3" s="1"/>
  <c r="BB97" i="3" s="1"/>
  <c r="BB98" i="3" s="1"/>
  <c r="BB99" i="3" s="1"/>
  <c r="BB100" i="3" s="1"/>
  <c r="BB101" i="3" s="1"/>
  <c r="BB102" i="3" s="1"/>
  <c r="BB103" i="3" s="1"/>
  <c r="BB104" i="3" s="1"/>
  <c r="BB105" i="3" s="1"/>
  <c r="BB106" i="3" s="1"/>
  <c r="BB107" i="3" s="1"/>
  <c r="BA77" i="3"/>
  <c r="AW77" i="3"/>
  <c r="AU77" i="3"/>
  <c r="AQ77" i="3"/>
  <c r="AB77" i="3"/>
  <c r="AA77" i="3"/>
  <c r="Z77" i="3"/>
  <c r="Y77" i="3"/>
  <c r="X77" i="3"/>
  <c r="W77" i="3"/>
  <c r="O77" i="3"/>
  <c r="V77" i="3" s="1"/>
  <c r="K77" i="3"/>
  <c r="L101" i="3" s="1"/>
  <c r="M125" i="3" s="1"/>
  <c r="C77" i="3"/>
  <c r="G77" i="3" s="1"/>
  <c r="BC76" i="3"/>
  <c r="BA76" i="3"/>
  <c r="AU76" i="3"/>
  <c r="AQ76" i="3"/>
  <c r="AB76" i="3"/>
  <c r="AA76" i="3"/>
  <c r="Z76" i="3"/>
  <c r="Y76" i="3"/>
  <c r="X76" i="3"/>
  <c r="W76" i="3"/>
  <c r="O76" i="3"/>
  <c r="V76" i="3" s="1"/>
  <c r="K76" i="3"/>
  <c r="L100" i="3" s="1"/>
  <c r="M124" i="3" s="1"/>
  <c r="C76" i="3"/>
  <c r="G76" i="3" s="1"/>
  <c r="BC75" i="3"/>
  <c r="BA75" i="3"/>
  <c r="AU75" i="3"/>
  <c r="AQ75" i="3"/>
  <c r="AB75" i="3"/>
  <c r="AA75" i="3"/>
  <c r="Z75" i="3"/>
  <c r="Y75" i="3"/>
  <c r="X75" i="3"/>
  <c r="W75" i="3"/>
  <c r="O75" i="3"/>
  <c r="V75" i="3" s="1"/>
  <c r="K75" i="3"/>
  <c r="AW75" i="3" s="1"/>
  <c r="C75" i="3"/>
  <c r="BC74" i="3"/>
  <c r="BA74" i="3"/>
  <c r="AU74" i="3"/>
  <c r="AQ74" i="3"/>
  <c r="AB74" i="3"/>
  <c r="AA74" i="3"/>
  <c r="Z74" i="3"/>
  <c r="Y74" i="3"/>
  <c r="X74" i="3"/>
  <c r="W74" i="3"/>
  <c r="O74" i="3"/>
  <c r="V74" i="3" s="1"/>
  <c r="K74" i="3"/>
  <c r="C74" i="3"/>
  <c r="G74" i="3" s="1"/>
  <c r="BC73" i="3"/>
  <c r="BA73" i="3"/>
  <c r="AU73" i="3"/>
  <c r="AQ73" i="3"/>
  <c r="AB73" i="3"/>
  <c r="AA73" i="3"/>
  <c r="Z73" i="3"/>
  <c r="Y73" i="3"/>
  <c r="X73" i="3"/>
  <c r="W73" i="3"/>
  <c r="O73" i="3"/>
  <c r="V73" i="3" s="1"/>
  <c r="K73" i="3"/>
  <c r="L97" i="3" s="1"/>
  <c r="C73" i="3"/>
  <c r="G73" i="3" s="1"/>
  <c r="BC72" i="3"/>
  <c r="BA72" i="3"/>
  <c r="AU72" i="3"/>
  <c r="AQ72" i="3"/>
  <c r="AB72" i="3"/>
  <c r="AA72" i="3"/>
  <c r="Z72" i="3"/>
  <c r="Y72" i="3"/>
  <c r="X72" i="3"/>
  <c r="W72" i="3"/>
  <c r="O72" i="3"/>
  <c r="V72" i="3" s="1"/>
  <c r="K72" i="3"/>
  <c r="L96" i="3" s="1"/>
  <c r="C72" i="3"/>
  <c r="G72" i="3" s="1"/>
  <c r="BC71" i="3"/>
  <c r="BA71" i="3"/>
  <c r="AU71" i="3"/>
  <c r="AQ71" i="3"/>
  <c r="AB71" i="3"/>
  <c r="AA71" i="3"/>
  <c r="Z71" i="3"/>
  <c r="Y71" i="3"/>
  <c r="X71" i="3"/>
  <c r="W71" i="3"/>
  <c r="O71" i="3"/>
  <c r="V71" i="3" s="1"/>
  <c r="K71" i="3"/>
  <c r="C71" i="3"/>
  <c r="BC70" i="3"/>
  <c r="BA70" i="3"/>
  <c r="AU70" i="3"/>
  <c r="AQ70" i="3"/>
  <c r="AB70" i="3"/>
  <c r="AA70" i="3"/>
  <c r="Z70" i="3"/>
  <c r="Y70" i="3"/>
  <c r="X70" i="3"/>
  <c r="W70" i="3"/>
  <c r="V70" i="3"/>
  <c r="O70" i="3"/>
  <c r="K70" i="3"/>
  <c r="I70" i="3"/>
  <c r="I71" i="3" s="1"/>
  <c r="C70" i="3"/>
  <c r="G70" i="3" s="1"/>
  <c r="BC69" i="3"/>
  <c r="BA69" i="3"/>
  <c r="AU69" i="3"/>
  <c r="AS69" i="3"/>
  <c r="AQ69" i="3"/>
  <c r="AB69" i="3"/>
  <c r="AA69" i="3"/>
  <c r="Z69" i="3"/>
  <c r="Y69" i="3"/>
  <c r="X69" i="3"/>
  <c r="W69" i="3"/>
  <c r="O69" i="3"/>
  <c r="V69" i="3" s="1"/>
  <c r="K69" i="3"/>
  <c r="L93" i="3" s="1"/>
  <c r="M117" i="3" s="1"/>
  <c r="C69" i="3"/>
  <c r="G69" i="3" s="1"/>
  <c r="BC68" i="3"/>
  <c r="BA68" i="3"/>
  <c r="AU68" i="3"/>
  <c r="AS68" i="3"/>
  <c r="AQ68" i="3"/>
  <c r="AB68" i="3"/>
  <c r="AA68" i="3"/>
  <c r="Z68" i="3"/>
  <c r="Y68" i="3"/>
  <c r="X68" i="3"/>
  <c r="W68" i="3"/>
  <c r="O68" i="3"/>
  <c r="V68" i="3" s="1"/>
  <c r="K68" i="3"/>
  <c r="C68" i="3"/>
  <c r="G68" i="3" s="1"/>
  <c r="BC67" i="3"/>
  <c r="BA67" i="3"/>
  <c r="AU67" i="3"/>
  <c r="AS67" i="3"/>
  <c r="AQ67" i="3"/>
  <c r="AK67" i="3"/>
  <c r="AB67" i="3"/>
  <c r="AA67" i="3"/>
  <c r="Z67" i="3"/>
  <c r="Y67" i="3"/>
  <c r="X67" i="3"/>
  <c r="W67" i="3"/>
  <c r="O67" i="3"/>
  <c r="V67" i="3" s="1"/>
  <c r="K67" i="3"/>
  <c r="C67" i="3"/>
  <c r="BC66" i="3"/>
  <c r="BA66" i="3"/>
  <c r="AU66" i="3"/>
  <c r="AS66" i="3"/>
  <c r="AQ66" i="3"/>
  <c r="AK66" i="3"/>
  <c r="AB66" i="3"/>
  <c r="AA66" i="3"/>
  <c r="Z66" i="3"/>
  <c r="Y66" i="3"/>
  <c r="X66" i="3"/>
  <c r="W66" i="3"/>
  <c r="O66" i="3"/>
  <c r="V66" i="3" s="1"/>
  <c r="K66" i="3"/>
  <c r="L90" i="3" s="1"/>
  <c r="M114" i="3" s="1"/>
  <c r="C66" i="3"/>
  <c r="G66" i="3" s="1"/>
  <c r="BC65" i="3"/>
  <c r="BA65" i="3"/>
  <c r="AU65" i="3"/>
  <c r="AS65" i="3"/>
  <c r="AQ65" i="3"/>
  <c r="AK65" i="3"/>
  <c r="AB65" i="3"/>
  <c r="AA65" i="3"/>
  <c r="Z65" i="3"/>
  <c r="Y65" i="3"/>
  <c r="X65" i="3"/>
  <c r="W65" i="3"/>
  <c r="O65" i="3"/>
  <c r="V65" i="3" s="1"/>
  <c r="K65" i="3"/>
  <c r="L89" i="3" s="1"/>
  <c r="M113" i="3" s="1"/>
  <c r="C65" i="3"/>
  <c r="G65" i="3" s="1"/>
  <c r="BC64" i="3"/>
  <c r="BA64" i="3"/>
  <c r="AU64" i="3"/>
  <c r="AQ64" i="3"/>
  <c r="AK64" i="3"/>
  <c r="AB64" i="3"/>
  <c r="AA64" i="3"/>
  <c r="Z64" i="3"/>
  <c r="Y64" i="3"/>
  <c r="X64" i="3"/>
  <c r="W64" i="3"/>
  <c r="O64" i="3"/>
  <c r="V64" i="3" s="1"/>
  <c r="C64" i="3"/>
  <c r="G64" i="3" s="1"/>
  <c r="BC63" i="3"/>
  <c r="BA63" i="3"/>
  <c r="AU63" i="3"/>
  <c r="AQ63" i="3"/>
  <c r="AK63" i="3"/>
  <c r="AB63" i="3"/>
  <c r="AA63" i="3"/>
  <c r="Z63" i="3"/>
  <c r="Y63" i="3"/>
  <c r="X63" i="3"/>
  <c r="W63" i="3"/>
  <c r="O63" i="3"/>
  <c r="V63" i="3" s="1"/>
  <c r="C63" i="3"/>
  <c r="BC62" i="3"/>
  <c r="BA62" i="3"/>
  <c r="AU62" i="3"/>
  <c r="AQ62" i="3"/>
  <c r="AK62" i="3"/>
  <c r="AB62" i="3"/>
  <c r="AA62" i="3"/>
  <c r="Z62" i="3"/>
  <c r="Y62" i="3"/>
  <c r="X62" i="3"/>
  <c r="W62" i="3"/>
  <c r="V62" i="3"/>
  <c r="O62" i="3"/>
  <c r="C62" i="3"/>
  <c r="G62" i="3" s="1"/>
  <c r="BC61" i="3"/>
  <c r="BA61" i="3"/>
  <c r="AU61" i="3"/>
  <c r="AQ61" i="3"/>
  <c r="AK61" i="3"/>
  <c r="AB61" i="3"/>
  <c r="AA61" i="3"/>
  <c r="Z61" i="3"/>
  <c r="Y61" i="3"/>
  <c r="X61" i="3"/>
  <c r="W61" i="3"/>
  <c r="O61" i="3"/>
  <c r="V61" i="3" s="1"/>
  <c r="C61" i="3"/>
  <c r="G61" i="3" s="1"/>
  <c r="BC60" i="3"/>
  <c r="BA60" i="3"/>
  <c r="AU60" i="3"/>
  <c r="AQ60" i="3"/>
  <c r="AK60" i="3"/>
  <c r="AB60" i="3"/>
  <c r="AA60" i="3"/>
  <c r="Z60" i="3"/>
  <c r="Y60" i="3"/>
  <c r="X60" i="3"/>
  <c r="W60" i="3"/>
  <c r="O60" i="3"/>
  <c r="V60" i="3" s="1"/>
  <c r="C60" i="3"/>
  <c r="G60" i="3" s="1"/>
  <c r="BC59" i="3"/>
  <c r="BA59" i="3"/>
  <c r="AU59" i="3"/>
  <c r="AQ59" i="3"/>
  <c r="AK59" i="3"/>
  <c r="AB59" i="3"/>
  <c r="AA59" i="3"/>
  <c r="Z59" i="3"/>
  <c r="Y59" i="3"/>
  <c r="X59" i="3"/>
  <c r="W59" i="3"/>
  <c r="O59" i="3"/>
  <c r="V59" i="3" s="1"/>
  <c r="C59" i="3"/>
  <c r="BC58" i="3"/>
  <c r="BA58" i="3"/>
  <c r="AU58" i="3"/>
  <c r="AQ58" i="3"/>
  <c r="AK58" i="3"/>
  <c r="AB58" i="3"/>
  <c r="AA58" i="3"/>
  <c r="Z58" i="3"/>
  <c r="Y58" i="3"/>
  <c r="X58" i="3"/>
  <c r="W58" i="3"/>
  <c r="O58" i="3"/>
  <c r="V58" i="3" s="1"/>
  <c r="C58" i="3"/>
  <c r="G58" i="3" s="1"/>
  <c r="BC57" i="3"/>
  <c r="BA57" i="3"/>
  <c r="AY57" i="3"/>
  <c r="AU57" i="3"/>
  <c r="AQ57" i="3"/>
  <c r="AK57" i="3"/>
  <c r="AB57" i="3"/>
  <c r="AA57" i="3"/>
  <c r="Z57" i="3"/>
  <c r="Y57" i="3"/>
  <c r="X57" i="3"/>
  <c r="W57" i="3"/>
  <c r="O57" i="3"/>
  <c r="V57" i="3" s="1"/>
  <c r="C57" i="3"/>
  <c r="G57" i="3" s="1"/>
  <c r="BC56" i="3"/>
  <c r="BA56" i="3"/>
  <c r="AY56" i="3"/>
  <c r="AU56" i="3"/>
  <c r="AQ56" i="3"/>
  <c r="AK56" i="3"/>
  <c r="AB56" i="3"/>
  <c r="AA56" i="3"/>
  <c r="Z56" i="3"/>
  <c r="Y56" i="3"/>
  <c r="X56" i="3"/>
  <c r="W56" i="3"/>
  <c r="V56" i="3"/>
  <c r="O56" i="3"/>
  <c r="C56" i="3"/>
  <c r="G56" i="3" s="1"/>
  <c r="BC55" i="3"/>
  <c r="BA55" i="3"/>
  <c r="AY55" i="3"/>
  <c r="AU55" i="3"/>
  <c r="AQ55" i="3"/>
  <c r="AK55" i="3"/>
  <c r="AB55" i="3"/>
  <c r="AA55" i="3"/>
  <c r="Z55" i="3"/>
  <c r="Y55" i="3"/>
  <c r="X55" i="3"/>
  <c r="W55" i="3"/>
  <c r="V55" i="3"/>
  <c r="O55" i="3"/>
  <c r="I55" i="3"/>
  <c r="C55" i="3"/>
  <c r="G55" i="3" s="1"/>
  <c r="BC54" i="3"/>
  <c r="BA54" i="3"/>
  <c r="AZ54" i="3"/>
  <c r="AZ55" i="3" s="1"/>
  <c r="AZ56" i="3" s="1"/>
  <c r="AZ57" i="3" s="1"/>
  <c r="AZ58" i="3" s="1"/>
  <c r="AZ59" i="3" s="1"/>
  <c r="AZ60" i="3" s="1"/>
  <c r="AZ61" i="3" s="1"/>
  <c r="AZ62" i="3" s="1"/>
  <c r="AZ63" i="3" s="1"/>
  <c r="AZ64" i="3" s="1"/>
  <c r="AZ65" i="3" s="1"/>
  <c r="AZ66" i="3" s="1"/>
  <c r="AZ67" i="3" s="1"/>
  <c r="AZ68" i="3" s="1"/>
  <c r="AZ69" i="3" s="1"/>
  <c r="AZ70" i="3" s="1"/>
  <c r="AZ71" i="3" s="1"/>
  <c r="AZ72" i="3" s="1"/>
  <c r="AZ73" i="3" s="1"/>
  <c r="AZ74" i="3" s="1"/>
  <c r="AZ75" i="3" s="1"/>
  <c r="AZ76" i="3" s="1"/>
  <c r="AZ77" i="3" s="1"/>
  <c r="AZ78" i="3" s="1"/>
  <c r="AZ79" i="3" s="1"/>
  <c r="AZ80" i="3" s="1"/>
  <c r="AZ81" i="3" s="1"/>
  <c r="AZ82" i="3" s="1"/>
  <c r="AZ83" i="3" s="1"/>
  <c r="AZ84" i="3" s="1"/>
  <c r="AY54" i="3"/>
  <c r="AU54" i="3"/>
  <c r="AS54" i="3"/>
  <c r="AQ54" i="3"/>
  <c r="AK54" i="3"/>
  <c r="AB54" i="3"/>
  <c r="AA54" i="3"/>
  <c r="Z54" i="3"/>
  <c r="Y54" i="3"/>
  <c r="X54" i="3"/>
  <c r="W54" i="3"/>
  <c r="O54" i="3"/>
  <c r="V54" i="3" s="1"/>
  <c r="C54" i="3"/>
  <c r="G54" i="3" s="1"/>
  <c r="BC53" i="3"/>
  <c r="BA53" i="3"/>
  <c r="AY53" i="3"/>
  <c r="AU53" i="3"/>
  <c r="AS53" i="3"/>
  <c r="AQ53" i="3"/>
  <c r="AK53" i="3"/>
  <c r="AB53" i="3"/>
  <c r="AA53" i="3"/>
  <c r="Z53" i="3"/>
  <c r="Y53" i="3"/>
  <c r="X53" i="3"/>
  <c r="W53" i="3"/>
  <c r="O53" i="3"/>
  <c r="V53" i="3" s="1"/>
  <c r="C53" i="3"/>
  <c r="G53" i="3" s="1"/>
  <c r="BC52" i="3"/>
  <c r="BA52" i="3"/>
  <c r="AY52" i="3"/>
  <c r="AU52" i="3"/>
  <c r="AS52" i="3"/>
  <c r="AQ52" i="3"/>
  <c r="AK52" i="3"/>
  <c r="AB52" i="3"/>
  <c r="AA52" i="3"/>
  <c r="Z52" i="3"/>
  <c r="Y52" i="3"/>
  <c r="X52" i="3"/>
  <c r="W52" i="3"/>
  <c r="O52" i="3"/>
  <c r="V52" i="3" s="1"/>
  <c r="C52" i="3"/>
  <c r="G52" i="3" s="1"/>
  <c r="BC51" i="3"/>
  <c r="BA51" i="3"/>
  <c r="AY51" i="3"/>
  <c r="AU51" i="3"/>
  <c r="AS51" i="3"/>
  <c r="AQ51" i="3"/>
  <c r="AK51" i="3"/>
  <c r="AB51" i="3"/>
  <c r="AA51" i="3"/>
  <c r="Z51" i="3"/>
  <c r="Y51" i="3"/>
  <c r="X51" i="3"/>
  <c r="W51" i="3"/>
  <c r="O51" i="3"/>
  <c r="V51" i="3" s="1"/>
  <c r="C51" i="3"/>
  <c r="BC50" i="3"/>
  <c r="BA50" i="3"/>
  <c r="AY50" i="3"/>
  <c r="AU50" i="3"/>
  <c r="AS50" i="3"/>
  <c r="AQ50" i="3"/>
  <c r="AK50" i="3"/>
  <c r="AB50" i="3"/>
  <c r="AA50" i="3"/>
  <c r="Z50" i="3"/>
  <c r="Y50" i="3"/>
  <c r="X50" i="3"/>
  <c r="W50" i="3"/>
  <c r="O50" i="3"/>
  <c r="V50" i="3" s="1"/>
  <c r="C50" i="3"/>
  <c r="G50" i="3" s="1"/>
  <c r="BC49" i="3"/>
  <c r="BA49" i="3"/>
  <c r="AY49" i="3"/>
  <c r="AU49" i="3"/>
  <c r="AS49" i="3"/>
  <c r="AQ49" i="3"/>
  <c r="AK49" i="3"/>
  <c r="AB49" i="3"/>
  <c r="AA49" i="3"/>
  <c r="Z49" i="3"/>
  <c r="Y49" i="3"/>
  <c r="X49" i="3"/>
  <c r="W49" i="3"/>
  <c r="O49" i="3"/>
  <c r="V49" i="3" s="1"/>
  <c r="C49" i="3"/>
  <c r="G49" i="3" s="1"/>
  <c r="BC48" i="3"/>
  <c r="BA48" i="3"/>
  <c r="AY48" i="3"/>
  <c r="AU48" i="3"/>
  <c r="AT48" i="3"/>
  <c r="AT49" i="3" s="1"/>
  <c r="AT50" i="3" s="1"/>
  <c r="AT51" i="3" s="1"/>
  <c r="AT52" i="3" s="1"/>
  <c r="AT53" i="3" s="1"/>
  <c r="AT54" i="3" s="1"/>
  <c r="AT55" i="3" s="1"/>
  <c r="AT56" i="3" s="1"/>
  <c r="AT57" i="3" s="1"/>
  <c r="AT58" i="3" s="1"/>
  <c r="AT59" i="3" s="1"/>
  <c r="AT60" i="3" s="1"/>
  <c r="AT61" i="3" s="1"/>
  <c r="AT62" i="3" s="1"/>
  <c r="AT63" i="3" s="1"/>
  <c r="AT64" i="3" s="1"/>
  <c r="AT65" i="3" s="1"/>
  <c r="AT66" i="3" s="1"/>
  <c r="AT67" i="3" s="1"/>
  <c r="AT68" i="3" s="1"/>
  <c r="AT69" i="3" s="1"/>
  <c r="AT70" i="3" s="1"/>
  <c r="AT71" i="3" s="1"/>
  <c r="AT72" i="3" s="1"/>
  <c r="AT73" i="3" s="1"/>
  <c r="AT74" i="3" s="1"/>
  <c r="AT75" i="3" s="1"/>
  <c r="AT76" i="3" s="1"/>
  <c r="AT77" i="3" s="1"/>
  <c r="AT78" i="3" s="1"/>
  <c r="AT79" i="3" s="1"/>
  <c r="AT80" i="3" s="1"/>
  <c r="AT81" i="3" s="1"/>
  <c r="AT82" i="3" s="1"/>
  <c r="AT83" i="3" s="1"/>
  <c r="AT84" i="3" s="1"/>
  <c r="AT85" i="3" s="1"/>
  <c r="AT86" i="3" s="1"/>
  <c r="AT87" i="3" s="1"/>
  <c r="AT88" i="3" s="1"/>
  <c r="AT89" i="3" s="1"/>
  <c r="AT90" i="3" s="1"/>
  <c r="AT91" i="3" s="1"/>
  <c r="AT92" i="3" s="1"/>
  <c r="AT93" i="3" s="1"/>
  <c r="AT94" i="3" s="1"/>
  <c r="AT95" i="3" s="1"/>
  <c r="AT96" i="3" s="1"/>
  <c r="AT97" i="3" s="1"/>
  <c r="AT98" i="3" s="1"/>
  <c r="AT99" i="3" s="1"/>
  <c r="AT100" i="3" s="1"/>
  <c r="AT101" i="3" s="1"/>
  <c r="AT102" i="3" s="1"/>
  <c r="AT103" i="3" s="1"/>
  <c r="AT104" i="3" s="1"/>
  <c r="AT105" i="3" s="1"/>
  <c r="AS48" i="3"/>
  <c r="AQ48" i="3"/>
  <c r="AK48" i="3"/>
  <c r="AB48" i="3"/>
  <c r="AA48" i="3"/>
  <c r="Z48" i="3"/>
  <c r="Y48" i="3"/>
  <c r="X48" i="3"/>
  <c r="W48" i="3"/>
  <c r="O48" i="3"/>
  <c r="V48" i="3" s="1"/>
  <c r="C48" i="3"/>
  <c r="G48" i="3" s="1"/>
  <c r="BC47" i="3"/>
  <c r="BA47" i="3"/>
  <c r="AY47" i="3"/>
  <c r="AS47" i="3"/>
  <c r="AQ47" i="3"/>
  <c r="AK47" i="3"/>
  <c r="AB47" i="3"/>
  <c r="AA47" i="3"/>
  <c r="Z47" i="3"/>
  <c r="Y47" i="3"/>
  <c r="X47" i="3"/>
  <c r="W47" i="3"/>
  <c r="O47" i="3"/>
  <c r="V47" i="3" s="1"/>
  <c r="C47" i="3"/>
  <c r="BC46" i="3"/>
  <c r="BA46" i="3"/>
  <c r="AY46" i="3"/>
  <c r="AQ46" i="3"/>
  <c r="AK46" i="3"/>
  <c r="AB46" i="3"/>
  <c r="AA46" i="3"/>
  <c r="Z46" i="3"/>
  <c r="Y46" i="3"/>
  <c r="X46" i="3"/>
  <c r="W46" i="3"/>
  <c r="O46" i="3"/>
  <c r="V46" i="3" s="1"/>
  <c r="C46" i="3"/>
  <c r="G46" i="3" s="1"/>
  <c r="BC45" i="3"/>
  <c r="BA45" i="3"/>
  <c r="AY45" i="3"/>
  <c r="AQ45" i="3"/>
  <c r="AK45" i="3"/>
  <c r="AB45" i="3"/>
  <c r="AA45" i="3"/>
  <c r="Z45" i="3"/>
  <c r="Y45" i="3"/>
  <c r="X45" i="3"/>
  <c r="W45" i="3"/>
  <c r="O45" i="3"/>
  <c r="V45" i="3" s="1"/>
  <c r="C45" i="3"/>
  <c r="G45" i="3" s="1"/>
  <c r="BC44" i="3"/>
  <c r="BA44" i="3"/>
  <c r="AY44" i="3"/>
  <c r="AQ44" i="3"/>
  <c r="AK44" i="3"/>
  <c r="AB44" i="3"/>
  <c r="AA44" i="3"/>
  <c r="Z44" i="3"/>
  <c r="Y44" i="3"/>
  <c r="X44" i="3"/>
  <c r="W44" i="3"/>
  <c r="O44" i="3"/>
  <c r="V44" i="3" s="1"/>
  <c r="C44" i="3"/>
  <c r="G44" i="3" s="1"/>
  <c r="BC43" i="3"/>
  <c r="BA43" i="3"/>
  <c r="AY43" i="3"/>
  <c r="AQ43" i="3"/>
  <c r="AK43" i="3"/>
  <c r="AB43" i="3"/>
  <c r="AA43" i="3"/>
  <c r="Z43" i="3"/>
  <c r="Y43" i="3"/>
  <c r="X43" i="3"/>
  <c r="W43" i="3"/>
  <c r="O43" i="3"/>
  <c r="V43" i="3" s="1"/>
  <c r="C43" i="3"/>
  <c r="BC42" i="3"/>
  <c r="BA42" i="3"/>
  <c r="AY42" i="3"/>
  <c r="AQ42" i="3"/>
  <c r="AK42" i="3"/>
  <c r="AB42" i="3"/>
  <c r="AA42" i="3"/>
  <c r="Z42" i="3"/>
  <c r="Y42" i="3"/>
  <c r="X42" i="3"/>
  <c r="W42" i="3"/>
  <c r="V42" i="3"/>
  <c r="O42" i="3"/>
  <c r="C42" i="3"/>
  <c r="G42" i="3" s="1"/>
  <c r="BC41" i="3"/>
  <c r="BA41" i="3"/>
  <c r="AY41" i="3"/>
  <c r="AQ41" i="3"/>
  <c r="AK41" i="3"/>
  <c r="AB41" i="3"/>
  <c r="AA41" i="3"/>
  <c r="Z41" i="3"/>
  <c r="Y41" i="3"/>
  <c r="X41" i="3"/>
  <c r="W41" i="3"/>
  <c r="O41" i="3"/>
  <c r="V41" i="3" s="1"/>
  <c r="I41" i="3"/>
  <c r="I42" i="3" s="1"/>
  <c r="AS42" i="3" s="1"/>
  <c r="C41" i="3"/>
  <c r="G41" i="3" s="1"/>
  <c r="BC40" i="3"/>
  <c r="BA40" i="3"/>
  <c r="AY40" i="3"/>
  <c r="AS40" i="3"/>
  <c r="AQ40" i="3"/>
  <c r="AK40" i="3"/>
  <c r="AB40" i="3"/>
  <c r="AA40" i="3"/>
  <c r="Z40" i="3"/>
  <c r="Y40" i="3"/>
  <c r="X40" i="3"/>
  <c r="W40" i="3"/>
  <c r="O40" i="3"/>
  <c r="V40" i="3" s="1"/>
  <c r="C40" i="3"/>
  <c r="G40" i="3" s="1"/>
  <c r="BC39" i="3"/>
  <c r="BA39" i="3"/>
  <c r="AY39" i="3"/>
  <c r="AS39" i="3"/>
  <c r="AQ39" i="3"/>
  <c r="AK39" i="3"/>
  <c r="AB39" i="3"/>
  <c r="AA39" i="3"/>
  <c r="Z39" i="3"/>
  <c r="Y39" i="3"/>
  <c r="X39" i="3"/>
  <c r="W39" i="3"/>
  <c r="O39" i="3"/>
  <c r="V39" i="3" s="1"/>
  <c r="C39" i="3"/>
  <c r="BC38" i="3"/>
  <c r="BA38" i="3"/>
  <c r="AY38" i="3"/>
  <c r="AS38" i="3"/>
  <c r="AQ38" i="3"/>
  <c r="AK38" i="3"/>
  <c r="AB38" i="3"/>
  <c r="AA38" i="3"/>
  <c r="Z38" i="3"/>
  <c r="Y38" i="3"/>
  <c r="X38" i="3"/>
  <c r="W38" i="3"/>
  <c r="O38" i="3"/>
  <c r="V38" i="3" s="1"/>
  <c r="C38" i="3"/>
  <c r="G38" i="3" s="1"/>
  <c r="BC37" i="3"/>
  <c r="BA37" i="3"/>
  <c r="AY37" i="3"/>
  <c r="AS37" i="3"/>
  <c r="AQ37" i="3"/>
  <c r="AK37" i="3"/>
  <c r="AB37" i="3"/>
  <c r="AA37" i="3"/>
  <c r="Z37" i="3"/>
  <c r="Y37" i="3"/>
  <c r="X37" i="3"/>
  <c r="W37" i="3"/>
  <c r="O37" i="3"/>
  <c r="V37" i="3" s="1"/>
  <c r="C37" i="3"/>
  <c r="G37" i="3" s="1"/>
  <c r="BC36" i="3"/>
  <c r="BA36" i="3"/>
  <c r="AY36" i="3"/>
  <c r="AS36" i="3"/>
  <c r="AQ36" i="3"/>
  <c r="AK36" i="3"/>
  <c r="AB36" i="3"/>
  <c r="AA36" i="3"/>
  <c r="Z36" i="3"/>
  <c r="Y36" i="3"/>
  <c r="X36" i="3"/>
  <c r="W36" i="3"/>
  <c r="O36" i="3"/>
  <c r="V36" i="3" s="1"/>
  <c r="C36" i="3"/>
  <c r="G36" i="3" s="1"/>
  <c r="BC35" i="3"/>
  <c r="BA35" i="3"/>
  <c r="AY35" i="3"/>
  <c r="AS35" i="3"/>
  <c r="AQ35" i="3"/>
  <c r="AK35" i="3"/>
  <c r="AB35" i="3"/>
  <c r="AA35" i="3"/>
  <c r="Z35" i="3"/>
  <c r="Y35" i="3"/>
  <c r="X35" i="3"/>
  <c r="W35" i="3"/>
  <c r="O35" i="3"/>
  <c r="V35" i="3" s="1"/>
  <c r="C35" i="3"/>
  <c r="BC34" i="3"/>
  <c r="BA34" i="3"/>
  <c r="AY34" i="3"/>
  <c r="AK34" i="3"/>
  <c r="AB34" i="3"/>
  <c r="AA34" i="3"/>
  <c r="Z34" i="3"/>
  <c r="Y34" i="3"/>
  <c r="X34" i="3"/>
  <c r="W34" i="3"/>
  <c r="O34" i="3"/>
  <c r="V34" i="3" s="1"/>
  <c r="I34" i="3"/>
  <c r="AS34" i="3" s="1"/>
  <c r="C34" i="3"/>
  <c r="G34" i="3" s="1"/>
  <c r="BC33" i="3"/>
  <c r="BA33" i="3"/>
  <c r="AY33" i="3"/>
  <c r="AW33" i="3"/>
  <c r="AS33" i="3"/>
  <c r="AK33" i="3"/>
  <c r="AB33" i="3"/>
  <c r="AA33" i="3"/>
  <c r="Z33" i="3"/>
  <c r="Y33" i="3"/>
  <c r="X33" i="3"/>
  <c r="W33" i="3"/>
  <c r="O33" i="3"/>
  <c r="V33" i="3" s="1"/>
  <c r="C33" i="3"/>
  <c r="G33" i="3" s="1"/>
  <c r="BC32" i="3"/>
  <c r="BA32" i="3"/>
  <c r="AY32" i="3"/>
  <c r="AW32" i="3"/>
  <c r="AS32" i="3"/>
  <c r="AK32" i="3"/>
  <c r="AB32" i="3"/>
  <c r="AA32" i="3"/>
  <c r="Z32" i="3"/>
  <c r="Y32" i="3"/>
  <c r="X32" i="3"/>
  <c r="W32" i="3"/>
  <c r="O32" i="3"/>
  <c r="V32" i="3" s="1"/>
  <c r="C32" i="3"/>
  <c r="G32" i="3" s="1"/>
  <c r="BC31" i="3"/>
  <c r="BA31" i="3"/>
  <c r="AY31" i="3"/>
  <c r="AW31" i="3"/>
  <c r="AS31" i="3"/>
  <c r="AK31" i="3"/>
  <c r="AB31" i="3"/>
  <c r="AA31" i="3"/>
  <c r="Z31" i="3"/>
  <c r="Y31" i="3"/>
  <c r="X31" i="3"/>
  <c r="W31" i="3"/>
  <c r="O31" i="3"/>
  <c r="V31" i="3" s="1"/>
  <c r="C31" i="3"/>
  <c r="BC30" i="3"/>
  <c r="BA30" i="3"/>
  <c r="AY30" i="3"/>
  <c r="AW30" i="3"/>
  <c r="AS30" i="3"/>
  <c r="AK30" i="3"/>
  <c r="AB30" i="3"/>
  <c r="AA30" i="3"/>
  <c r="Z30" i="3"/>
  <c r="Y30" i="3"/>
  <c r="X30" i="3"/>
  <c r="W30" i="3"/>
  <c r="O30" i="3"/>
  <c r="V30" i="3" s="1"/>
  <c r="C30" i="3"/>
  <c r="G30" i="3" s="1"/>
  <c r="BC29" i="3"/>
  <c r="BA29" i="3"/>
  <c r="AY29" i="3"/>
  <c r="AW29" i="3"/>
  <c r="AS29" i="3"/>
  <c r="AK29" i="3"/>
  <c r="AB29" i="3"/>
  <c r="AA29" i="3"/>
  <c r="Z29" i="3"/>
  <c r="Y29" i="3"/>
  <c r="X29" i="3"/>
  <c r="W29" i="3"/>
  <c r="V29" i="3"/>
  <c r="O29" i="3"/>
  <c r="C29" i="3"/>
  <c r="G29" i="3" s="1"/>
  <c r="BC28" i="3"/>
  <c r="BA28" i="3"/>
  <c r="AY28" i="3"/>
  <c r="AW28" i="3"/>
  <c r="AS28" i="3"/>
  <c r="AK28" i="3"/>
  <c r="AB28" i="3"/>
  <c r="AA28" i="3"/>
  <c r="Z28" i="3"/>
  <c r="Y28" i="3"/>
  <c r="X28" i="3"/>
  <c r="W28" i="3"/>
  <c r="O28" i="3"/>
  <c r="V28" i="3" s="1"/>
  <c r="C28" i="3"/>
  <c r="G28" i="3" s="1"/>
  <c r="BC27" i="3"/>
  <c r="BA27" i="3"/>
  <c r="AY27" i="3"/>
  <c r="AX27" i="3"/>
  <c r="AX28" i="3" s="1"/>
  <c r="AX29" i="3" s="1"/>
  <c r="AX30" i="3" s="1"/>
  <c r="AX31" i="3" s="1"/>
  <c r="AX32" i="3" s="1"/>
  <c r="AX33" i="3" s="1"/>
  <c r="AX34" i="3" s="1"/>
  <c r="AX35" i="3" s="1"/>
  <c r="AX36" i="3" s="1"/>
  <c r="AX37" i="3" s="1"/>
  <c r="AX38" i="3" s="1"/>
  <c r="AX39" i="3" s="1"/>
  <c r="AX40" i="3" s="1"/>
  <c r="AX41" i="3" s="1"/>
  <c r="AX42" i="3" s="1"/>
  <c r="AX43" i="3" s="1"/>
  <c r="AX44" i="3" s="1"/>
  <c r="AX45" i="3" s="1"/>
  <c r="AX46" i="3" s="1"/>
  <c r="AX47" i="3" s="1"/>
  <c r="AX48" i="3" s="1"/>
  <c r="AX49" i="3" s="1"/>
  <c r="AX50" i="3" s="1"/>
  <c r="AX51" i="3" s="1"/>
  <c r="AX52" i="3" s="1"/>
  <c r="AX53" i="3" s="1"/>
  <c r="AX54" i="3" s="1"/>
  <c r="AX55" i="3" s="1"/>
  <c r="AX56" i="3" s="1"/>
  <c r="AX57" i="3" s="1"/>
  <c r="AX58" i="3" s="1"/>
  <c r="AX59" i="3" s="1"/>
  <c r="AX60" i="3" s="1"/>
  <c r="AX61" i="3" s="1"/>
  <c r="AW27" i="3"/>
  <c r="AS27" i="3"/>
  <c r="AK27" i="3"/>
  <c r="AB27" i="3"/>
  <c r="AA27" i="3"/>
  <c r="Z27" i="3"/>
  <c r="Y27" i="3"/>
  <c r="X27" i="3"/>
  <c r="W27" i="3"/>
  <c r="O27" i="3"/>
  <c r="V27" i="3" s="1"/>
  <c r="C27" i="3"/>
  <c r="G27" i="3" s="1"/>
  <c r="BC26" i="3"/>
  <c r="BA26" i="3"/>
  <c r="AY26" i="3"/>
  <c r="AW26" i="3"/>
  <c r="AS26" i="3"/>
  <c r="AK26" i="3"/>
  <c r="AB26" i="3"/>
  <c r="AA26" i="3"/>
  <c r="Z26" i="3"/>
  <c r="Y26" i="3"/>
  <c r="X26" i="3"/>
  <c r="W26" i="3"/>
  <c r="O26" i="3"/>
  <c r="V26" i="3" s="1"/>
  <c r="C26" i="3"/>
  <c r="G26" i="3" s="1"/>
  <c r="BC25" i="3"/>
  <c r="BA25" i="3"/>
  <c r="AY25" i="3"/>
  <c r="AW25" i="3"/>
  <c r="AS25" i="3"/>
  <c r="AK25" i="3"/>
  <c r="AB25" i="3"/>
  <c r="AA25" i="3"/>
  <c r="Z25" i="3"/>
  <c r="Y25" i="3"/>
  <c r="X25" i="3"/>
  <c r="W25" i="3"/>
  <c r="O25" i="3"/>
  <c r="V25" i="3" s="1"/>
  <c r="C25" i="3"/>
  <c r="G25" i="3" s="1"/>
  <c r="BC24" i="3"/>
  <c r="BA24" i="3"/>
  <c r="AY24" i="3"/>
  <c r="AW24" i="3"/>
  <c r="AS24" i="3"/>
  <c r="AK24" i="3"/>
  <c r="AB24" i="3"/>
  <c r="AA24" i="3"/>
  <c r="Z24" i="3"/>
  <c r="Y24" i="3"/>
  <c r="X24" i="3"/>
  <c r="W24" i="3"/>
  <c r="O24" i="3"/>
  <c r="V24" i="3" s="1"/>
  <c r="C24" i="3"/>
  <c r="G24" i="3" s="1"/>
  <c r="BC23" i="3"/>
  <c r="BA23" i="3"/>
  <c r="AY23" i="3"/>
  <c r="AW23" i="3"/>
  <c r="AS23" i="3"/>
  <c r="AK23" i="3"/>
  <c r="AB23" i="3"/>
  <c r="AA23" i="3"/>
  <c r="Z23" i="3"/>
  <c r="Y23" i="3"/>
  <c r="X23" i="3"/>
  <c r="W23" i="3"/>
  <c r="O23" i="3"/>
  <c r="V23" i="3" s="1"/>
  <c r="C23" i="3"/>
  <c r="G23" i="3" s="1"/>
  <c r="BC22" i="3"/>
  <c r="BA22" i="3"/>
  <c r="AY22" i="3"/>
  <c r="AW22" i="3"/>
  <c r="AS22" i="3"/>
  <c r="AK22" i="3"/>
  <c r="AB22" i="3"/>
  <c r="AA22" i="3"/>
  <c r="Z22" i="3"/>
  <c r="Y22" i="3"/>
  <c r="X22" i="3"/>
  <c r="W22" i="3"/>
  <c r="O22" i="3"/>
  <c r="V22" i="3" s="1"/>
  <c r="C22" i="3"/>
  <c r="G22" i="3" s="1"/>
  <c r="BC21" i="3"/>
  <c r="BA21" i="3"/>
  <c r="AY21" i="3"/>
  <c r="AW21" i="3"/>
  <c r="AS21" i="3"/>
  <c r="AK21" i="3"/>
  <c r="AB21" i="3"/>
  <c r="AA21" i="3"/>
  <c r="Z21" i="3"/>
  <c r="Y21" i="3"/>
  <c r="X21" i="3"/>
  <c r="W21" i="3"/>
  <c r="O21" i="3"/>
  <c r="V21" i="3" s="1"/>
  <c r="C21" i="3"/>
  <c r="G21" i="3" s="1"/>
  <c r="BC20" i="3"/>
  <c r="BA20" i="3"/>
  <c r="AY20" i="3"/>
  <c r="AW20" i="3"/>
  <c r="AS20" i="3"/>
  <c r="AK20" i="3"/>
  <c r="AB20" i="3"/>
  <c r="AA20" i="3"/>
  <c r="Z20" i="3"/>
  <c r="Y20" i="3"/>
  <c r="X20" i="3"/>
  <c r="W20" i="3"/>
  <c r="O20" i="3"/>
  <c r="V20" i="3" s="1"/>
  <c r="C20" i="3"/>
  <c r="G20" i="3" s="1"/>
  <c r="BC19" i="3"/>
  <c r="BA19" i="3"/>
  <c r="AY19" i="3"/>
  <c r="AW19" i="3"/>
  <c r="AS19" i="3"/>
  <c r="AK19" i="3"/>
  <c r="AB19" i="3"/>
  <c r="AA19" i="3"/>
  <c r="Z19" i="3"/>
  <c r="Y19" i="3"/>
  <c r="X19" i="3"/>
  <c r="W19" i="3"/>
  <c r="O19" i="3"/>
  <c r="V19" i="3" s="1"/>
  <c r="C19" i="3"/>
  <c r="G19" i="3" s="1"/>
  <c r="BC18" i="3"/>
  <c r="BA18" i="3"/>
  <c r="AY18" i="3"/>
  <c r="AW18" i="3"/>
  <c r="AS18" i="3"/>
  <c r="AK18" i="3"/>
  <c r="AB18" i="3"/>
  <c r="AA18" i="3"/>
  <c r="Z18" i="3"/>
  <c r="Y18" i="3"/>
  <c r="X18" i="3"/>
  <c r="W18" i="3"/>
  <c r="O18" i="3"/>
  <c r="V18" i="3" s="1"/>
  <c r="C18" i="3"/>
  <c r="G18" i="3" s="1"/>
  <c r="BC17" i="3"/>
  <c r="BA17" i="3"/>
  <c r="AY17" i="3"/>
  <c r="AW17" i="3"/>
  <c r="AS17" i="3"/>
  <c r="AK17" i="3"/>
  <c r="AB17" i="3"/>
  <c r="AA17" i="3"/>
  <c r="Z17" i="3"/>
  <c r="Y17" i="3"/>
  <c r="X17" i="3"/>
  <c r="W17" i="3"/>
  <c r="O17" i="3"/>
  <c r="V17" i="3" s="1"/>
  <c r="J17" i="3"/>
  <c r="AU17" i="3" s="1"/>
  <c r="C17" i="3"/>
  <c r="G17" i="3" s="1"/>
  <c r="BC16" i="3"/>
  <c r="BA16" i="3"/>
  <c r="AY16" i="3"/>
  <c r="AW16" i="3"/>
  <c r="AU16" i="3"/>
  <c r="AS16" i="3"/>
  <c r="AK16" i="3"/>
  <c r="AB16" i="3"/>
  <c r="AA16" i="3"/>
  <c r="Z16" i="3"/>
  <c r="Y16" i="3"/>
  <c r="X16" i="3"/>
  <c r="W16" i="3"/>
  <c r="O16" i="3"/>
  <c r="V16" i="3" s="1"/>
  <c r="C16" i="3"/>
  <c r="G16" i="3" s="1"/>
  <c r="BC15" i="3"/>
  <c r="BA15" i="3"/>
  <c r="AY15" i="3"/>
  <c r="AW15" i="3"/>
  <c r="AU15" i="3"/>
  <c r="AK15" i="3"/>
  <c r="AB15" i="3"/>
  <c r="AA15" i="3"/>
  <c r="Z15" i="3"/>
  <c r="Y15" i="3"/>
  <c r="X15" i="3"/>
  <c r="W15" i="3"/>
  <c r="O15" i="3"/>
  <c r="V15" i="3" s="1"/>
  <c r="C15" i="3"/>
  <c r="BC14" i="3"/>
  <c r="BA14" i="3"/>
  <c r="AY14" i="3"/>
  <c r="AW14" i="3"/>
  <c r="AV14" i="3"/>
  <c r="AV15" i="3" s="1"/>
  <c r="AV16" i="3" s="1"/>
  <c r="AV17" i="3" s="1"/>
  <c r="AV18" i="3" s="1"/>
  <c r="AV19" i="3" s="1"/>
  <c r="AV20" i="3" s="1"/>
  <c r="AV21" i="3" s="1"/>
  <c r="AV22" i="3" s="1"/>
  <c r="AV23" i="3" s="1"/>
  <c r="AV24" i="3" s="1"/>
  <c r="AV25" i="3" s="1"/>
  <c r="AV26" i="3" s="1"/>
  <c r="AV27" i="3" s="1"/>
  <c r="AV28" i="3" s="1"/>
  <c r="AV29" i="3" s="1"/>
  <c r="AV30" i="3" s="1"/>
  <c r="AV31" i="3" s="1"/>
  <c r="AV32" i="3" s="1"/>
  <c r="AV33" i="3" s="1"/>
  <c r="AV34" i="3" s="1"/>
  <c r="AV35" i="3" s="1"/>
  <c r="AV36" i="3" s="1"/>
  <c r="AV37" i="3" s="1"/>
  <c r="AV38" i="3" s="1"/>
  <c r="AV39" i="3" s="1"/>
  <c r="AV40" i="3" s="1"/>
  <c r="AV41" i="3" s="1"/>
  <c r="AV42" i="3" s="1"/>
  <c r="AV43" i="3" s="1"/>
  <c r="AV44" i="3" s="1"/>
  <c r="AV45" i="3" s="1"/>
  <c r="AU14" i="3"/>
  <c r="AK14" i="3"/>
  <c r="AB14" i="3"/>
  <c r="AA14" i="3"/>
  <c r="Z14" i="3"/>
  <c r="Y14" i="3"/>
  <c r="X14" i="3"/>
  <c r="W14" i="3"/>
  <c r="O14" i="3"/>
  <c r="V14" i="3" s="1"/>
  <c r="C14" i="3"/>
  <c r="G14" i="3" s="1"/>
  <c r="BC13" i="3"/>
  <c r="BA13" i="3"/>
  <c r="AY13" i="3"/>
  <c r="AW13" i="3"/>
  <c r="AU13" i="3"/>
  <c r="AK13" i="3"/>
  <c r="AB13" i="3"/>
  <c r="AA13" i="3"/>
  <c r="Z13" i="3"/>
  <c r="Y13" i="3"/>
  <c r="X13" i="3"/>
  <c r="W13" i="3"/>
  <c r="O13" i="3"/>
  <c r="V13" i="3" s="1"/>
  <c r="C13" i="3"/>
  <c r="G13" i="3" s="1"/>
  <c r="BC12" i="3"/>
  <c r="BA12" i="3"/>
  <c r="AY12" i="3"/>
  <c r="AW12" i="3"/>
  <c r="AU12" i="3"/>
  <c r="AK12" i="3"/>
  <c r="AB12" i="3"/>
  <c r="AA12" i="3"/>
  <c r="Z12" i="3"/>
  <c r="Y12" i="3"/>
  <c r="X12" i="3"/>
  <c r="W12" i="3"/>
  <c r="O12" i="3"/>
  <c r="V12" i="3" s="1"/>
  <c r="C12" i="3"/>
  <c r="G12" i="3" s="1"/>
  <c r="BC11" i="3"/>
  <c r="BA11" i="3"/>
  <c r="AY11" i="3"/>
  <c r="AW11" i="3"/>
  <c r="AU11" i="3"/>
  <c r="AK11" i="3"/>
  <c r="AB11" i="3"/>
  <c r="AA11" i="3"/>
  <c r="Z11" i="3"/>
  <c r="Y11" i="3"/>
  <c r="X11" i="3"/>
  <c r="W11" i="3"/>
  <c r="O11" i="3"/>
  <c r="V11" i="3" s="1"/>
  <c r="C11" i="3"/>
  <c r="BC10" i="3"/>
  <c r="BA10" i="3"/>
  <c r="AY10" i="3"/>
  <c r="AW10" i="3"/>
  <c r="AU10" i="3"/>
  <c r="AK10" i="3"/>
  <c r="AB10" i="3"/>
  <c r="AA10" i="3"/>
  <c r="Z10" i="3"/>
  <c r="Y10" i="3"/>
  <c r="X10" i="3"/>
  <c r="W10" i="3"/>
  <c r="O10" i="3"/>
  <c r="V10" i="3" s="1"/>
  <c r="C10" i="3"/>
  <c r="G10" i="3" s="1"/>
  <c r="BC9" i="3"/>
  <c r="BA9" i="3"/>
  <c r="AY9" i="3"/>
  <c r="AW9" i="3"/>
  <c r="AU9" i="3"/>
  <c r="AK9" i="3"/>
  <c r="AB9" i="3"/>
  <c r="AA9" i="3"/>
  <c r="Z9" i="3"/>
  <c r="Y9" i="3"/>
  <c r="X9" i="3"/>
  <c r="W9" i="3"/>
  <c r="O9" i="3"/>
  <c r="V9" i="3" s="1"/>
  <c r="C9" i="3"/>
  <c r="G9" i="3" s="1"/>
  <c r="BC8" i="3"/>
  <c r="BA8" i="3"/>
  <c r="AY8" i="3"/>
  <c r="AW8" i="3"/>
  <c r="AU8" i="3"/>
  <c r="AK8" i="3"/>
  <c r="AB8" i="3"/>
  <c r="AA8" i="3"/>
  <c r="Z8" i="3"/>
  <c r="Y8" i="3"/>
  <c r="X8" i="3"/>
  <c r="W8" i="3"/>
  <c r="O8" i="3"/>
  <c r="V8" i="3" s="1"/>
  <c r="I8" i="3"/>
  <c r="J18" i="3" s="1"/>
  <c r="C8" i="3"/>
  <c r="G8" i="3" s="1"/>
  <c r="BC7" i="3"/>
  <c r="BA7" i="3"/>
  <c r="AY7" i="3"/>
  <c r="AW7" i="3"/>
  <c r="AU7" i="3"/>
  <c r="AT7" i="3"/>
  <c r="AT8" i="3" s="1"/>
  <c r="AT9" i="3" s="1"/>
  <c r="AT10" i="3" s="1"/>
  <c r="AT11" i="3" s="1"/>
  <c r="AT12" i="3" s="1"/>
  <c r="AT13" i="3" s="1"/>
  <c r="AT14" i="3" s="1"/>
  <c r="AT15" i="3" s="1"/>
  <c r="AT16" i="3" s="1"/>
  <c r="AT17" i="3" s="1"/>
  <c r="AT18" i="3" s="1"/>
  <c r="AT19" i="3" s="1"/>
  <c r="AT20" i="3" s="1"/>
  <c r="AT21" i="3" s="1"/>
  <c r="AT22" i="3" s="1"/>
  <c r="AT23" i="3" s="1"/>
  <c r="AT24" i="3" s="1"/>
  <c r="AT25" i="3" s="1"/>
  <c r="AT26" i="3" s="1"/>
  <c r="AT27" i="3" s="1"/>
  <c r="AT28" i="3" s="1"/>
  <c r="AT29" i="3" s="1"/>
  <c r="AT30" i="3" s="1"/>
  <c r="AT31" i="3" s="1"/>
  <c r="AT32" i="3" s="1"/>
  <c r="AS7" i="3"/>
  <c r="AK7" i="3"/>
  <c r="AB7" i="3"/>
  <c r="AA7" i="3"/>
  <c r="Z7" i="3"/>
  <c r="Y7" i="3"/>
  <c r="X7" i="3"/>
  <c r="W7" i="3"/>
  <c r="O7" i="3"/>
  <c r="V7" i="3" s="1"/>
  <c r="C7" i="3"/>
  <c r="BC6" i="3"/>
  <c r="BA6" i="3"/>
  <c r="AY6" i="3"/>
  <c r="AW6" i="3"/>
  <c r="AU6" i="3"/>
  <c r="AS6" i="3"/>
  <c r="AK6" i="3"/>
  <c r="AB6" i="3"/>
  <c r="AA6" i="3"/>
  <c r="Z6" i="3"/>
  <c r="Y6" i="3"/>
  <c r="X6" i="3"/>
  <c r="W6" i="3"/>
  <c r="O6" i="3"/>
  <c r="V6" i="3" s="1"/>
  <c r="C6" i="3"/>
  <c r="G6" i="3" s="1"/>
  <c r="BC5" i="3"/>
  <c r="BA5" i="3"/>
  <c r="AY5" i="3"/>
  <c r="AW5" i="3"/>
  <c r="AU5" i="3"/>
  <c r="AS5" i="3"/>
  <c r="AK5" i="3"/>
  <c r="AB5" i="3"/>
  <c r="AA5" i="3"/>
  <c r="Z5" i="3"/>
  <c r="Y5" i="3"/>
  <c r="X5" i="3"/>
  <c r="W5" i="3"/>
  <c r="O5" i="3"/>
  <c r="V5" i="3" s="1"/>
  <c r="H5" i="3"/>
  <c r="H6" i="3" s="1"/>
  <c r="C5" i="3"/>
  <c r="G5" i="3" s="1"/>
  <c r="BC4" i="3"/>
  <c r="BA4" i="3"/>
  <c r="AY4" i="3"/>
  <c r="AW4" i="3"/>
  <c r="AU4" i="3"/>
  <c r="AS4" i="3"/>
  <c r="AQ4" i="3"/>
  <c r="AK4" i="3"/>
  <c r="AB4" i="3"/>
  <c r="AA4" i="3"/>
  <c r="Z4" i="3"/>
  <c r="Y4" i="3"/>
  <c r="X4" i="3"/>
  <c r="W4" i="3"/>
  <c r="O4" i="3"/>
  <c r="V4" i="3" s="1"/>
  <c r="C4" i="3"/>
  <c r="G4" i="3" s="1"/>
  <c r="BC3" i="3"/>
  <c r="BA3" i="3"/>
  <c r="AY3" i="3"/>
  <c r="AW3" i="3"/>
  <c r="AU3" i="3"/>
  <c r="AS3" i="3"/>
  <c r="AQ3" i="3"/>
  <c r="AK3" i="3"/>
  <c r="AB3" i="3"/>
  <c r="AA3" i="3"/>
  <c r="Z3" i="3"/>
  <c r="Y3" i="3"/>
  <c r="X3" i="3"/>
  <c r="W3" i="3"/>
  <c r="V3" i="3"/>
  <c r="C3" i="3"/>
  <c r="G3" i="3" s="1"/>
  <c r="Y36" i="1" l="1"/>
  <c r="Y33" i="1" s="1"/>
  <c r="AA36" i="1"/>
  <c r="Z36" i="1"/>
  <c r="AB36" i="1"/>
  <c r="Y34" i="1"/>
  <c r="R32" i="1"/>
  <c r="T44" i="1"/>
  <c r="T36" i="1"/>
  <c r="R38" i="1"/>
  <c r="T32" i="1"/>
  <c r="R42" i="1"/>
  <c r="T34" i="1"/>
  <c r="R40" i="1"/>
  <c r="T42" i="1"/>
  <c r="R44" i="1"/>
  <c r="R36" i="1"/>
  <c r="T40" i="1"/>
  <c r="T38" i="1"/>
  <c r="R34" i="1"/>
  <c r="R21" i="1" a="1"/>
  <c r="U24" i="1" s="1"/>
  <c r="U26" i="1" s="1"/>
  <c r="AC3" i="3"/>
  <c r="AC4" i="3" s="1"/>
  <c r="AC5" i="3" s="1"/>
  <c r="AC6" i="3" s="1"/>
  <c r="AC7" i="3" s="1"/>
  <c r="AC8" i="3" s="1"/>
  <c r="AC9" i="3" s="1"/>
  <c r="AE3" i="3" a="1"/>
  <c r="AE3" i="3" s="1"/>
  <c r="AW184" i="3"/>
  <c r="AW209" i="3"/>
  <c r="AW227" i="3"/>
  <c r="AW73" i="3"/>
  <c r="AW76" i="3"/>
  <c r="AW115" i="3"/>
  <c r="AW141" i="3"/>
  <c r="AW190" i="3"/>
  <c r="AW235" i="3"/>
  <c r="AF47" i="3"/>
  <c r="B1" i="1"/>
  <c r="L243" i="3"/>
  <c r="AY243" i="3" s="1"/>
  <c r="M244" i="3"/>
  <c r="BA244" i="3" s="1"/>
  <c r="F4" i="3"/>
  <c r="AD3" i="3" a="1"/>
  <c r="AD3" i="3" s="1"/>
  <c r="F195" i="3"/>
  <c r="F131" i="3"/>
  <c r="F259" i="3"/>
  <c r="F67" i="3"/>
  <c r="F243" i="3"/>
  <c r="F179" i="3"/>
  <c r="F115" i="3"/>
  <c r="F51" i="3"/>
  <c r="F227" i="3"/>
  <c r="F163" i="3"/>
  <c r="F99" i="3"/>
  <c r="F35" i="3"/>
  <c r="F211" i="3"/>
  <c r="F147" i="3"/>
  <c r="F83" i="3"/>
  <c r="F19" i="3"/>
  <c r="F255" i="3"/>
  <c r="F239" i="3"/>
  <c r="F223" i="3"/>
  <c r="F207" i="3"/>
  <c r="F191" i="3"/>
  <c r="F175" i="3"/>
  <c r="F159" i="3"/>
  <c r="F143" i="3"/>
  <c r="F127" i="3"/>
  <c r="F111" i="3"/>
  <c r="F95" i="3"/>
  <c r="F79" i="3"/>
  <c r="F63" i="3"/>
  <c r="F47" i="3"/>
  <c r="F31" i="3"/>
  <c r="F15" i="3"/>
  <c r="F251" i="3"/>
  <c r="F235" i="3"/>
  <c r="F219" i="3"/>
  <c r="F203" i="3"/>
  <c r="F187" i="3"/>
  <c r="F171" i="3"/>
  <c r="F155" i="3"/>
  <c r="F139" i="3"/>
  <c r="F123" i="3"/>
  <c r="F107" i="3"/>
  <c r="F91" i="3"/>
  <c r="F75" i="3"/>
  <c r="F59" i="3"/>
  <c r="F43" i="3"/>
  <c r="F27" i="3"/>
  <c r="F11" i="3"/>
  <c r="F3" i="3"/>
  <c r="F247" i="3"/>
  <c r="F231" i="3"/>
  <c r="F215" i="3"/>
  <c r="F199" i="3"/>
  <c r="F183" i="3"/>
  <c r="F167" i="3"/>
  <c r="F151" i="3"/>
  <c r="F135" i="3"/>
  <c r="F119" i="3"/>
  <c r="F103" i="3"/>
  <c r="F87" i="3"/>
  <c r="F71" i="3"/>
  <c r="F55" i="3"/>
  <c r="F39" i="3"/>
  <c r="F23" i="3"/>
  <c r="F7" i="3"/>
  <c r="F262" i="3"/>
  <c r="F258" i="3"/>
  <c r="F254" i="3"/>
  <c r="F250" i="3"/>
  <c r="F246" i="3"/>
  <c r="F242" i="3"/>
  <c r="F238" i="3"/>
  <c r="F234" i="3"/>
  <c r="F230" i="3"/>
  <c r="F226" i="3"/>
  <c r="F222" i="3"/>
  <c r="F218" i="3"/>
  <c r="F214" i="3"/>
  <c r="F210" i="3"/>
  <c r="F206" i="3"/>
  <c r="F202" i="3"/>
  <c r="F198" i="3"/>
  <c r="F194" i="3"/>
  <c r="F190" i="3"/>
  <c r="F186" i="3"/>
  <c r="F182" i="3"/>
  <c r="F178" i="3"/>
  <c r="F174" i="3"/>
  <c r="F170" i="3"/>
  <c r="F166" i="3"/>
  <c r="F162" i="3"/>
  <c r="F158" i="3"/>
  <c r="F154" i="3"/>
  <c r="F150" i="3"/>
  <c r="F146" i="3"/>
  <c r="F142" i="3"/>
  <c r="F138" i="3"/>
  <c r="F134" i="3"/>
  <c r="F130" i="3"/>
  <c r="F126" i="3"/>
  <c r="F122" i="3"/>
  <c r="F118" i="3"/>
  <c r="F114" i="3"/>
  <c r="F110" i="3"/>
  <c r="F106" i="3"/>
  <c r="F102" i="3"/>
  <c r="F98" i="3"/>
  <c r="F94" i="3"/>
  <c r="F90" i="3"/>
  <c r="F86" i="3"/>
  <c r="F82" i="3"/>
  <c r="F78" i="3"/>
  <c r="F74" i="3"/>
  <c r="F70" i="3"/>
  <c r="F66" i="3"/>
  <c r="F62" i="3"/>
  <c r="F58" i="3"/>
  <c r="F54" i="3"/>
  <c r="F50" i="3"/>
  <c r="F46" i="3"/>
  <c r="F42" i="3"/>
  <c r="F38" i="3"/>
  <c r="F34" i="3"/>
  <c r="F30" i="3"/>
  <c r="F26" i="3"/>
  <c r="F22" i="3"/>
  <c r="F18" i="3"/>
  <c r="F14" i="3"/>
  <c r="F10" i="3"/>
  <c r="F6" i="3"/>
  <c r="F261" i="3"/>
  <c r="F257" i="3"/>
  <c r="F253" i="3"/>
  <c r="F249" i="3"/>
  <c r="F245" i="3"/>
  <c r="F241" i="3"/>
  <c r="F237" i="3"/>
  <c r="F233" i="3"/>
  <c r="F229" i="3"/>
  <c r="F225" i="3"/>
  <c r="F221" i="3"/>
  <c r="F217" i="3"/>
  <c r="F213" i="3"/>
  <c r="F209" i="3"/>
  <c r="F205" i="3"/>
  <c r="F201" i="3"/>
  <c r="F197" i="3"/>
  <c r="F193" i="3"/>
  <c r="F189" i="3"/>
  <c r="F185" i="3"/>
  <c r="F181" i="3"/>
  <c r="F177" i="3"/>
  <c r="F173" i="3"/>
  <c r="F169" i="3"/>
  <c r="F165" i="3"/>
  <c r="F161" i="3"/>
  <c r="F157" i="3"/>
  <c r="F153" i="3"/>
  <c r="F149" i="3"/>
  <c r="F145" i="3"/>
  <c r="F141" i="3"/>
  <c r="F137" i="3"/>
  <c r="F133" i="3"/>
  <c r="F129" i="3"/>
  <c r="F125" i="3"/>
  <c r="F121" i="3"/>
  <c r="F117" i="3"/>
  <c r="F113" i="3"/>
  <c r="F109" i="3"/>
  <c r="F105" i="3"/>
  <c r="F101" i="3"/>
  <c r="F97" i="3"/>
  <c r="F93" i="3"/>
  <c r="F89" i="3"/>
  <c r="F85" i="3"/>
  <c r="F81" i="3"/>
  <c r="F77" i="3"/>
  <c r="F73" i="3"/>
  <c r="F69" i="3"/>
  <c r="F65" i="3"/>
  <c r="F61" i="3"/>
  <c r="F57" i="3"/>
  <c r="F53" i="3"/>
  <c r="F49" i="3"/>
  <c r="F45" i="3"/>
  <c r="F41" i="3"/>
  <c r="F37" i="3"/>
  <c r="F33" i="3"/>
  <c r="F29" i="3"/>
  <c r="F25" i="3"/>
  <c r="F21" i="3"/>
  <c r="F17" i="3"/>
  <c r="F13" i="3"/>
  <c r="F9" i="3"/>
  <c r="F5" i="3"/>
  <c r="F260" i="3"/>
  <c r="F256" i="3"/>
  <c r="F252" i="3"/>
  <c r="F248" i="3"/>
  <c r="F244" i="3"/>
  <c r="F240" i="3"/>
  <c r="F236" i="3"/>
  <c r="F232" i="3"/>
  <c r="F228" i="3"/>
  <c r="F224" i="3"/>
  <c r="F220" i="3"/>
  <c r="F216" i="3"/>
  <c r="F212" i="3"/>
  <c r="F208" i="3"/>
  <c r="F204" i="3"/>
  <c r="F200" i="3"/>
  <c r="F196" i="3"/>
  <c r="F192" i="3"/>
  <c r="F188" i="3"/>
  <c r="F184" i="3"/>
  <c r="F180" i="3"/>
  <c r="F176" i="3"/>
  <c r="F172" i="3"/>
  <c r="F168" i="3"/>
  <c r="F164" i="3"/>
  <c r="F160" i="3"/>
  <c r="F156" i="3"/>
  <c r="F152" i="3"/>
  <c r="F148" i="3"/>
  <c r="F144" i="3"/>
  <c r="F140" i="3"/>
  <c r="F136" i="3"/>
  <c r="F132" i="3"/>
  <c r="F128" i="3"/>
  <c r="F124" i="3"/>
  <c r="F120" i="3"/>
  <c r="F116" i="3"/>
  <c r="F112" i="3"/>
  <c r="F108" i="3"/>
  <c r="F104" i="3"/>
  <c r="F100" i="3"/>
  <c r="F96" i="3"/>
  <c r="F92" i="3"/>
  <c r="F88" i="3"/>
  <c r="F84" i="3"/>
  <c r="F80" i="3"/>
  <c r="F76" i="3"/>
  <c r="F72" i="3"/>
  <c r="F68" i="3"/>
  <c r="F64" i="3"/>
  <c r="F60" i="3"/>
  <c r="F56" i="3"/>
  <c r="F52" i="3"/>
  <c r="F48" i="3"/>
  <c r="F44" i="3"/>
  <c r="F40" i="3"/>
  <c r="F36" i="3"/>
  <c r="F32" i="3"/>
  <c r="F28" i="3"/>
  <c r="F24" i="3"/>
  <c r="F20" i="3"/>
  <c r="F16" i="3"/>
  <c r="F12" i="3"/>
  <c r="F8" i="3"/>
  <c r="AY90" i="3"/>
  <c r="AW178" i="3"/>
  <c r="AW180" i="3"/>
  <c r="AW202" i="3"/>
  <c r="AW237" i="3"/>
  <c r="AW72" i="3"/>
  <c r="AW126" i="3"/>
  <c r="AS150" i="3"/>
  <c r="M223" i="3"/>
  <c r="AW233" i="3"/>
  <c r="L247" i="3"/>
  <c r="AY247" i="3" s="1"/>
  <c r="AW82" i="3"/>
  <c r="L108" i="3"/>
  <c r="AW138" i="3"/>
  <c r="AW142" i="3"/>
  <c r="AW158" i="3"/>
  <c r="AW160" i="3"/>
  <c r="AW162" i="3"/>
  <c r="AW215" i="3"/>
  <c r="L123" i="3"/>
  <c r="M147" i="3" s="1"/>
  <c r="AW99" i="3"/>
  <c r="L164" i="3"/>
  <c r="AW140" i="3"/>
  <c r="L200" i="3"/>
  <c r="AW176" i="3"/>
  <c r="L235" i="3"/>
  <c r="AW211" i="3"/>
  <c r="AF23" i="3"/>
  <c r="I43" i="3"/>
  <c r="AS43" i="3" s="1"/>
  <c r="AW69" i="3"/>
  <c r="L102" i="3"/>
  <c r="M126" i="3" s="1"/>
  <c r="AW78" i="3"/>
  <c r="L104" i="3"/>
  <c r="AW80" i="3"/>
  <c r="AY93" i="3"/>
  <c r="AS103" i="3"/>
  <c r="I104" i="3"/>
  <c r="L176" i="3"/>
  <c r="AW152" i="3"/>
  <c r="L198" i="3"/>
  <c r="AW174" i="3"/>
  <c r="L224" i="3"/>
  <c r="M248" i="3" s="1"/>
  <c r="BA248" i="3" s="1"/>
  <c r="AW200" i="3"/>
  <c r="AS41" i="3"/>
  <c r="AS55" i="3"/>
  <c r="I56" i="3"/>
  <c r="L145" i="3"/>
  <c r="AW121" i="3"/>
  <c r="AW143" i="3"/>
  <c r="L167" i="3"/>
  <c r="M191" i="3" s="1"/>
  <c r="L196" i="3"/>
  <c r="AW172" i="3"/>
  <c r="L230" i="3"/>
  <c r="M254" i="3" s="1"/>
  <c r="BA254" i="3" s="1"/>
  <c r="AW206" i="3"/>
  <c r="L237" i="3"/>
  <c r="AW213" i="3"/>
  <c r="L103" i="3"/>
  <c r="AW79" i="3"/>
  <c r="AW83" i="3"/>
  <c r="L107" i="3"/>
  <c r="L105" i="3"/>
  <c r="M129" i="3" s="1"/>
  <c r="AW149" i="3"/>
  <c r="L218" i="3"/>
  <c r="AW194" i="3"/>
  <c r="AW196" i="3"/>
  <c r="BA215" i="3"/>
  <c r="AW66" i="3"/>
  <c r="AW108" i="3"/>
  <c r="AW124" i="3"/>
  <c r="AW139" i="3"/>
  <c r="AW145" i="3"/>
  <c r="AW182" i="3"/>
  <c r="AW192" i="3"/>
  <c r="AW198" i="3"/>
  <c r="AW204" i="3"/>
  <c r="AW150" i="3"/>
  <c r="AW177" i="3"/>
  <c r="L192" i="3"/>
  <c r="L217" i="3"/>
  <c r="M241" i="3" s="1"/>
  <c r="AQ6" i="3"/>
  <c r="H7" i="3"/>
  <c r="K35" i="3"/>
  <c r="J19" i="3"/>
  <c r="AU18" i="3"/>
  <c r="AF35" i="3"/>
  <c r="AF41" i="3"/>
  <c r="AF57" i="3"/>
  <c r="M120" i="3"/>
  <c r="AY96" i="3"/>
  <c r="L98" i="3"/>
  <c r="AW74" i="3"/>
  <c r="AF6" i="3"/>
  <c r="I9" i="3"/>
  <c r="AF11" i="3"/>
  <c r="AF14" i="3"/>
  <c r="AF16" i="3"/>
  <c r="AF20" i="3"/>
  <c r="AF24" i="3"/>
  <c r="AF28" i="3"/>
  <c r="AF30" i="3"/>
  <c r="AF31" i="3"/>
  <c r="I44" i="3"/>
  <c r="AF45" i="3"/>
  <c r="N132" i="3"/>
  <c r="BC132" i="3" s="1"/>
  <c r="BA113" i="3"/>
  <c r="AW65" i="3"/>
  <c r="L94" i="3"/>
  <c r="AW70" i="3"/>
  <c r="L110" i="3"/>
  <c r="AW86" i="3"/>
  <c r="AW90" i="3"/>
  <c r="L114" i="3"/>
  <c r="AW94" i="3"/>
  <c r="L118" i="3"/>
  <c r="M131" i="3"/>
  <c r="AY107" i="3"/>
  <c r="M163" i="3"/>
  <c r="AY139" i="3"/>
  <c r="AF27" i="3"/>
  <c r="AF4" i="3"/>
  <c r="AS8" i="3"/>
  <c r="AF21" i="3"/>
  <c r="AF25" i="3"/>
  <c r="AF32" i="3"/>
  <c r="K34" i="3"/>
  <c r="AF36" i="3"/>
  <c r="AF44" i="3"/>
  <c r="AY89" i="3"/>
  <c r="L127" i="3"/>
  <c r="AW103" i="3"/>
  <c r="AF3" i="3"/>
  <c r="AF12" i="3"/>
  <c r="AF19" i="3"/>
  <c r="I57" i="3"/>
  <c r="AS56" i="3"/>
  <c r="AF67" i="3"/>
  <c r="AF60" i="3"/>
  <c r="AF56" i="3"/>
  <c r="AF52" i="3"/>
  <c r="AF48" i="3"/>
  <c r="AF43" i="3"/>
  <c r="AF65" i="3"/>
  <c r="AF63" i="3"/>
  <c r="AF58" i="3"/>
  <c r="AF55" i="3"/>
  <c r="AF53" i="3"/>
  <c r="AF49" i="3"/>
  <c r="AF46" i="3"/>
  <c r="AF42" i="3"/>
  <c r="AF33" i="3"/>
  <c r="AF29" i="3"/>
  <c r="AF13" i="3"/>
  <c r="AQ5" i="3"/>
  <c r="AF10" i="3"/>
  <c r="AF17" i="3"/>
  <c r="AF5" i="3"/>
  <c r="AF7" i="3"/>
  <c r="AF8" i="3"/>
  <c r="AF9" i="3"/>
  <c r="AF15" i="3"/>
  <c r="AF18" i="3"/>
  <c r="AF22" i="3"/>
  <c r="AF26" i="3"/>
  <c r="AF34" i="3"/>
  <c r="AF37" i="3"/>
  <c r="AF38" i="3"/>
  <c r="AF39" i="3"/>
  <c r="AF40" i="3"/>
  <c r="AF50" i="3"/>
  <c r="AF51" i="3"/>
  <c r="AF54" i="3"/>
  <c r="AF59" i="3"/>
  <c r="AF61" i="3"/>
  <c r="AF62" i="3"/>
  <c r="AF64" i="3"/>
  <c r="AF66" i="3"/>
  <c r="L91" i="3"/>
  <c r="AW67" i="3"/>
  <c r="AY103" i="3"/>
  <c r="M127" i="3"/>
  <c r="M128" i="3"/>
  <c r="AY104" i="3"/>
  <c r="L109" i="3"/>
  <c r="AW85" i="3"/>
  <c r="L113" i="3"/>
  <c r="AW89" i="3"/>
  <c r="L117" i="3"/>
  <c r="AW93" i="3"/>
  <c r="M150" i="3"/>
  <c r="AY126" i="3"/>
  <c r="M130" i="3"/>
  <c r="AY106" i="3"/>
  <c r="M132" i="3"/>
  <c r="AY108" i="3"/>
  <c r="N136" i="3"/>
  <c r="BC136" i="3" s="1"/>
  <c r="BA117" i="3"/>
  <c r="AS70" i="3"/>
  <c r="N143" i="3"/>
  <c r="BC143" i="3" s="1"/>
  <c r="BA124" i="3"/>
  <c r="L112" i="3"/>
  <c r="AW88" i="3"/>
  <c r="L116" i="3"/>
  <c r="AW92" i="3"/>
  <c r="L120" i="3"/>
  <c r="AW96" i="3"/>
  <c r="AY97" i="3"/>
  <c r="M121" i="3"/>
  <c r="N145" i="3"/>
  <c r="BC145" i="3" s="1"/>
  <c r="BA126" i="3"/>
  <c r="AY102" i="3"/>
  <c r="L134" i="3"/>
  <c r="AW110" i="3"/>
  <c r="N133" i="3"/>
  <c r="BC133" i="3" s="1"/>
  <c r="BA114" i="3"/>
  <c r="L92" i="3"/>
  <c r="AW68" i="3"/>
  <c r="I72" i="3"/>
  <c r="AS71" i="3"/>
  <c r="L95" i="3"/>
  <c r="AW71" i="3"/>
  <c r="L111" i="3"/>
  <c r="AW87" i="3"/>
  <c r="L115" i="3"/>
  <c r="AW91" i="3"/>
  <c r="L119" i="3"/>
  <c r="AW95" i="3"/>
  <c r="AW100" i="3"/>
  <c r="L124" i="3"/>
  <c r="AY100" i="3"/>
  <c r="N144" i="3"/>
  <c r="BC144" i="3" s="1"/>
  <c r="BA125" i="3"/>
  <c r="AY101" i="3"/>
  <c r="I105" i="3"/>
  <c r="AS104" i="3"/>
  <c r="L136" i="3"/>
  <c r="AW112" i="3"/>
  <c r="AW97" i="3"/>
  <c r="N165" i="3"/>
  <c r="BC165" i="3" s="1"/>
  <c r="BA146" i="3"/>
  <c r="L99" i="3"/>
  <c r="M153" i="3"/>
  <c r="AY129" i="3"/>
  <c r="AW105" i="3"/>
  <c r="AW106" i="3"/>
  <c r="AW107" i="3"/>
  <c r="M157" i="3"/>
  <c r="AY133" i="3"/>
  <c r="M159" i="3"/>
  <c r="AY135" i="3"/>
  <c r="M161" i="3"/>
  <c r="AY137" i="3"/>
  <c r="AW113" i="3"/>
  <c r="M165" i="3"/>
  <c r="AY141" i="3"/>
  <c r="AW117" i="3"/>
  <c r="AY125" i="3"/>
  <c r="M175" i="3"/>
  <c r="AY151" i="3"/>
  <c r="AW127" i="3"/>
  <c r="M176" i="3"/>
  <c r="AY152" i="3"/>
  <c r="M188" i="3"/>
  <c r="AY164" i="3"/>
  <c r="N164" i="3"/>
  <c r="BC164" i="3" s="1"/>
  <c r="BA145" i="3"/>
  <c r="N168" i="3"/>
  <c r="BC168" i="3" s="1"/>
  <c r="BA149" i="3"/>
  <c r="AW101" i="3"/>
  <c r="AW102" i="3"/>
  <c r="N148" i="3"/>
  <c r="BC148" i="3" s="1"/>
  <c r="BA129" i="3"/>
  <c r="AY105" i="3"/>
  <c r="M154" i="3"/>
  <c r="AY130" i="3"/>
  <c r="M155" i="3"/>
  <c r="AY131" i="3"/>
  <c r="M156" i="3"/>
  <c r="AY132" i="3"/>
  <c r="M164" i="3"/>
  <c r="AY140" i="3"/>
  <c r="AW116" i="3"/>
  <c r="L144" i="3"/>
  <c r="AW120" i="3"/>
  <c r="AY121" i="3"/>
  <c r="AW122" i="3"/>
  <c r="L146" i="3"/>
  <c r="AY122" i="3"/>
  <c r="L149" i="3"/>
  <c r="AW125" i="3"/>
  <c r="I126" i="3"/>
  <c r="M177" i="3"/>
  <c r="AY153" i="3"/>
  <c r="M178" i="3"/>
  <c r="AY154" i="3"/>
  <c r="M179" i="3"/>
  <c r="AY155" i="3"/>
  <c r="M180" i="3"/>
  <c r="AY156" i="3"/>
  <c r="M183" i="3"/>
  <c r="AY159" i="3"/>
  <c r="M184" i="3"/>
  <c r="AY160" i="3"/>
  <c r="M185" i="3"/>
  <c r="AY161" i="3"/>
  <c r="M189" i="3"/>
  <c r="AY165" i="3"/>
  <c r="M167" i="3"/>
  <c r="AY143" i="3"/>
  <c r="AW119" i="3"/>
  <c r="L147" i="3"/>
  <c r="AW123" i="3"/>
  <c r="AY123" i="3"/>
  <c r="AY150" i="3"/>
  <c r="M174" i="3"/>
  <c r="M186" i="3"/>
  <c r="AY162" i="3"/>
  <c r="M190" i="3"/>
  <c r="AY166" i="3"/>
  <c r="M192" i="3"/>
  <c r="AY168" i="3"/>
  <c r="M206" i="3"/>
  <c r="AY182" i="3"/>
  <c r="AW98" i="3"/>
  <c r="N166" i="3"/>
  <c r="BC166" i="3" s="1"/>
  <c r="BA147" i="3"/>
  <c r="M152" i="3"/>
  <c r="AY128" i="3"/>
  <c r="AW104" i="3"/>
  <c r="AW109" i="3"/>
  <c r="AW111" i="3"/>
  <c r="M162" i="3"/>
  <c r="AY138" i="3"/>
  <c r="AW114" i="3"/>
  <c r="M166" i="3"/>
  <c r="AY142" i="3"/>
  <c r="AW118" i="3"/>
  <c r="M169" i="3"/>
  <c r="AY145" i="3"/>
  <c r="AS124" i="3"/>
  <c r="AW128" i="3"/>
  <c r="AW129" i="3"/>
  <c r="AW130" i="3"/>
  <c r="AW131" i="3"/>
  <c r="AW132" i="3"/>
  <c r="M187" i="3"/>
  <c r="AY163" i="3"/>
  <c r="M193" i="3"/>
  <c r="AY169" i="3"/>
  <c r="M198" i="3"/>
  <c r="AY174" i="3"/>
  <c r="AS151" i="3"/>
  <c r="AW153" i="3"/>
  <c r="M202" i="3"/>
  <c r="AY178" i="3"/>
  <c r="AS155" i="3"/>
  <c r="L157" i="3"/>
  <c r="AW157" i="3"/>
  <c r="AS159" i="3"/>
  <c r="AW161" i="3"/>
  <c r="M210" i="3"/>
  <c r="AY186" i="3"/>
  <c r="AS163" i="3"/>
  <c r="L170" i="3"/>
  <c r="I172" i="3"/>
  <c r="L197" i="3"/>
  <c r="AW173" i="3"/>
  <c r="AW185" i="3"/>
  <c r="L209" i="3"/>
  <c r="AW189" i="3"/>
  <c r="L213" i="3"/>
  <c r="AY192" i="3"/>
  <c r="M216" i="3"/>
  <c r="M201" i="3"/>
  <c r="M172" i="3"/>
  <c r="AY148" i="3"/>
  <c r="AY175" i="3"/>
  <c r="M199" i="3"/>
  <c r="AS152" i="3"/>
  <c r="M203" i="3"/>
  <c r="AY179" i="3"/>
  <c r="AS156" i="3"/>
  <c r="L158" i="3"/>
  <c r="AS160" i="3"/>
  <c r="M211" i="3"/>
  <c r="AY187" i="3"/>
  <c r="AS164" i="3"/>
  <c r="AS165" i="3"/>
  <c r="AS166" i="3"/>
  <c r="AS167" i="3"/>
  <c r="AS168" i="3"/>
  <c r="AS169" i="3"/>
  <c r="AW179" i="3"/>
  <c r="L203" i="3"/>
  <c r="AY196" i="3"/>
  <c r="M220" i="3"/>
  <c r="M234" i="3"/>
  <c r="AY210" i="3"/>
  <c r="AY235" i="3"/>
  <c r="M259" i="3"/>
  <c r="BA259" i="3" s="1"/>
  <c r="L242" i="3"/>
  <c r="AY242" i="3" s="1"/>
  <c r="AW218" i="3"/>
  <c r="AW135" i="3"/>
  <c r="AW136" i="3"/>
  <c r="AY173" i="3"/>
  <c r="M197" i="3"/>
  <c r="AW151" i="3"/>
  <c r="AY176" i="3"/>
  <c r="M200" i="3"/>
  <c r="AS153" i="3"/>
  <c r="AW155" i="3"/>
  <c r="AY180" i="3"/>
  <c r="M204" i="3"/>
  <c r="AS157" i="3"/>
  <c r="AW159" i="3"/>
  <c r="AY184" i="3"/>
  <c r="M208" i="3"/>
  <c r="AS161" i="3"/>
  <c r="AW163" i="3"/>
  <c r="AY188" i="3"/>
  <c r="M212" i="3"/>
  <c r="AS170" i="3"/>
  <c r="M225" i="3"/>
  <c r="AY201" i="3"/>
  <c r="N242" i="3"/>
  <c r="BC242" i="3" s="1"/>
  <c r="BA223" i="3"/>
  <c r="AW144" i="3"/>
  <c r="AY172" i="3"/>
  <c r="M196" i="3"/>
  <c r="AW148" i="3"/>
  <c r="AS154" i="3"/>
  <c r="M205" i="3"/>
  <c r="AY181" i="3"/>
  <c r="AS158" i="3"/>
  <c r="M209" i="3"/>
  <c r="AY185" i="3"/>
  <c r="AS162" i="3"/>
  <c r="N210" i="3"/>
  <c r="BC210" i="3" s="1"/>
  <c r="BA191" i="3"/>
  <c r="AY167" i="3"/>
  <c r="AY200" i="3"/>
  <c r="M224" i="3"/>
  <c r="AY183" i="3"/>
  <c r="M245" i="3"/>
  <c r="BA245" i="3" s="1"/>
  <c r="AY221" i="3"/>
  <c r="L223" i="3"/>
  <c r="AW199" i="3"/>
  <c r="BA207" i="3"/>
  <c r="M238" i="3"/>
  <c r="AY214" i="3"/>
  <c r="L245" i="3"/>
  <c r="AY245" i="3" s="1"/>
  <c r="AW221" i="3"/>
  <c r="AW231" i="3"/>
  <c r="L255" i="3"/>
  <c r="AY255" i="3" s="1"/>
  <c r="AY171" i="3"/>
  <c r="M195" i="3"/>
  <c r="AW147" i="3"/>
  <c r="AW183" i="3"/>
  <c r="L207" i="3"/>
  <c r="L190" i="3"/>
  <c r="AY191" i="3"/>
  <c r="L219" i="3"/>
  <c r="AW195" i="3"/>
  <c r="BA219" i="3"/>
  <c r="M228" i="3"/>
  <c r="M226" i="3"/>
  <c r="AY202" i="3"/>
  <c r="AW187" i="3"/>
  <c r="L211" i="3"/>
  <c r="BA236" i="3"/>
  <c r="N255" i="3"/>
  <c r="BC255" i="3" s="1"/>
  <c r="AW191" i="3"/>
  <c r="L215" i="3"/>
  <c r="AY222" i="3"/>
  <c r="M246" i="3"/>
  <c r="BA246" i="3" s="1"/>
  <c r="L231" i="3"/>
  <c r="AW207" i="3"/>
  <c r="AY217" i="3"/>
  <c r="AW164" i="3"/>
  <c r="N232" i="3"/>
  <c r="BC232" i="3" s="1"/>
  <c r="BA213" i="3"/>
  <c r="AW165" i="3"/>
  <c r="AW167" i="3"/>
  <c r="M217" i="3"/>
  <c r="AY193" i="3"/>
  <c r="AW169" i="3"/>
  <c r="M218" i="3"/>
  <c r="AY194" i="3"/>
  <c r="AW170" i="3"/>
  <c r="AW171" i="3"/>
  <c r="M222" i="3"/>
  <c r="AY198" i="3"/>
  <c r="AW175" i="3"/>
  <c r="L205" i="3"/>
  <c r="AW181" i="3"/>
  <c r="M230" i="3"/>
  <c r="AY206" i="3"/>
  <c r="AY189" i="3"/>
  <c r="AY218" i="3"/>
  <c r="M242" i="3"/>
  <c r="AY195" i="3"/>
  <c r="M249" i="3"/>
  <c r="BA249" i="3" s="1"/>
  <c r="AY225" i="3"/>
  <c r="L227" i="3"/>
  <c r="AW203" i="3"/>
  <c r="N260" i="3"/>
  <c r="BC260" i="3" s="1"/>
  <c r="BA241" i="3"/>
  <c r="AW197" i="3"/>
  <c r="AW201" i="3"/>
  <c r="M250" i="3"/>
  <c r="BA250" i="3" s="1"/>
  <c r="AY226" i="3"/>
  <c r="AW205" i="3"/>
  <c r="M256" i="3"/>
  <c r="BA256" i="3" s="1"/>
  <c r="AY232" i="3"/>
  <c r="AW208" i="3"/>
  <c r="M260" i="3"/>
  <c r="BA260" i="3" s="1"/>
  <c r="AY236" i="3"/>
  <c r="AW212" i="3"/>
  <c r="AW216" i="3"/>
  <c r="L246" i="3"/>
  <c r="AY246" i="3" s="1"/>
  <c r="AW222" i="3"/>
  <c r="AY224" i="3"/>
  <c r="L249" i="3"/>
  <c r="AY249" i="3" s="1"/>
  <c r="AW225" i="3"/>
  <c r="AY230" i="3"/>
  <c r="L253" i="3"/>
  <c r="AY253" i="3" s="1"/>
  <c r="AY208" i="3"/>
  <c r="AY212" i="3"/>
  <c r="AY216" i="3"/>
  <c r="L250" i="3"/>
  <c r="AY250" i="3" s="1"/>
  <c r="AW226" i="3"/>
  <c r="BA232" i="3"/>
  <c r="N251" i="3"/>
  <c r="BC251" i="3" s="1"/>
  <c r="BA240" i="3"/>
  <c r="N259" i="3"/>
  <c r="BC259" i="3" s="1"/>
  <c r="M257" i="3"/>
  <c r="BA257" i="3" s="1"/>
  <c r="AY233" i="3"/>
  <c r="L234" i="3"/>
  <c r="AW210" i="3"/>
  <c r="M261" i="3"/>
  <c r="BA261" i="3" s="1"/>
  <c r="AY237" i="3"/>
  <c r="L238" i="3"/>
  <c r="AW214" i="3"/>
  <c r="L241" i="3"/>
  <c r="AY241" i="3" s="1"/>
  <c r="AW217" i="3"/>
  <c r="AY228" i="3"/>
  <c r="AY229" i="3"/>
  <c r="L256" i="3"/>
  <c r="AY256" i="3" s="1"/>
  <c r="AW232" i="3"/>
  <c r="AW220" i="3"/>
  <c r="AW224" i="3"/>
  <c r="AW228" i="3"/>
  <c r="AW238" i="3"/>
  <c r="L262" i="3"/>
  <c r="AY262" i="3" s="1"/>
  <c r="AW230" i="3"/>
  <c r="AW234" i="3"/>
  <c r="L260" i="3"/>
  <c r="AY260" i="3" s="1"/>
  <c r="AW236" i="3"/>
  <c r="Z33" i="1" l="1"/>
  <c r="Z34" i="1"/>
  <c r="AA33" i="1"/>
  <c r="AA34" i="1"/>
  <c r="AB34" i="1"/>
  <c r="AB33" i="1"/>
  <c r="T24" i="1"/>
  <c r="T26" i="1" s="1"/>
  <c r="S24" i="1"/>
  <c r="S26" i="1" s="1"/>
  <c r="V24" i="1"/>
  <c r="V26" i="1" s="1"/>
  <c r="R21" i="1"/>
  <c r="R24" i="1" s="1"/>
  <c r="R26" i="1" s="1"/>
  <c r="R4" i="1"/>
  <c r="M262" i="3"/>
  <c r="BA262" i="3" s="1"/>
  <c r="AY238" i="3"/>
  <c r="M229" i="3"/>
  <c r="AY205" i="3"/>
  <c r="BA226" i="3"/>
  <c r="N245" i="3"/>
  <c r="BC245" i="3" s="1"/>
  <c r="M247" i="3"/>
  <c r="BA247" i="3" s="1"/>
  <c r="AY223" i="3"/>
  <c r="M227" i="3"/>
  <c r="AY203" i="3"/>
  <c r="N218" i="3"/>
  <c r="BC218" i="3" s="1"/>
  <c r="BA199" i="3"/>
  <c r="N221" i="3"/>
  <c r="BC221" i="3" s="1"/>
  <c r="BA202" i="3"/>
  <c r="BA187" i="3"/>
  <c r="N206" i="3"/>
  <c r="BC206" i="3" s="1"/>
  <c r="BA169" i="3"/>
  <c r="N188" i="3"/>
  <c r="BC188" i="3" s="1"/>
  <c r="N225" i="3"/>
  <c r="BC225" i="3" s="1"/>
  <c r="BA206" i="3"/>
  <c r="N208" i="3"/>
  <c r="BC208" i="3" s="1"/>
  <c r="BA189" i="3"/>
  <c r="N199" i="3"/>
  <c r="BC199" i="3" s="1"/>
  <c r="BA180" i="3"/>
  <c r="BA156" i="3"/>
  <c r="N175" i="3"/>
  <c r="BC175" i="3" s="1"/>
  <c r="N194" i="3"/>
  <c r="BC194" i="3" s="1"/>
  <c r="BA175" i="3"/>
  <c r="N172" i="3"/>
  <c r="BC172" i="3" s="1"/>
  <c r="BA153" i="3"/>
  <c r="AS105" i="3"/>
  <c r="I106" i="3"/>
  <c r="M143" i="3"/>
  <c r="AY119" i="3"/>
  <c r="AS72" i="3"/>
  <c r="I73" i="3"/>
  <c r="N151" i="3"/>
  <c r="BC151" i="3" s="1"/>
  <c r="BA132" i="3"/>
  <c r="N169" i="3"/>
  <c r="BC169" i="3" s="1"/>
  <c r="BA150" i="3"/>
  <c r="M137" i="3"/>
  <c r="AY113" i="3"/>
  <c r="N147" i="3"/>
  <c r="BC147" i="3" s="1"/>
  <c r="BA128" i="3"/>
  <c r="M115" i="3"/>
  <c r="AY91" i="3"/>
  <c r="J20" i="3"/>
  <c r="AU19" i="3"/>
  <c r="K36" i="3"/>
  <c r="M239" i="3"/>
  <c r="AY215" i="3"/>
  <c r="M235" i="3"/>
  <c r="AY211" i="3"/>
  <c r="BA228" i="3"/>
  <c r="N247" i="3"/>
  <c r="BC247" i="3" s="1"/>
  <c r="N257" i="3"/>
  <c r="BC257" i="3" s="1"/>
  <c r="BA238" i="3"/>
  <c r="N215" i="3"/>
  <c r="BC215" i="3" s="1"/>
  <c r="BA196" i="3"/>
  <c r="N231" i="3"/>
  <c r="BC231" i="3" s="1"/>
  <c r="BA212" i="3"/>
  <c r="BA208" i="3"/>
  <c r="N227" i="3"/>
  <c r="BC227" i="3" s="1"/>
  <c r="N223" i="3"/>
  <c r="BC223" i="3" s="1"/>
  <c r="BA204" i="3"/>
  <c r="N219" i="3"/>
  <c r="BC219" i="3" s="1"/>
  <c r="BA200" i="3"/>
  <c r="BA234" i="3"/>
  <c r="N253" i="3"/>
  <c r="BC253" i="3" s="1"/>
  <c r="N230" i="3"/>
  <c r="BC230" i="3" s="1"/>
  <c r="BA211" i="3"/>
  <c r="N235" i="3"/>
  <c r="BC235" i="3" s="1"/>
  <c r="BA216" i="3"/>
  <c r="M233" i="3"/>
  <c r="AY209" i="3"/>
  <c r="AS172" i="3"/>
  <c r="I173" i="3"/>
  <c r="N229" i="3"/>
  <c r="BC229" i="3" s="1"/>
  <c r="BA210" i="3"/>
  <c r="M181" i="3"/>
  <c r="AY157" i="3"/>
  <c r="M173" i="3"/>
  <c r="AY149" i="3"/>
  <c r="N195" i="3"/>
  <c r="BC195" i="3" s="1"/>
  <c r="BA176" i="3"/>
  <c r="BA159" i="3"/>
  <c r="N178" i="3"/>
  <c r="BC178" i="3" s="1"/>
  <c r="M123" i="3"/>
  <c r="AY99" i="3"/>
  <c r="M148" i="3"/>
  <c r="AY124" i="3"/>
  <c r="M144" i="3"/>
  <c r="AY120" i="3"/>
  <c r="M136" i="3"/>
  <c r="AY112" i="3"/>
  <c r="N146" i="3"/>
  <c r="BC146" i="3" s="1"/>
  <c r="BA127" i="3"/>
  <c r="I58" i="3"/>
  <c r="AS57" i="3"/>
  <c r="M151" i="3"/>
  <c r="AY127" i="3"/>
  <c r="M142" i="3"/>
  <c r="AY118" i="3"/>
  <c r="L59" i="3"/>
  <c r="AW35" i="3"/>
  <c r="M258" i="3"/>
  <c r="BA258" i="3" s="1"/>
  <c r="AY234" i="3"/>
  <c r="M243" i="3"/>
  <c r="AY219" i="3"/>
  <c r="N216" i="3"/>
  <c r="BC216" i="3" s="1"/>
  <c r="BA197" i="3"/>
  <c r="BA201" i="3"/>
  <c r="N220" i="3"/>
  <c r="BC220" i="3" s="1"/>
  <c r="M221" i="3"/>
  <c r="AY197" i="3"/>
  <c r="N217" i="3"/>
  <c r="BC217" i="3" s="1"/>
  <c r="BA198" i="3"/>
  <c r="N209" i="3"/>
  <c r="BC209" i="3" s="1"/>
  <c r="BA190" i="3"/>
  <c r="N203" i="3"/>
  <c r="BC203" i="3" s="1"/>
  <c r="BA184" i="3"/>
  <c r="N197" i="3"/>
  <c r="BC197" i="3" s="1"/>
  <c r="BA178" i="3"/>
  <c r="N173" i="3"/>
  <c r="BC173" i="3" s="1"/>
  <c r="BA154" i="3"/>
  <c r="BA165" i="3"/>
  <c r="N184" i="3"/>
  <c r="BC184" i="3" s="1"/>
  <c r="M135" i="3"/>
  <c r="AY111" i="3"/>
  <c r="N150" i="3"/>
  <c r="BC150" i="3" s="1"/>
  <c r="BA131" i="3"/>
  <c r="M118" i="3"/>
  <c r="AY94" i="3"/>
  <c r="M122" i="3"/>
  <c r="AY98" i="3"/>
  <c r="M251" i="3"/>
  <c r="BA251" i="3" s="1"/>
  <c r="AY227" i="3"/>
  <c r="N261" i="3"/>
  <c r="BC261" i="3" s="1"/>
  <c r="BA242" i="3"/>
  <c r="BA230" i="3"/>
  <c r="N249" i="3"/>
  <c r="BC249" i="3" s="1"/>
  <c r="N236" i="3"/>
  <c r="BC236" i="3" s="1"/>
  <c r="BA217" i="3"/>
  <c r="M255" i="3"/>
  <c r="BA255" i="3" s="1"/>
  <c r="AY231" i="3"/>
  <c r="M214" i="3"/>
  <c r="AY190" i="3"/>
  <c r="N214" i="3"/>
  <c r="BC214" i="3" s="1"/>
  <c r="BA195" i="3"/>
  <c r="N224" i="3"/>
  <c r="BC224" i="3" s="1"/>
  <c r="BA205" i="3"/>
  <c r="BA220" i="3"/>
  <c r="N239" i="3"/>
  <c r="BC239" i="3" s="1"/>
  <c r="N222" i="3"/>
  <c r="BC222" i="3" s="1"/>
  <c r="BA203" i="3"/>
  <c r="M194" i="3"/>
  <c r="AY170" i="3"/>
  <c r="N212" i="3"/>
  <c r="BC212" i="3" s="1"/>
  <c r="BA193" i="3"/>
  <c r="N181" i="3"/>
  <c r="BC181" i="3" s="1"/>
  <c r="BA162" i="3"/>
  <c r="N211" i="3"/>
  <c r="BC211" i="3" s="1"/>
  <c r="BA192" i="3"/>
  <c r="N205" i="3"/>
  <c r="BC205" i="3" s="1"/>
  <c r="BA186" i="3"/>
  <c r="N186" i="3"/>
  <c r="BC186" i="3" s="1"/>
  <c r="BA167" i="3"/>
  <c r="BA185" i="3"/>
  <c r="N204" i="3"/>
  <c r="BC204" i="3" s="1"/>
  <c r="BA183" i="3"/>
  <c r="N202" i="3"/>
  <c r="BC202" i="3" s="1"/>
  <c r="BA179" i="3"/>
  <c r="N198" i="3"/>
  <c r="BC198" i="3" s="1"/>
  <c r="BA177" i="3"/>
  <c r="N196" i="3"/>
  <c r="BC196" i="3" s="1"/>
  <c r="N183" i="3"/>
  <c r="BC183" i="3" s="1"/>
  <c r="BA164" i="3"/>
  <c r="N174" i="3"/>
  <c r="BC174" i="3" s="1"/>
  <c r="BA155" i="3"/>
  <c r="M160" i="3"/>
  <c r="AY136" i="3"/>
  <c r="M139" i="3"/>
  <c r="AY115" i="3"/>
  <c r="M119" i="3"/>
  <c r="AY95" i="3"/>
  <c r="M116" i="3"/>
  <c r="AY92" i="3"/>
  <c r="M158" i="3"/>
  <c r="AY134" i="3"/>
  <c r="BA121" i="3"/>
  <c r="N140" i="3"/>
  <c r="BC140" i="3" s="1"/>
  <c r="N149" i="3"/>
  <c r="BC149" i="3" s="1"/>
  <c r="BA130" i="3"/>
  <c r="M141" i="3"/>
  <c r="AY117" i="3"/>
  <c r="M133" i="3"/>
  <c r="AY109" i="3"/>
  <c r="N182" i="3"/>
  <c r="BC182" i="3" s="1"/>
  <c r="BA163" i="3"/>
  <c r="M134" i="3"/>
  <c r="AY110" i="3"/>
  <c r="N139" i="3"/>
  <c r="BC139" i="3" s="1"/>
  <c r="BA120" i="3"/>
  <c r="H8" i="3"/>
  <c r="AQ7" i="3"/>
  <c r="BA224" i="3"/>
  <c r="N243" i="3"/>
  <c r="BC243" i="3" s="1"/>
  <c r="N241" i="3"/>
  <c r="BC241" i="3" s="1"/>
  <c r="BA222" i="3"/>
  <c r="BA218" i="3"/>
  <c r="N237" i="3"/>
  <c r="BC237" i="3" s="1"/>
  <c r="M231" i="3"/>
  <c r="AY207" i="3"/>
  <c r="BA209" i="3"/>
  <c r="N228" i="3"/>
  <c r="BC228" i="3" s="1"/>
  <c r="N244" i="3"/>
  <c r="BC244" i="3" s="1"/>
  <c r="BA225" i="3"/>
  <c r="M182" i="3"/>
  <c r="AY158" i="3"/>
  <c r="N191" i="3"/>
  <c r="BC191" i="3" s="1"/>
  <c r="BA172" i="3"/>
  <c r="M237" i="3"/>
  <c r="AY213" i="3"/>
  <c r="N185" i="3"/>
  <c r="BC185" i="3" s="1"/>
  <c r="BA166" i="3"/>
  <c r="BA152" i="3"/>
  <c r="N171" i="3"/>
  <c r="BC171" i="3" s="1"/>
  <c r="N193" i="3"/>
  <c r="BC193" i="3" s="1"/>
  <c r="BA174" i="3"/>
  <c r="M171" i="3"/>
  <c r="AY147" i="3"/>
  <c r="I127" i="3"/>
  <c r="AS126" i="3"/>
  <c r="M170" i="3"/>
  <c r="AY146" i="3"/>
  <c r="M168" i="3"/>
  <c r="AY144" i="3"/>
  <c r="N207" i="3"/>
  <c r="BC207" i="3" s="1"/>
  <c r="BA188" i="3"/>
  <c r="N180" i="3"/>
  <c r="BC180" i="3" s="1"/>
  <c r="BA161" i="3"/>
  <c r="N176" i="3"/>
  <c r="BC176" i="3" s="1"/>
  <c r="BA157" i="3"/>
  <c r="M140" i="3"/>
  <c r="AY116" i="3"/>
  <c r="AW34" i="3"/>
  <c r="L58" i="3"/>
  <c r="M138" i="3"/>
  <c r="AY114" i="3"/>
  <c r="AS44" i="3"/>
  <c r="I45" i="3"/>
  <c r="AS9" i="3"/>
  <c r="I10" i="3"/>
  <c r="S4" i="1" l="1"/>
  <c r="R6" i="1"/>
  <c r="R5" i="1"/>
  <c r="N157" i="3"/>
  <c r="BC157" i="3" s="1"/>
  <c r="BA138" i="3"/>
  <c r="N159" i="3"/>
  <c r="BC159" i="3" s="1"/>
  <c r="BA140" i="3"/>
  <c r="N187" i="3"/>
  <c r="BC187" i="3" s="1"/>
  <c r="BA168" i="3"/>
  <c r="AS127" i="3"/>
  <c r="I128" i="3"/>
  <c r="BA231" i="3"/>
  <c r="N250" i="3"/>
  <c r="BC250" i="3" s="1"/>
  <c r="AQ8" i="3"/>
  <c r="H9" i="3"/>
  <c r="N153" i="3"/>
  <c r="BC153" i="3" s="1"/>
  <c r="BA134" i="3"/>
  <c r="N152" i="3"/>
  <c r="BC152" i="3" s="1"/>
  <c r="BA133" i="3"/>
  <c r="N177" i="3"/>
  <c r="BC177" i="3" s="1"/>
  <c r="BA158" i="3"/>
  <c r="N138" i="3"/>
  <c r="BC138" i="3" s="1"/>
  <c r="BA119" i="3"/>
  <c r="N179" i="3"/>
  <c r="BC179" i="3" s="1"/>
  <c r="BA160" i="3"/>
  <c r="BA194" i="3"/>
  <c r="N213" i="3"/>
  <c r="BC213" i="3" s="1"/>
  <c r="N137" i="3"/>
  <c r="BC137" i="3" s="1"/>
  <c r="BA118" i="3"/>
  <c r="N154" i="3"/>
  <c r="BC154" i="3" s="1"/>
  <c r="BA135" i="3"/>
  <c r="N262" i="3"/>
  <c r="BC262" i="3" s="1"/>
  <c r="BA243" i="3"/>
  <c r="M83" i="3"/>
  <c r="AY59" i="3"/>
  <c r="N170" i="3"/>
  <c r="BC170" i="3" s="1"/>
  <c r="BA151" i="3"/>
  <c r="N163" i="3"/>
  <c r="BC163" i="3" s="1"/>
  <c r="BA144" i="3"/>
  <c r="N142" i="3"/>
  <c r="BC142" i="3" s="1"/>
  <c r="BA123" i="3"/>
  <c r="BA181" i="3"/>
  <c r="N200" i="3"/>
  <c r="BC200" i="3" s="1"/>
  <c r="N254" i="3"/>
  <c r="BC254" i="3" s="1"/>
  <c r="BA235" i="3"/>
  <c r="I74" i="3"/>
  <c r="AS73" i="3"/>
  <c r="I107" i="3"/>
  <c r="AS106" i="3"/>
  <c r="I46" i="3"/>
  <c r="AS46" i="3" s="1"/>
  <c r="AS45" i="3"/>
  <c r="M82" i="3"/>
  <c r="AY58" i="3"/>
  <c r="K37" i="3"/>
  <c r="J21" i="3"/>
  <c r="AU20" i="3"/>
  <c r="N248" i="3"/>
  <c r="BC248" i="3" s="1"/>
  <c r="BA229" i="3"/>
  <c r="N189" i="3"/>
  <c r="BC189" i="3" s="1"/>
  <c r="BA170" i="3"/>
  <c r="N161" i="3"/>
  <c r="BC161" i="3" s="1"/>
  <c r="BA142" i="3"/>
  <c r="N190" i="3"/>
  <c r="BC190" i="3" s="1"/>
  <c r="BA171" i="3"/>
  <c r="N256" i="3"/>
  <c r="BC256" i="3" s="1"/>
  <c r="BA237" i="3"/>
  <c r="N201" i="3"/>
  <c r="BC201" i="3" s="1"/>
  <c r="BA182" i="3"/>
  <c r="N160" i="3"/>
  <c r="BC160" i="3" s="1"/>
  <c r="BA141" i="3"/>
  <c r="N135" i="3"/>
  <c r="BC135" i="3" s="1"/>
  <c r="BA116" i="3"/>
  <c r="N158" i="3"/>
  <c r="BC158" i="3" s="1"/>
  <c r="BA139" i="3"/>
  <c r="N233" i="3"/>
  <c r="BC233" i="3" s="1"/>
  <c r="BA214" i="3"/>
  <c r="N141" i="3"/>
  <c r="BC141" i="3" s="1"/>
  <c r="BA122" i="3"/>
  <c r="N240" i="3"/>
  <c r="BC240" i="3" s="1"/>
  <c r="BA221" i="3"/>
  <c r="I59" i="3"/>
  <c r="AS58" i="3"/>
  <c r="N155" i="3"/>
  <c r="BC155" i="3" s="1"/>
  <c r="BA136" i="3"/>
  <c r="N167" i="3"/>
  <c r="BC167" i="3" s="1"/>
  <c r="BA148" i="3"/>
  <c r="BA173" i="3"/>
  <c r="N192" i="3"/>
  <c r="BC192" i="3" s="1"/>
  <c r="N252" i="3"/>
  <c r="BC252" i="3" s="1"/>
  <c r="BA233" i="3"/>
  <c r="N258" i="3"/>
  <c r="BC258" i="3" s="1"/>
  <c r="BA239" i="3"/>
  <c r="I11" i="3"/>
  <c r="AS10" i="3"/>
  <c r="AS173" i="3"/>
  <c r="I174" i="3"/>
  <c r="L60" i="3"/>
  <c r="AW36" i="3"/>
  <c r="N134" i="3"/>
  <c r="BC134" i="3" s="1"/>
  <c r="BA115" i="3"/>
  <c r="N156" i="3"/>
  <c r="BC156" i="3" s="1"/>
  <c r="BA137" i="3"/>
  <c r="N162" i="3"/>
  <c r="BC162" i="3" s="1"/>
  <c r="BA143" i="3"/>
  <c r="N246" i="3"/>
  <c r="BC246" i="3" s="1"/>
  <c r="BA227" i="3"/>
  <c r="R7" i="1" l="1"/>
  <c r="H10" i="3"/>
  <c r="AQ9" i="3"/>
  <c r="AW37" i="3"/>
  <c r="L61" i="3"/>
  <c r="I75" i="3"/>
  <c r="AS74" i="3"/>
  <c r="N102" i="3"/>
  <c r="BC102" i="3" s="1"/>
  <c r="BA83" i="3"/>
  <c r="K38" i="3"/>
  <c r="J22" i="3"/>
  <c r="AU21" i="3"/>
  <c r="M84" i="3"/>
  <c r="AY60" i="3"/>
  <c r="I12" i="3"/>
  <c r="AS11" i="3"/>
  <c r="AS59" i="3"/>
  <c r="I60" i="3"/>
  <c r="AS128" i="3"/>
  <c r="I129" i="3"/>
  <c r="AS174" i="3"/>
  <c r="I175" i="3"/>
  <c r="BA82" i="3"/>
  <c r="N101" i="3"/>
  <c r="BC101" i="3" s="1"/>
  <c r="I108" i="3"/>
  <c r="AS107" i="3"/>
  <c r="I109" i="3" l="1"/>
  <c r="AS109" i="3" s="1"/>
  <c r="AS108" i="3"/>
  <c r="BA84" i="3"/>
  <c r="N103" i="3"/>
  <c r="BC103" i="3" s="1"/>
  <c r="AS12" i="3"/>
  <c r="I13" i="3"/>
  <c r="K39" i="3"/>
  <c r="J23" i="3"/>
  <c r="AU22" i="3"/>
  <c r="M85" i="3"/>
  <c r="AY61" i="3"/>
  <c r="AS129" i="3"/>
  <c r="I130" i="3"/>
  <c r="AS175" i="3"/>
  <c r="I176" i="3"/>
  <c r="I61" i="3"/>
  <c r="AS60" i="3"/>
  <c r="L62" i="3"/>
  <c r="AW38" i="3"/>
  <c r="I76" i="3"/>
  <c r="AS75" i="3"/>
  <c r="H11" i="3"/>
  <c r="AQ10" i="3"/>
  <c r="AS76" i="3" l="1"/>
  <c r="I77" i="3"/>
  <c r="AW39" i="3"/>
  <c r="L63" i="3"/>
  <c r="I62" i="3"/>
  <c r="AS61" i="3"/>
  <c r="K40" i="3"/>
  <c r="J24" i="3"/>
  <c r="AU23" i="3"/>
  <c r="M86" i="3"/>
  <c r="AY62" i="3"/>
  <c r="BA85" i="3"/>
  <c r="N104" i="3"/>
  <c r="BC104" i="3" s="1"/>
  <c r="AS13" i="3"/>
  <c r="I14" i="3"/>
  <c r="AS176" i="3"/>
  <c r="I177" i="3"/>
  <c r="AQ11" i="3"/>
  <c r="H12" i="3"/>
  <c r="AS130" i="3"/>
  <c r="I131" i="3"/>
  <c r="M87" i="3" l="1"/>
  <c r="AY63" i="3"/>
  <c r="I15" i="3"/>
  <c r="AS15" i="3" s="1"/>
  <c r="AS14" i="3"/>
  <c r="AW40" i="3"/>
  <c r="L64" i="3"/>
  <c r="N105" i="3"/>
  <c r="BC105" i="3" s="1"/>
  <c r="BA86" i="3"/>
  <c r="AS77" i="3"/>
  <c r="I78" i="3"/>
  <c r="K41" i="3"/>
  <c r="J25" i="3"/>
  <c r="AU24" i="3"/>
  <c r="AQ12" i="3"/>
  <c r="H13" i="3"/>
  <c r="AS131" i="3"/>
  <c r="I132" i="3"/>
  <c r="AS177" i="3"/>
  <c r="I178" i="3"/>
  <c r="AS62" i="3"/>
  <c r="I63" i="3"/>
  <c r="AQ13" i="3" l="1"/>
  <c r="H14" i="3"/>
  <c r="K42" i="3"/>
  <c r="J26" i="3"/>
  <c r="AU25" i="3"/>
  <c r="I179" i="3"/>
  <c r="AS178" i="3"/>
  <c r="AW41" i="3"/>
  <c r="L65" i="3"/>
  <c r="AS78" i="3"/>
  <c r="I79" i="3"/>
  <c r="M88" i="3"/>
  <c r="AY64" i="3"/>
  <c r="I64" i="3"/>
  <c r="AS64" i="3" s="1"/>
  <c r="AS63" i="3"/>
  <c r="AS132" i="3"/>
  <c r="I133" i="3"/>
  <c r="BA87" i="3"/>
  <c r="N106" i="3"/>
  <c r="BC106" i="3" s="1"/>
  <c r="BA88" i="3" l="1"/>
  <c r="N107" i="3"/>
  <c r="BC107" i="3" s="1"/>
  <c r="L66" i="3"/>
  <c r="AW42" i="3"/>
  <c r="I80" i="3"/>
  <c r="AS79" i="3"/>
  <c r="AS179" i="3"/>
  <c r="I180" i="3"/>
  <c r="AQ14" i="3"/>
  <c r="H15" i="3"/>
  <c r="K43" i="3"/>
  <c r="J27" i="3"/>
  <c r="AU26" i="3"/>
  <c r="AS133" i="3"/>
  <c r="I134" i="3"/>
  <c r="M89" i="3"/>
  <c r="AY65" i="3"/>
  <c r="K44" i="3" l="1"/>
  <c r="AU27" i="3"/>
  <c r="J28" i="3"/>
  <c r="AS134" i="3"/>
  <c r="I135" i="3"/>
  <c r="M90" i="3"/>
  <c r="AY66" i="3"/>
  <c r="BA89" i="3"/>
  <c r="N108" i="3"/>
  <c r="BC108" i="3" s="1"/>
  <c r="I181" i="3"/>
  <c r="AS180" i="3"/>
  <c r="L67" i="3"/>
  <c r="AW43" i="3"/>
  <c r="H16" i="3"/>
  <c r="AQ15" i="3"/>
  <c r="I81" i="3"/>
  <c r="AS80" i="3"/>
  <c r="AU28" i="3" l="1"/>
  <c r="J29" i="3"/>
  <c r="K45" i="3"/>
  <c r="I82" i="3"/>
  <c r="AS81" i="3"/>
  <c r="H17" i="3"/>
  <c r="AQ16" i="3"/>
  <c r="AS181" i="3"/>
  <c r="I182" i="3"/>
  <c r="N109" i="3"/>
  <c r="BC109" i="3" s="1"/>
  <c r="BA90" i="3"/>
  <c r="M91" i="3"/>
  <c r="AY67" i="3"/>
  <c r="AS135" i="3"/>
  <c r="I136" i="3"/>
  <c r="AW44" i="3"/>
  <c r="L68" i="3"/>
  <c r="BA91" i="3" l="1"/>
  <c r="N110" i="3"/>
  <c r="BC110" i="3" s="1"/>
  <c r="AS136" i="3"/>
  <c r="I137" i="3"/>
  <c r="L69" i="3"/>
  <c r="AW45" i="3"/>
  <c r="H18" i="3"/>
  <c r="AQ17" i="3"/>
  <c r="J30" i="3"/>
  <c r="AU29" i="3"/>
  <c r="K46" i="3"/>
  <c r="I83" i="3"/>
  <c r="AS82" i="3"/>
  <c r="M92" i="3"/>
  <c r="AY68" i="3"/>
  <c r="I183" i="3"/>
  <c r="AS182" i="3"/>
  <c r="I84" i="3" l="1"/>
  <c r="AS83" i="3"/>
  <c r="H19" i="3"/>
  <c r="AQ18" i="3"/>
  <c r="AS183" i="3"/>
  <c r="I184" i="3"/>
  <c r="L70" i="3"/>
  <c r="AW46" i="3"/>
  <c r="N111" i="3"/>
  <c r="BC111" i="3" s="1"/>
  <c r="BA92" i="3"/>
  <c r="AS137" i="3"/>
  <c r="I138" i="3"/>
  <c r="J31" i="3"/>
  <c r="K47" i="3"/>
  <c r="AU30" i="3"/>
  <c r="M93" i="3"/>
  <c r="AY69" i="3"/>
  <c r="BA93" i="3" l="1"/>
  <c r="N112" i="3"/>
  <c r="BC112" i="3" s="1"/>
  <c r="H20" i="3"/>
  <c r="AQ19" i="3"/>
  <c r="M94" i="3"/>
  <c r="AY70" i="3"/>
  <c r="AW47" i="3"/>
  <c r="L71" i="3"/>
  <c r="I185" i="3"/>
  <c r="AS184" i="3"/>
  <c r="AS138" i="3"/>
  <c r="I139" i="3"/>
  <c r="K48" i="3"/>
  <c r="J32" i="3"/>
  <c r="AU31" i="3"/>
  <c r="I85" i="3"/>
  <c r="AS84" i="3"/>
  <c r="H21" i="3" l="1"/>
  <c r="AQ20" i="3"/>
  <c r="I86" i="3"/>
  <c r="AS85" i="3"/>
  <c r="AU32" i="3"/>
  <c r="K49" i="3"/>
  <c r="J33" i="3"/>
  <c r="AS139" i="3"/>
  <c r="I140" i="3"/>
  <c r="M95" i="3"/>
  <c r="AY71" i="3"/>
  <c r="L72" i="3"/>
  <c r="AW48" i="3"/>
  <c r="AS185" i="3"/>
  <c r="I186" i="3"/>
  <c r="N113" i="3"/>
  <c r="BC113" i="3" s="1"/>
  <c r="BA94" i="3"/>
  <c r="I87" i="3" l="1"/>
  <c r="AS86" i="3"/>
  <c r="AY72" i="3"/>
  <c r="M96" i="3"/>
  <c r="I187" i="3"/>
  <c r="AS186" i="3"/>
  <c r="J34" i="3"/>
  <c r="AU33" i="3"/>
  <c r="K50" i="3"/>
  <c r="BA95" i="3"/>
  <c r="N114" i="3"/>
  <c r="BC114" i="3" s="1"/>
  <c r="L73" i="3"/>
  <c r="AW49" i="3"/>
  <c r="AS140" i="3"/>
  <c r="I141" i="3"/>
  <c r="AS141" i="3" s="1"/>
  <c r="H22" i="3"/>
  <c r="AQ21" i="3"/>
  <c r="H23" i="3" l="1"/>
  <c r="AQ22" i="3"/>
  <c r="M97" i="3"/>
  <c r="AY73" i="3"/>
  <c r="BA96" i="3"/>
  <c r="N115" i="3"/>
  <c r="BC115" i="3" s="1"/>
  <c r="K51" i="3"/>
  <c r="J35" i="3"/>
  <c r="AU34" i="3"/>
  <c r="L74" i="3"/>
  <c r="AW50" i="3"/>
  <c r="AS187" i="3"/>
  <c r="I188" i="3"/>
  <c r="I88" i="3"/>
  <c r="AS87" i="3"/>
  <c r="N116" i="3" l="1"/>
  <c r="BC116" i="3" s="1"/>
  <c r="BA97" i="3"/>
  <c r="K52" i="3"/>
  <c r="J36" i="3"/>
  <c r="AU35" i="3"/>
  <c r="AW51" i="3"/>
  <c r="L75" i="3"/>
  <c r="I89" i="3"/>
  <c r="AS88" i="3"/>
  <c r="AY74" i="3"/>
  <c r="M98" i="3"/>
  <c r="I189" i="3"/>
  <c r="AS188" i="3"/>
  <c r="H24" i="3"/>
  <c r="AQ23" i="3"/>
  <c r="I90" i="3" l="1"/>
  <c r="AS89" i="3"/>
  <c r="AS189" i="3"/>
  <c r="I190" i="3"/>
  <c r="J37" i="3"/>
  <c r="AU36" i="3"/>
  <c r="K53" i="3"/>
  <c r="N117" i="3"/>
  <c r="BC117" i="3" s="1"/>
  <c r="BA98" i="3"/>
  <c r="M99" i="3"/>
  <c r="AY75" i="3"/>
  <c r="L76" i="3"/>
  <c r="AW52" i="3"/>
  <c r="H25" i="3"/>
  <c r="AQ24" i="3"/>
  <c r="AY76" i="3" l="1"/>
  <c r="M100" i="3"/>
  <c r="I191" i="3"/>
  <c r="AS190" i="3"/>
  <c r="L77" i="3"/>
  <c r="AW53" i="3"/>
  <c r="H26" i="3"/>
  <c r="AQ25" i="3"/>
  <c r="N118" i="3"/>
  <c r="BC118" i="3" s="1"/>
  <c r="BA99" i="3"/>
  <c r="J38" i="3"/>
  <c r="K54" i="3"/>
  <c r="AU37" i="3"/>
  <c r="I91" i="3"/>
  <c r="AS90" i="3"/>
  <c r="AS191" i="3" l="1"/>
  <c r="I192" i="3"/>
  <c r="L78" i="3"/>
  <c r="AW54" i="3"/>
  <c r="H27" i="3"/>
  <c r="AQ26" i="3"/>
  <c r="I92" i="3"/>
  <c r="AS91" i="3"/>
  <c r="BA100" i="3"/>
  <c r="N119" i="3"/>
  <c r="BC119" i="3" s="1"/>
  <c r="J39" i="3"/>
  <c r="AU38" i="3"/>
  <c r="K55" i="3"/>
  <c r="M101" i="3"/>
  <c r="AY77" i="3"/>
  <c r="K56" i="3" l="1"/>
  <c r="J40" i="3"/>
  <c r="AU39" i="3"/>
  <c r="I93" i="3"/>
  <c r="AS92" i="3"/>
  <c r="BA101" i="3"/>
  <c r="N120" i="3"/>
  <c r="BC120" i="3" s="1"/>
  <c r="I193" i="3"/>
  <c r="AS192" i="3"/>
  <c r="M102" i="3"/>
  <c r="AY78" i="3"/>
  <c r="L79" i="3"/>
  <c r="AW55" i="3"/>
  <c r="AQ27" i="3"/>
  <c r="H28" i="3"/>
  <c r="AS193" i="3" l="1"/>
  <c r="I194" i="3"/>
  <c r="I94" i="3"/>
  <c r="AS93" i="3"/>
  <c r="BA102" i="3"/>
  <c r="N121" i="3"/>
  <c r="BC121" i="3" s="1"/>
  <c r="K57" i="3"/>
  <c r="J41" i="3"/>
  <c r="AU40" i="3"/>
  <c r="M103" i="3"/>
  <c r="AY79" i="3"/>
  <c r="AQ28" i="3"/>
  <c r="H29" i="3"/>
  <c r="L80" i="3"/>
  <c r="AW56" i="3"/>
  <c r="K58" i="3" l="1"/>
  <c r="J42" i="3"/>
  <c r="AU41" i="3"/>
  <c r="L81" i="3"/>
  <c r="AW57" i="3"/>
  <c r="I95" i="3"/>
  <c r="AS94" i="3"/>
  <c r="M104" i="3"/>
  <c r="AY80" i="3"/>
  <c r="N122" i="3"/>
  <c r="BC122" i="3" s="1"/>
  <c r="BA103" i="3"/>
  <c r="I195" i="3"/>
  <c r="AS194" i="3"/>
  <c r="H30" i="3"/>
  <c r="AQ29" i="3"/>
  <c r="I196" i="3" l="1"/>
  <c r="AS195" i="3"/>
  <c r="H31" i="3"/>
  <c r="AQ30" i="3"/>
  <c r="N123" i="3"/>
  <c r="BC123" i="3" s="1"/>
  <c r="BA104" i="3"/>
  <c r="M105" i="3"/>
  <c r="AY81" i="3"/>
  <c r="I96" i="3"/>
  <c r="AS96" i="3" s="1"/>
  <c r="AS95" i="3"/>
  <c r="K59" i="3"/>
  <c r="AU42" i="3"/>
  <c r="J43" i="3"/>
  <c r="L82" i="3"/>
  <c r="AW58" i="3"/>
  <c r="L83" i="3" l="1"/>
  <c r="AW59" i="3"/>
  <c r="N124" i="3"/>
  <c r="BC124" i="3" s="1"/>
  <c r="BA105" i="3"/>
  <c r="AQ31" i="3"/>
  <c r="H32" i="3"/>
  <c r="M106" i="3"/>
  <c r="AY82" i="3"/>
  <c r="AU43" i="3"/>
  <c r="K60" i="3"/>
  <c r="J44" i="3"/>
  <c r="I197" i="3"/>
  <c r="AS196" i="3"/>
  <c r="AS197" i="3" l="1"/>
  <c r="I198" i="3"/>
  <c r="N125" i="3"/>
  <c r="BC125" i="3" s="1"/>
  <c r="BA106" i="3"/>
  <c r="L84" i="3"/>
  <c r="AW60" i="3"/>
  <c r="J45" i="3"/>
  <c r="K61" i="3"/>
  <c r="AU44" i="3"/>
  <c r="H33" i="3"/>
  <c r="AQ32" i="3"/>
  <c r="M107" i="3"/>
  <c r="AY83" i="3"/>
  <c r="K62" i="3" l="1"/>
  <c r="J46" i="3"/>
  <c r="AU45" i="3"/>
  <c r="I199" i="3"/>
  <c r="AS198" i="3"/>
  <c r="N126" i="3"/>
  <c r="BC126" i="3" s="1"/>
  <c r="BA107" i="3"/>
  <c r="L85" i="3"/>
  <c r="AW61" i="3"/>
  <c r="H34" i="3"/>
  <c r="AQ34" i="3" s="1"/>
  <c r="AQ33" i="3"/>
  <c r="M108" i="3"/>
  <c r="AY84" i="3"/>
  <c r="I200" i="3" l="1"/>
  <c r="AS199" i="3"/>
  <c r="K63" i="3"/>
  <c r="J47" i="3"/>
  <c r="AU46" i="3"/>
  <c r="N127" i="3"/>
  <c r="BC127" i="3" s="1"/>
  <c r="BA108" i="3"/>
  <c r="M109" i="3"/>
  <c r="AY85" i="3"/>
  <c r="L86" i="3"/>
  <c r="AW62" i="3"/>
  <c r="K64" i="3" l="1"/>
  <c r="AU47" i="3"/>
  <c r="M110" i="3"/>
  <c r="AY86" i="3"/>
  <c r="N128" i="3"/>
  <c r="BC128" i="3" s="1"/>
  <c r="BA109" i="3"/>
  <c r="L87" i="3"/>
  <c r="AW63" i="3"/>
  <c r="I201" i="3"/>
  <c r="AS200" i="3"/>
  <c r="AY87" i="3" l="1"/>
  <c r="M111" i="3"/>
  <c r="N129" i="3"/>
  <c r="BC129" i="3" s="1"/>
  <c r="BA110" i="3"/>
  <c r="AS201" i="3"/>
  <c r="I202" i="3"/>
  <c r="L88" i="3"/>
  <c r="AW64" i="3"/>
  <c r="I203" i="3" l="1"/>
  <c r="AS202" i="3"/>
  <c r="M112" i="3"/>
  <c r="AY88" i="3"/>
  <c r="N130" i="3"/>
  <c r="BC130" i="3" s="1"/>
  <c r="BA111" i="3"/>
  <c r="N131" i="3" l="1"/>
  <c r="BC131" i="3" s="1"/>
  <c r="BA112" i="3"/>
  <c r="I204" i="3"/>
  <c r="AS203" i="3"/>
  <c r="I205" i="3" l="1"/>
  <c r="AS204" i="3"/>
  <c r="AS205" i="3" l="1"/>
  <c r="I206" i="3"/>
  <c r="I207" i="3" l="1"/>
  <c r="AS206" i="3"/>
  <c r="AS207" i="3" l="1"/>
  <c r="I208" i="3"/>
  <c r="AS208" i="3" l="1"/>
  <c r="I209" i="3"/>
  <c r="I210" i="3" l="1"/>
  <c r="AS209" i="3"/>
  <c r="I211" i="3" l="1"/>
  <c r="AS210" i="3"/>
  <c r="AS211" i="3" l="1"/>
  <c r="I212" i="3"/>
  <c r="AS212" i="3" l="1"/>
  <c r="I213" i="3"/>
  <c r="I214" i="3" l="1"/>
  <c r="AS213" i="3"/>
  <c r="I215" i="3" l="1"/>
  <c r="AS214" i="3"/>
  <c r="AS215" i="3" l="1"/>
  <c r="I216" i="3"/>
  <c r="AS216" i="3" l="1"/>
  <c r="I217" i="3"/>
  <c r="I218" i="3" l="1"/>
  <c r="AS217" i="3"/>
  <c r="AS218" i="3" l="1"/>
  <c r="I219" i="3"/>
  <c r="AS219" i="3" l="1"/>
  <c r="I220" i="3"/>
  <c r="AS220" i="3" l="1"/>
  <c r="I221" i="3"/>
  <c r="I222" i="3" l="1"/>
  <c r="AS221" i="3"/>
  <c r="I223" i="3" l="1"/>
  <c r="AS222" i="3"/>
  <c r="AS223" i="3" l="1"/>
  <c r="I224" i="3"/>
  <c r="AS224" i="3" l="1"/>
  <c r="I225" i="3"/>
  <c r="I226" i="3" l="1"/>
  <c r="AS225" i="3"/>
  <c r="I227" i="3" l="1"/>
  <c r="AS226" i="3"/>
  <c r="AS227" i="3" l="1"/>
  <c r="I228" i="3"/>
  <c r="AS228" i="3" l="1"/>
  <c r="I229" i="3"/>
  <c r="I230" i="3" l="1"/>
  <c r="AS229" i="3"/>
  <c r="AS230" i="3" l="1"/>
  <c r="I231" i="3"/>
  <c r="I232" i="3" l="1"/>
  <c r="AS231" i="3"/>
  <c r="I233" i="3" l="1"/>
  <c r="AS232" i="3"/>
  <c r="AS233" i="3" l="1"/>
  <c r="I234" i="3"/>
  <c r="AS234" i="3" l="1"/>
  <c r="I235" i="3"/>
  <c r="I236" i="3" l="1"/>
  <c r="AS235" i="3"/>
  <c r="AS236" i="3" l="1"/>
  <c r="I237" i="3"/>
  <c r="I238" i="3" l="1"/>
  <c r="AS237" i="3"/>
  <c r="AS238" i="3" l="1"/>
  <c r="I239" i="3"/>
  <c r="I240" i="3" l="1"/>
  <c r="AS239" i="3"/>
  <c r="AS240" i="3" l="1"/>
  <c r="I241" i="3"/>
  <c r="I242" i="3" l="1"/>
  <c r="AS241" i="3"/>
  <c r="AS242" i="3" l="1"/>
  <c r="I243" i="3"/>
  <c r="I244" i="3" l="1"/>
  <c r="AS243" i="3"/>
  <c r="AS244" i="3" l="1"/>
  <c r="I245" i="3"/>
  <c r="I246" i="3" l="1"/>
  <c r="AS245" i="3"/>
  <c r="AS246" i="3" l="1"/>
  <c r="I247" i="3"/>
  <c r="AS247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<sst xmlns="http://schemas.openxmlformats.org/spreadsheetml/2006/main" count="213" uniqueCount="103">
  <si>
    <t>درصد پیشرفت کل پروژه</t>
  </si>
  <si>
    <t>درصد پیشرفت مهندسی</t>
  </si>
  <si>
    <t>درصد پیشرفت خرید</t>
  </si>
  <si>
    <t>درصد پیشرفت فونداسیون</t>
  </si>
  <si>
    <t>درصد پیشرفت ساخت</t>
  </si>
  <si>
    <t>درصد پیشرفت نصب</t>
  </si>
  <si>
    <t>درصد پیشرفت سفت کاری</t>
  </si>
  <si>
    <t>درصد پیشرفت نازک کاری</t>
  </si>
  <si>
    <t>وضعیت آب و هوا</t>
  </si>
  <si>
    <t>صورت وضعیت</t>
  </si>
  <si>
    <t>عملکرد پیمانکاران</t>
  </si>
  <si>
    <t>وضعیت HSE</t>
  </si>
  <si>
    <t>شماره گزارش</t>
  </si>
  <si>
    <t>تاریخ میلادی</t>
  </si>
  <si>
    <t>گزارش هفتگی</t>
  </si>
  <si>
    <t>برنامه ای</t>
  </si>
  <si>
    <t>واقعی</t>
  </si>
  <si>
    <t>کمترین</t>
  </si>
  <si>
    <t>بیشترین</t>
  </si>
  <si>
    <t>تاریخ</t>
  </si>
  <si>
    <t>شماره</t>
  </si>
  <si>
    <t>تاریخ شمسی</t>
  </si>
  <si>
    <t>ارسالی</t>
  </si>
  <si>
    <t>تاییدی</t>
  </si>
  <si>
    <t>اختلاف</t>
  </si>
  <si>
    <t>پیمانکار شماره 1</t>
  </si>
  <si>
    <t>پیمانکار شماره 2</t>
  </si>
  <si>
    <t>پیمانکار شماره 3</t>
  </si>
  <si>
    <t>پیمانکار شماره 4</t>
  </si>
  <si>
    <t>پیمانکار شماره 5</t>
  </si>
  <si>
    <t>پیمانکار 1</t>
  </si>
  <si>
    <t>پیمانکار 2</t>
  </si>
  <si>
    <t>پیمانکار 3</t>
  </si>
  <si>
    <t>پیمانکار 4</t>
  </si>
  <si>
    <t>1399/02/31</t>
  </si>
  <si>
    <t>1399/03/28</t>
  </si>
  <si>
    <t>1399/04/25</t>
  </si>
  <si>
    <t>1399/05/22</t>
  </si>
  <si>
    <t>1399/06/19</t>
  </si>
  <si>
    <t>1399/07/16</t>
  </si>
  <si>
    <t>1399/08/14</t>
  </si>
  <si>
    <t>1399/09/12</t>
  </si>
  <si>
    <t>1399/10/10</t>
  </si>
  <si>
    <t>1399/11/08</t>
  </si>
  <si>
    <t>1399/12/06</t>
  </si>
  <si>
    <t>1400/01/04</t>
  </si>
  <si>
    <t>1400/02/01</t>
  </si>
  <si>
    <t>1400/02/29</t>
  </si>
  <si>
    <t>1400/03/26</t>
  </si>
  <si>
    <t>1400/04/23</t>
  </si>
  <si>
    <t>1400/05/20</t>
  </si>
  <si>
    <t>1400/06/17</t>
  </si>
  <si>
    <t>1400/07/14</t>
  </si>
  <si>
    <t>1400/08/12</t>
  </si>
  <si>
    <t>1400/09/10</t>
  </si>
  <si>
    <t>1400/10/08</t>
  </si>
  <si>
    <t>1400/11/06</t>
  </si>
  <si>
    <t>1400/12/04</t>
  </si>
  <si>
    <t>1401/01/03</t>
  </si>
  <si>
    <t>1401/01/31</t>
  </si>
  <si>
    <t>1401/02/28</t>
  </si>
  <si>
    <t>1401/03/25</t>
  </si>
  <si>
    <t>1401/04/22</t>
  </si>
  <si>
    <t>1401/05/19</t>
  </si>
  <si>
    <t>1401/06/16</t>
  </si>
  <si>
    <t>1401/07/13</t>
  </si>
  <si>
    <t>1401/08/11</t>
  </si>
  <si>
    <t>1401/09/09</t>
  </si>
  <si>
    <t>1401/10/07</t>
  </si>
  <si>
    <t>1401/11/05</t>
  </si>
  <si>
    <t>1401/12/03</t>
  </si>
  <si>
    <t>1402/01/02</t>
  </si>
  <si>
    <t>1402/01/30</t>
  </si>
  <si>
    <t>1402/02/27</t>
  </si>
  <si>
    <t>1402/03/24</t>
  </si>
  <si>
    <t>1402/04/21</t>
  </si>
  <si>
    <t>1402/05/18</t>
  </si>
  <si>
    <t>1402/06/15</t>
  </si>
  <si>
    <t>1402/07/12</t>
  </si>
  <si>
    <t>1402/08/10</t>
  </si>
  <si>
    <t>1402/09/08</t>
  </si>
  <si>
    <t>1402/10/06</t>
  </si>
  <si>
    <t>1402/11/04</t>
  </si>
  <si>
    <t>1402/12/02</t>
  </si>
  <si>
    <t>1403/01/01</t>
  </si>
  <si>
    <t>1403/01/29</t>
  </si>
  <si>
    <t>1403/02/26</t>
  </si>
  <si>
    <t>1403/03/23</t>
  </si>
  <si>
    <t>1403/04/20</t>
  </si>
  <si>
    <t>1403/05/17</t>
  </si>
  <si>
    <t>1403/06/14</t>
  </si>
  <si>
    <t>1403/07/11</t>
  </si>
  <si>
    <t>1403/08/09</t>
  </si>
  <si>
    <t>1403/09/07</t>
  </si>
  <si>
    <t>1403/10/05</t>
  </si>
  <si>
    <t>1403/11/03</t>
  </si>
  <si>
    <t>1403/12/01</t>
  </si>
  <si>
    <t>1403/12/29</t>
  </si>
  <si>
    <t>1404/01/06</t>
  </si>
  <si>
    <t>lable text</t>
  </si>
  <si>
    <t>بالا</t>
  </si>
  <si>
    <t>پایین</t>
  </si>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</sst>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yyyy/mm/dd"/>
    <numFmt numFmtId="166" formatCode="[$-160429]yyyy/mm/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Vazirmatn FD"/>
    </font>
    <font>
      <sz val="11"/>
      <color theme="1"/>
      <name val="Vazirmatn FD"/>
    </font>
    <font>
      <sz val="10"/>
      <color theme="1"/>
      <name val="Vazirmatn FD"/>
    </font>
    <font>
      <sz val="11"/>
      <color rgb="FFDFF2EB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F9F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FF2E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166" fontId="3" fillId="2" borderId="9" xfId="0" applyNumberFormat="1" applyFont="1" applyFill="1" applyBorder="1" applyAlignment="1">
      <alignment horizontal="center" vertical="center"/>
    </xf>
    <xf numFmtId="10" fontId="3" fillId="2" borderId="9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10" fontId="3" fillId="2" borderId="8" xfId="0" applyNumberFormat="1" applyFont="1" applyFill="1" applyBorder="1" applyAlignment="1">
      <alignment horizontal="center" vertical="center" wrapText="1"/>
    </xf>
    <xf numFmtId="10" fontId="3" fillId="2" borderId="9" xfId="0" applyNumberFormat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164" fontId="3" fillId="2" borderId="8" xfId="1" applyNumberFormat="1" applyFont="1" applyFill="1" applyBorder="1" applyAlignment="1">
      <alignment horizontal="center" vertical="center"/>
    </xf>
    <xf numFmtId="164" fontId="3" fillId="2" borderId="9" xfId="1" applyNumberFormat="1" applyFont="1" applyFill="1" applyBorder="1" applyAlignment="1">
      <alignment horizontal="center" vertical="center"/>
    </xf>
    <xf numFmtId="3" fontId="3" fillId="2" borderId="9" xfId="1" applyNumberFormat="1" applyFont="1" applyFill="1" applyBorder="1" applyAlignment="1">
      <alignment horizontal="center" vertical="center"/>
    </xf>
    <xf numFmtId="3" fontId="3" fillId="2" borderId="11" xfId="1" applyNumberFormat="1" applyFont="1" applyFill="1" applyBorder="1" applyAlignment="1">
      <alignment horizontal="center" vertical="center"/>
    </xf>
    <xf numFmtId="164" fontId="3" fillId="2" borderId="12" xfId="1" applyNumberFormat="1" applyFont="1" applyFill="1" applyBorder="1" applyAlignment="1">
      <alignment horizontal="center" vertical="center"/>
    </xf>
    <xf numFmtId="164" fontId="3" fillId="2" borderId="13" xfId="1" applyNumberFormat="1" applyFont="1" applyFill="1" applyBorder="1" applyAlignment="1">
      <alignment horizontal="center" vertical="center"/>
    </xf>
    <xf numFmtId="164" fontId="3" fillId="2" borderId="17" xfId="1" applyNumberFormat="1" applyFont="1" applyFill="1" applyBorder="1" applyAlignment="1">
      <alignment horizontal="center" vertical="center"/>
    </xf>
    <xf numFmtId="10" fontId="3" fillId="2" borderId="12" xfId="0" applyNumberFormat="1" applyFont="1" applyFill="1" applyBorder="1" applyAlignment="1">
      <alignment horizontal="center" vertical="center" wrapText="1"/>
    </xf>
    <xf numFmtId="10" fontId="3" fillId="2" borderId="18" xfId="0" applyNumberFormat="1" applyFont="1" applyFill="1" applyBorder="1" applyAlignment="1">
      <alignment horizontal="center" vertical="center" wrapText="1"/>
    </xf>
    <xf numFmtId="10" fontId="3" fillId="2" borderId="19" xfId="0" applyNumberFormat="1" applyFont="1" applyFill="1" applyBorder="1" applyAlignment="1">
      <alignment horizontal="center" vertical="center" wrapText="1"/>
    </xf>
    <xf numFmtId="10" fontId="3" fillId="2" borderId="20" xfId="0" applyNumberFormat="1" applyFont="1" applyFill="1" applyBorder="1" applyAlignment="1">
      <alignment horizontal="center" vertical="center" wrapText="1"/>
    </xf>
    <xf numFmtId="3" fontId="3" fillId="2" borderId="8" xfId="0" applyNumberFormat="1" applyFont="1" applyFill="1" applyBorder="1" applyAlignment="1">
      <alignment horizontal="center" vertical="center" wrapText="1"/>
    </xf>
    <xf numFmtId="3" fontId="3" fillId="2" borderId="9" xfId="0" applyNumberFormat="1" applyFont="1" applyFill="1" applyBorder="1" applyAlignment="1">
      <alignment horizontal="center" vertical="center" wrapText="1"/>
    </xf>
    <xf numFmtId="164" fontId="3" fillId="2" borderId="10" xfId="1" applyNumberFormat="1" applyFont="1" applyFill="1" applyBorder="1" applyAlignment="1">
      <alignment horizontal="center" vertical="center"/>
    </xf>
    <xf numFmtId="164" fontId="3" fillId="2" borderId="0" xfId="1" applyNumberFormat="1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165" fontId="3" fillId="2" borderId="22" xfId="0" applyNumberFormat="1" applyFont="1" applyFill="1" applyBorder="1" applyAlignment="1">
      <alignment horizontal="center" vertical="center"/>
    </xf>
    <xf numFmtId="166" fontId="3" fillId="2" borderId="22" xfId="0" applyNumberFormat="1" applyFont="1" applyFill="1" applyBorder="1" applyAlignment="1">
      <alignment horizontal="center" vertical="center"/>
    </xf>
    <xf numFmtId="10" fontId="3" fillId="2" borderId="22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right" vertical="center"/>
    </xf>
    <xf numFmtId="10" fontId="3" fillId="2" borderId="21" xfId="0" applyNumberFormat="1" applyFont="1" applyFill="1" applyBorder="1" applyAlignment="1">
      <alignment horizontal="center" vertical="center" wrapText="1"/>
    </xf>
    <xf numFmtId="10" fontId="3" fillId="2" borderId="22" xfId="0" applyNumberFormat="1" applyFont="1" applyFill="1" applyBorder="1" applyAlignment="1">
      <alignment horizontal="center" vertical="center" wrapText="1"/>
    </xf>
    <xf numFmtId="10" fontId="3" fillId="2" borderId="2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166" fontId="3" fillId="2" borderId="14" xfId="0" applyNumberFormat="1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3" fontId="3" fillId="2" borderId="22" xfId="1" applyNumberFormat="1" applyFont="1" applyFill="1" applyBorder="1" applyAlignment="1">
      <alignment horizontal="center" vertical="center"/>
    </xf>
    <xf numFmtId="3" fontId="3" fillId="2" borderId="22" xfId="0" applyNumberFormat="1" applyFont="1" applyFill="1" applyBorder="1" applyAlignment="1">
      <alignment horizontal="center" vertical="center"/>
    </xf>
    <xf numFmtId="3" fontId="3" fillId="2" borderId="23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3" fontId="3" fillId="2" borderId="21" xfId="0" applyNumberFormat="1" applyFont="1" applyFill="1" applyBorder="1" applyAlignment="1">
      <alignment horizontal="center" vertical="center"/>
    </xf>
    <xf numFmtId="164" fontId="3" fillId="2" borderId="22" xfId="0" applyNumberFormat="1" applyFont="1" applyFill="1" applyBorder="1" applyAlignment="1">
      <alignment horizontal="center" vertical="center"/>
    </xf>
    <xf numFmtId="164" fontId="3" fillId="2" borderId="24" xfId="0" applyNumberFormat="1" applyFont="1" applyFill="1" applyBorder="1" applyAlignment="1">
      <alignment horizontal="center" vertical="center"/>
    </xf>
    <xf numFmtId="165" fontId="3" fillId="2" borderId="15" xfId="0" applyNumberFormat="1" applyFont="1" applyFill="1" applyBorder="1" applyAlignment="1">
      <alignment horizontal="center" vertical="center"/>
    </xf>
    <xf numFmtId="166" fontId="3" fillId="2" borderId="15" xfId="0" applyNumberFormat="1" applyFont="1" applyFill="1" applyBorder="1" applyAlignment="1">
      <alignment horizontal="center" vertical="center"/>
    </xf>
    <xf numFmtId="10" fontId="3" fillId="2" borderId="15" xfId="0" applyNumberFormat="1" applyFont="1" applyFill="1" applyBorder="1" applyAlignment="1">
      <alignment horizontal="center" vertical="center"/>
    </xf>
    <xf numFmtId="10" fontId="3" fillId="2" borderId="14" xfId="0" applyNumberFormat="1" applyFont="1" applyFill="1" applyBorder="1" applyAlignment="1">
      <alignment horizontal="center" vertical="center" wrapText="1"/>
    </xf>
    <xf numFmtId="10" fontId="3" fillId="2" borderId="15" xfId="0" applyNumberFormat="1" applyFont="1" applyFill="1" applyBorder="1" applyAlignment="1">
      <alignment horizontal="center" vertical="center" wrapText="1"/>
    </xf>
    <xf numFmtId="10" fontId="3" fillId="2" borderId="16" xfId="0" applyNumberFormat="1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/>
    </xf>
    <xf numFmtId="3" fontId="3" fillId="2" borderId="15" xfId="1" applyNumberFormat="1" applyFont="1" applyFill="1" applyBorder="1" applyAlignment="1">
      <alignment horizontal="center" vertical="center"/>
    </xf>
    <xf numFmtId="3" fontId="3" fillId="2" borderId="15" xfId="0" applyNumberFormat="1" applyFont="1" applyFill="1" applyBorder="1" applyAlignment="1">
      <alignment horizontal="center" vertical="center"/>
    </xf>
    <xf numFmtId="3" fontId="3" fillId="2" borderId="16" xfId="0" applyNumberFormat="1" applyFont="1" applyFill="1" applyBorder="1" applyAlignment="1">
      <alignment horizontal="center" vertical="center"/>
    </xf>
    <xf numFmtId="164" fontId="3" fillId="2" borderId="14" xfId="0" applyNumberFormat="1" applyFont="1" applyFill="1" applyBorder="1" applyAlignment="1">
      <alignment horizontal="center" vertical="center"/>
    </xf>
    <xf numFmtId="164" fontId="3" fillId="2" borderId="15" xfId="0" applyNumberFormat="1" applyFont="1" applyFill="1" applyBorder="1" applyAlignment="1">
      <alignment horizontal="center" vertical="center"/>
    </xf>
    <xf numFmtId="164" fontId="3" fillId="2" borderId="16" xfId="0" applyNumberFormat="1" applyFont="1" applyFill="1" applyBorder="1" applyAlignment="1">
      <alignment horizontal="center" vertical="center"/>
    </xf>
    <xf numFmtId="164" fontId="3" fillId="2" borderId="25" xfId="0" applyNumberFormat="1" applyFont="1" applyFill="1" applyBorder="1" applyAlignment="1">
      <alignment horizontal="center" vertical="center"/>
    </xf>
    <xf numFmtId="3" fontId="3" fillId="2" borderId="14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3" fontId="3" fillId="2" borderId="9" xfId="0" applyNumberFormat="1" applyFont="1" applyFill="1" applyBorder="1" applyAlignment="1">
      <alignment horizontal="center" vertical="center"/>
    </xf>
    <xf numFmtId="3" fontId="3" fillId="2" borderId="11" xfId="0" applyNumberFormat="1" applyFont="1" applyFill="1" applyBorder="1" applyAlignment="1">
      <alignment horizontal="center" vertical="center"/>
    </xf>
    <xf numFmtId="3" fontId="3" fillId="2" borderId="8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3" fontId="3" fillId="2" borderId="0" xfId="1" applyNumberFormat="1" applyFont="1" applyFill="1" applyBorder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165" fontId="3" fillId="3" borderId="15" xfId="0" applyNumberFormat="1" applyFont="1" applyFill="1" applyBorder="1" applyAlignment="1">
      <alignment horizontal="center" vertical="center"/>
    </xf>
    <xf numFmtId="166" fontId="3" fillId="3" borderId="15" xfId="0" applyNumberFormat="1" applyFont="1" applyFill="1" applyBorder="1" applyAlignment="1">
      <alignment horizontal="center" vertical="center"/>
    </xf>
    <xf numFmtId="10" fontId="3" fillId="3" borderId="15" xfId="0" applyNumberFormat="1" applyFont="1" applyFill="1" applyBorder="1" applyAlignment="1">
      <alignment horizontal="center" vertical="center"/>
    </xf>
    <xf numFmtId="10" fontId="3" fillId="3" borderId="14" xfId="0" applyNumberFormat="1" applyFont="1" applyFill="1" applyBorder="1" applyAlignment="1">
      <alignment horizontal="center" vertical="center" wrapText="1"/>
    </xf>
    <xf numFmtId="10" fontId="3" fillId="3" borderId="15" xfId="0" applyNumberFormat="1" applyFont="1" applyFill="1" applyBorder="1" applyAlignment="1">
      <alignment horizontal="center" vertical="center" wrapText="1"/>
    </xf>
    <xf numFmtId="10" fontId="3" fillId="3" borderId="16" xfId="0" applyNumberFormat="1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3" fontId="3" fillId="3" borderId="0" xfId="1" applyNumberFormat="1" applyFont="1" applyFill="1" applyBorder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164" fontId="3" fillId="3" borderId="14" xfId="0" applyNumberFormat="1" applyFont="1" applyFill="1" applyBorder="1" applyAlignment="1">
      <alignment horizontal="center" vertical="center"/>
    </xf>
    <xf numFmtId="164" fontId="3" fillId="3" borderId="15" xfId="0" applyNumberFormat="1" applyFont="1" applyFill="1" applyBorder="1" applyAlignment="1">
      <alignment horizontal="center" vertical="center"/>
    </xf>
    <xf numFmtId="164" fontId="3" fillId="3" borderId="16" xfId="0" applyNumberFormat="1" applyFont="1" applyFill="1" applyBorder="1" applyAlignment="1">
      <alignment horizontal="center" vertical="center"/>
    </xf>
    <xf numFmtId="164" fontId="3" fillId="3" borderId="25" xfId="0" applyNumberFormat="1" applyFont="1" applyFill="1" applyBorder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0" fillId="3" borderId="0" xfId="0" applyFill="1"/>
    <xf numFmtId="10" fontId="3" fillId="2" borderId="11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4" borderId="0" xfId="0" applyFill="1"/>
    <xf numFmtId="10" fontId="0" fillId="4" borderId="0" xfId="0" applyNumberFormat="1" applyFill="1"/>
    <xf numFmtId="9" fontId="0" fillId="4" borderId="0" xfId="0" applyNumberFormat="1" applyFill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0" fontId="3" fillId="2" borderId="5" xfId="0" applyNumberFormat="1" applyFont="1" applyFill="1" applyBorder="1" applyAlignment="1">
      <alignment horizontal="center" vertical="center" wrapText="1"/>
    </xf>
    <xf numFmtId="10" fontId="3" fillId="2" borderId="7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10" fontId="3" fillId="2" borderId="6" xfId="0" applyNumberFormat="1" applyFont="1" applyFill="1" applyBorder="1" applyAlignment="1">
      <alignment horizontal="center" vertical="center" wrapText="1"/>
    </xf>
    <xf numFmtId="10" fontId="4" fillId="2" borderId="5" xfId="0" applyNumberFormat="1" applyFont="1" applyFill="1" applyBorder="1" applyAlignment="1">
      <alignment horizontal="center" vertical="center" wrapText="1"/>
    </xf>
    <xf numFmtId="10" fontId="4" fillId="2" borderId="6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0" fontId="3" fillId="2" borderId="28" xfId="0" applyNumberFormat="1" applyFont="1" applyFill="1" applyBorder="1" applyAlignment="1">
      <alignment horizontal="center" wrapText="1"/>
    </xf>
    <xf numFmtId="10" fontId="3" fillId="2" borderId="29" xfId="0" applyNumberFormat="1" applyFont="1" applyFill="1" applyBorder="1" applyAlignment="1">
      <alignment horizontal="center" wrapText="1"/>
    </xf>
    <xf numFmtId="10" fontId="3" fillId="2" borderId="26" xfId="0" applyNumberFormat="1" applyFont="1" applyFill="1" applyBorder="1" applyAlignment="1">
      <alignment horizontal="center" wrapText="1"/>
    </xf>
    <xf numFmtId="10" fontId="3" fillId="2" borderId="27" xfId="0" applyNumberFormat="1" applyFont="1" applyFill="1" applyBorder="1" applyAlignment="1">
      <alignment horizontal="center" wrapText="1"/>
    </xf>
    <xf numFmtId="10" fontId="3" fillId="2" borderId="28" xfId="0" applyNumberFormat="1" applyFont="1" applyFill="1" applyBorder="1" applyAlignment="1">
      <alignment horizontal="center" vertical="center" wrapText="1"/>
    </xf>
    <xf numFmtId="10" fontId="3" fillId="2" borderId="29" xfId="0" applyNumberFormat="1" applyFont="1" applyFill="1" applyBorder="1" applyAlignment="1">
      <alignment horizontal="center" vertical="center" wrapText="1"/>
    </xf>
    <xf numFmtId="10" fontId="3" fillId="2" borderId="30" xfId="0" applyNumberFormat="1" applyFont="1" applyFill="1" applyBorder="1" applyAlignment="1">
      <alignment horizontal="center" vertical="center" wrapText="1"/>
    </xf>
    <xf numFmtId="10" fontId="3" fillId="2" borderId="31" xfId="0" applyNumberFormat="1" applyFont="1" applyFill="1" applyBorder="1" applyAlignment="1">
      <alignment horizontal="center" vertical="center" wrapText="1"/>
    </xf>
    <xf numFmtId="0" fontId="0" fillId="4" borderId="0" xfId="0" applyNumberFormat="1" applyFill="1"/>
    <xf numFmtId="0" fontId="5" fillId="4" borderId="0" xfId="0" applyFont="1" applyFill="1"/>
    <xf numFmtId="43" fontId="0" fillId="4" borderId="0" xfId="2" applyFont="1" applyFill="1"/>
    <xf numFmtId="0" fontId="0" fillId="4" borderId="0" xfId="0" applyFill="1" applyAlignment="1"/>
    <xf numFmtId="10" fontId="4" fillId="4" borderId="0" xfId="0" applyNumberFormat="1" applyFont="1" applyFill="1" applyBorder="1" applyAlignment="1">
      <alignment vertic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4A628A"/>
      <color rgb="FF7AB2D3"/>
      <color rgb="FFDFF2EB"/>
      <color rgb="FFB9E5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FD181E0-5E2F-11CE-A449-00AA004A803D}" ax:persistence="persistStreamInit" r:id="rId1"/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864699345014297E-2"/>
          <c:y val="5.3248517546417809E-2"/>
          <c:w val="0.91436806885625788"/>
          <c:h val="0.785033051424127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Data!$D$2</c:f>
              <c:strCache>
                <c:ptCount val="1"/>
                <c:pt idx="0">
                  <c:v>برنامه ای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Data!$C$3:$C$262</c:f>
              <c:strCache>
                <c:ptCount val="260"/>
                <c:pt idx="0">
                  <c:v>1399/01/20</c:v>
                </c:pt>
                <c:pt idx="1">
                  <c:v>1399/01/27</c:v>
                </c:pt>
                <c:pt idx="2">
                  <c:v>1399/02/03</c:v>
                </c:pt>
                <c:pt idx="3">
                  <c:v>1399/02/10</c:v>
                </c:pt>
                <c:pt idx="4">
                  <c:v>1399/02/17</c:v>
                </c:pt>
                <c:pt idx="5">
                  <c:v>1399/02/24</c:v>
                </c:pt>
                <c:pt idx="6">
                  <c:v>1399/02/31</c:v>
                </c:pt>
                <c:pt idx="7">
                  <c:v>1399/03/07</c:v>
                </c:pt>
                <c:pt idx="8">
                  <c:v>1399/03/14</c:v>
                </c:pt>
                <c:pt idx="9">
                  <c:v>1399/03/21</c:v>
                </c:pt>
                <c:pt idx="10">
                  <c:v>1399/03/28</c:v>
                </c:pt>
                <c:pt idx="11">
                  <c:v>1399/04/04</c:v>
                </c:pt>
                <c:pt idx="12">
                  <c:v>1399/04/11</c:v>
                </c:pt>
                <c:pt idx="13">
                  <c:v>1399/04/18</c:v>
                </c:pt>
                <c:pt idx="14">
                  <c:v>1399/04/25</c:v>
                </c:pt>
                <c:pt idx="15">
                  <c:v>1399/05/01</c:v>
                </c:pt>
                <c:pt idx="16">
                  <c:v>1399/05/08</c:v>
                </c:pt>
                <c:pt idx="17">
                  <c:v>1399/05/15</c:v>
                </c:pt>
                <c:pt idx="18">
                  <c:v>1399/05/22</c:v>
                </c:pt>
                <c:pt idx="19">
                  <c:v>1399/05/29</c:v>
                </c:pt>
                <c:pt idx="20">
                  <c:v>1399/06/05</c:v>
                </c:pt>
                <c:pt idx="21">
                  <c:v>1399/06/12</c:v>
                </c:pt>
                <c:pt idx="22">
                  <c:v>1399/06/19</c:v>
                </c:pt>
                <c:pt idx="23">
                  <c:v>1399/06/26</c:v>
                </c:pt>
                <c:pt idx="24">
                  <c:v>1399/07/02</c:v>
                </c:pt>
                <c:pt idx="25">
                  <c:v>1399/07/09</c:v>
                </c:pt>
                <c:pt idx="26">
                  <c:v>1399/07/16</c:v>
                </c:pt>
                <c:pt idx="27">
                  <c:v>1399/07/23</c:v>
                </c:pt>
                <c:pt idx="28">
                  <c:v>1399/07/30</c:v>
                </c:pt>
                <c:pt idx="29">
                  <c:v>1399/08/07</c:v>
                </c:pt>
                <c:pt idx="30">
                  <c:v>1399/08/14</c:v>
                </c:pt>
                <c:pt idx="31">
                  <c:v>1399/08/21</c:v>
                </c:pt>
                <c:pt idx="32">
                  <c:v>1399/08/28</c:v>
                </c:pt>
                <c:pt idx="33">
                  <c:v>1399/09/05</c:v>
                </c:pt>
                <c:pt idx="34">
                  <c:v>1399/09/12</c:v>
                </c:pt>
                <c:pt idx="35">
                  <c:v>1399/09/19</c:v>
                </c:pt>
                <c:pt idx="36">
                  <c:v>1399/09/26</c:v>
                </c:pt>
                <c:pt idx="37">
                  <c:v>1399/10/03</c:v>
                </c:pt>
                <c:pt idx="38">
                  <c:v>1399/10/10</c:v>
                </c:pt>
                <c:pt idx="39">
                  <c:v>1399/10/17</c:v>
                </c:pt>
                <c:pt idx="40">
                  <c:v>1399/10/24</c:v>
                </c:pt>
                <c:pt idx="41">
                  <c:v>1399/11/01</c:v>
                </c:pt>
                <c:pt idx="42">
                  <c:v>1399/11/08</c:v>
                </c:pt>
                <c:pt idx="43">
                  <c:v>1399/11/15</c:v>
                </c:pt>
                <c:pt idx="44">
                  <c:v>1399/11/22</c:v>
                </c:pt>
                <c:pt idx="45">
                  <c:v>1399/11/29</c:v>
                </c:pt>
                <c:pt idx="46">
                  <c:v>1399/12/06</c:v>
                </c:pt>
                <c:pt idx="47">
                  <c:v>1399/12/13</c:v>
                </c:pt>
                <c:pt idx="48">
                  <c:v>1399/12/20</c:v>
                </c:pt>
                <c:pt idx="49">
                  <c:v>1399/12/27</c:v>
                </c:pt>
                <c:pt idx="50">
                  <c:v>1400/01/04</c:v>
                </c:pt>
                <c:pt idx="51">
                  <c:v>1400/01/11</c:v>
                </c:pt>
                <c:pt idx="52">
                  <c:v>1400/01/18</c:v>
                </c:pt>
                <c:pt idx="53">
                  <c:v>1400/01/25</c:v>
                </c:pt>
                <c:pt idx="54">
                  <c:v>1400/02/01</c:v>
                </c:pt>
                <c:pt idx="55">
                  <c:v>1400/02/08</c:v>
                </c:pt>
                <c:pt idx="56">
                  <c:v>1400/02/15</c:v>
                </c:pt>
                <c:pt idx="57">
                  <c:v>1400/02/22</c:v>
                </c:pt>
                <c:pt idx="58">
                  <c:v>1400/02/29</c:v>
                </c:pt>
                <c:pt idx="59">
                  <c:v>1400/03/05</c:v>
                </c:pt>
                <c:pt idx="60">
                  <c:v>1400/03/12</c:v>
                </c:pt>
                <c:pt idx="61">
                  <c:v>1400/03/19</c:v>
                </c:pt>
                <c:pt idx="62">
                  <c:v>1400/03/26</c:v>
                </c:pt>
                <c:pt idx="63">
                  <c:v>1400/04/02</c:v>
                </c:pt>
                <c:pt idx="64">
                  <c:v>1400/04/09</c:v>
                </c:pt>
                <c:pt idx="65">
                  <c:v>1400/04/16</c:v>
                </c:pt>
                <c:pt idx="66">
                  <c:v>1400/04/23</c:v>
                </c:pt>
                <c:pt idx="67">
                  <c:v>1400/04/30</c:v>
                </c:pt>
                <c:pt idx="68">
                  <c:v>1400/05/06</c:v>
                </c:pt>
                <c:pt idx="69">
                  <c:v>1400/05/13</c:v>
                </c:pt>
                <c:pt idx="70">
                  <c:v>1400/05/20</c:v>
                </c:pt>
                <c:pt idx="71">
                  <c:v>1400/05/27</c:v>
                </c:pt>
                <c:pt idx="72">
                  <c:v>1400/06/03</c:v>
                </c:pt>
                <c:pt idx="73">
                  <c:v>1400/06/10</c:v>
                </c:pt>
                <c:pt idx="74">
                  <c:v>1400/06/17</c:v>
                </c:pt>
                <c:pt idx="75">
                  <c:v>1400/06/24</c:v>
                </c:pt>
                <c:pt idx="76">
                  <c:v>1400/06/31</c:v>
                </c:pt>
                <c:pt idx="77">
                  <c:v>1400/07/07</c:v>
                </c:pt>
                <c:pt idx="78">
                  <c:v>1400/07/14</c:v>
                </c:pt>
                <c:pt idx="79">
                  <c:v>1400/07/21</c:v>
                </c:pt>
                <c:pt idx="80">
                  <c:v>1400/07/28</c:v>
                </c:pt>
                <c:pt idx="81">
                  <c:v>1400/08/05</c:v>
                </c:pt>
                <c:pt idx="82">
                  <c:v>1400/08/12</c:v>
                </c:pt>
                <c:pt idx="83">
                  <c:v>1400/08/19</c:v>
                </c:pt>
                <c:pt idx="84">
                  <c:v>1400/08/26</c:v>
                </c:pt>
                <c:pt idx="85">
                  <c:v>1400/09/03</c:v>
                </c:pt>
                <c:pt idx="86">
                  <c:v>1400/09/10</c:v>
                </c:pt>
                <c:pt idx="87">
                  <c:v>1400/09/17</c:v>
                </c:pt>
                <c:pt idx="88">
                  <c:v>1400/09/24</c:v>
                </c:pt>
                <c:pt idx="89">
                  <c:v>1400/10/01</c:v>
                </c:pt>
                <c:pt idx="90">
                  <c:v>1400/10/08</c:v>
                </c:pt>
                <c:pt idx="91">
                  <c:v>1400/10/15</c:v>
                </c:pt>
                <c:pt idx="92">
                  <c:v>1400/10/22</c:v>
                </c:pt>
                <c:pt idx="93">
                  <c:v>1400/10/29</c:v>
                </c:pt>
                <c:pt idx="94">
                  <c:v>1400/11/06</c:v>
                </c:pt>
                <c:pt idx="95">
                  <c:v>1400/11/13</c:v>
                </c:pt>
                <c:pt idx="96">
                  <c:v>1400/11/20</c:v>
                </c:pt>
                <c:pt idx="97">
                  <c:v>1400/11/27</c:v>
                </c:pt>
                <c:pt idx="98">
                  <c:v>1400/12/04</c:v>
                </c:pt>
                <c:pt idx="99">
                  <c:v>1400/12/11</c:v>
                </c:pt>
                <c:pt idx="100">
                  <c:v>1400/12/18</c:v>
                </c:pt>
                <c:pt idx="101">
                  <c:v>1400/12/25</c:v>
                </c:pt>
                <c:pt idx="102">
                  <c:v>1401/01/03</c:v>
                </c:pt>
                <c:pt idx="103">
                  <c:v>1401/01/10</c:v>
                </c:pt>
                <c:pt idx="104">
                  <c:v>1401/01/17</c:v>
                </c:pt>
                <c:pt idx="105">
                  <c:v>1401/01/24</c:v>
                </c:pt>
                <c:pt idx="106">
                  <c:v>1401/01/31</c:v>
                </c:pt>
                <c:pt idx="107">
                  <c:v>1401/02/07</c:v>
                </c:pt>
                <c:pt idx="108">
                  <c:v>1401/02/14</c:v>
                </c:pt>
                <c:pt idx="109">
                  <c:v>1401/02/21</c:v>
                </c:pt>
                <c:pt idx="110">
                  <c:v>1401/02/28</c:v>
                </c:pt>
                <c:pt idx="111">
                  <c:v>1401/03/04</c:v>
                </c:pt>
                <c:pt idx="112">
                  <c:v>1401/03/11</c:v>
                </c:pt>
                <c:pt idx="113">
                  <c:v>1401/03/18</c:v>
                </c:pt>
                <c:pt idx="114">
                  <c:v>1401/03/25</c:v>
                </c:pt>
                <c:pt idx="115">
                  <c:v>1401/04/01</c:v>
                </c:pt>
                <c:pt idx="116">
                  <c:v>1401/04/08</c:v>
                </c:pt>
                <c:pt idx="117">
                  <c:v>1401/04/15</c:v>
                </c:pt>
                <c:pt idx="118">
                  <c:v>1401/04/22</c:v>
                </c:pt>
                <c:pt idx="119">
                  <c:v>1401/04/29</c:v>
                </c:pt>
                <c:pt idx="120">
                  <c:v>1401/05/05</c:v>
                </c:pt>
                <c:pt idx="121">
                  <c:v>1401/05/12</c:v>
                </c:pt>
                <c:pt idx="122">
                  <c:v>1401/05/19</c:v>
                </c:pt>
                <c:pt idx="123">
                  <c:v>1401/05/26</c:v>
                </c:pt>
                <c:pt idx="124">
                  <c:v>1401/06/02</c:v>
                </c:pt>
                <c:pt idx="125">
                  <c:v>1401/06/09</c:v>
                </c:pt>
                <c:pt idx="126">
                  <c:v>1401/06/16</c:v>
                </c:pt>
                <c:pt idx="127">
                  <c:v>1401/06/23</c:v>
                </c:pt>
                <c:pt idx="128">
                  <c:v>1401/06/30</c:v>
                </c:pt>
                <c:pt idx="129">
                  <c:v>1401/07/06</c:v>
                </c:pt>
                <c:pt idx="130">
                  <c:v>1401/07/13</c:v>
                </c:pt>
                <c:pt idx="131">
                  <c:v>1401/07/20</c:v>
                </c:pt>
                <c:pt idx="132">
                  <c:v>1401/07/27</c:v>
                </c:pt>
                <c:pt idx="133">
                  <c:v>1401/08/04</c:v>
                </c:pt>
                <c:pt idx="134">
                  <c:v>1401/08/11</c:v>
                </c:pt>
                <c:pt idx="135">
                  <c:v>1401/08/18</c:v>
                </c:pt>
                <c:pt idx="136">
                  <c:v>1401/08/25</c:v>
                </c:pt>
                <c:pt idx="137">
                  <c:v>1401/09/02</c:v>
                </c:pt>
                <c:pt idx="138">
                  <c:v>1401/09/09</c:v>
                </c:pt>
                <c:pt idx="139">
                  <c:v>1401/09/16</c:v>
                </c:pt>
                <c:pt idx="140">
                  <c:v>1401/09/23</c:v>
                </c:pt>
                <c:pt idx="141">
                  <c:v>1401/09/30</c:v>
                </c:pt>
                <c:pt idx="142">
                  <c:v>1401/10/07</c:v>
                </c:pt>
                <c:pt idx="143">
                  <c:v>1401/10/14</c:v>
                </c:pt>
                <c:pt idx="144">
                  <c:v>1401/10/21</c:v>
                </c:pt>
                <c:pt idx="145">
                  <c:v>1401/10/28</c:v>
                </c:pt>
                <c:pt idx="146">
                  <c:v>1401/11/05</c:v>
                </c:pt>
                <c:pt idx="147">
                  <c:v>1401/11/12</c:v>
                </c:pt>
                <c:pt idx="148">
                  <c:v>1401/11/19</c:v>
                </c:pt>
                <c:pt idx="149">
                  <c:v>1401/11/26</c:v>
                </c:pt>
                <c:pt idx="150">
                  <c:v>1401/12/03</c:v>
                </c:pt>
                <c:pt idx="151">
                  <c:v>1401/12/10</c:v>
                </c:pt>
                <c:pt idx="152">
                  <c:v>1401/12/17</c:v>
                </c:pt>
                <c:pt idx="153">
                  <c:v>1401/12/24</c:v>
                </c:pt>
                <c:pt idx="154">
                  <c:v>1402/01/02</c:v>
                </c:pt>
                <c:pt idx="155">
                  <c:v>1402/01/09</c:v>
                </c:pt>
                <c:pt idx="156">
                  <c:v>1402/01/16</c:v>
                </c:pt>
                <c:pt idx="157">
                  <c:v>1402/01/23</c:v>
                </c:pt>
                <c:pt idx="158">
                  <c:v>1402/01/30</c:v>
                </c:pt>
                <c:pt idx="159">
                  <c:v>1402/02/06</c:v>
                </c:pt>
                <c:pt idx="160">
                  <c:v>1402/02/13</c:v>
                </c:pt>
                <c:pt idx="161">
                  <c:v>1402/02/20</c:v>
                </c:pt>
                <c:pt idx="162">
                  <c:v>1402/02/27</c:v>
                </c:pt>
                <c:pt idx="163">
                  <c:v>1402/03/03</c:v>
                </c:pt>
                <c:pt idx="164">
                  <c:v>1402/03/10</c:v>
                </c:pt>
                <c:pt idx="165">
                  <c:v>1402/03/17</c:v>
                </c:pt>
                <c:pt idx="166">
                  <c:v>1402/03/24</c:v>
                </c:pt>
                <c:pt idx="167">
                  <c:v>1402/03/31</c:v>
                </c:pt>
                <c:pt idx="168">
                  <c:v>1402/04/07</c:v>
                </c:pt>
                <c:pt idx="169">
                  <c:v>1402/04/14</c:v>
                </c:pt>
                <c:pt idx="170">
                  <c:v>1402/04/21</c:v>
                </c:pt>
                <c:pt idx="171">
                  <c:v>1402/04/28</c:v>
                </c:pt>
                <c:pt idx="172">
                  <c:v>1402/05/04</c:v>
                </c:pt>
                <c:pt idx="173">
                  <c:v>1402/05/11</c:v>
                </c:pt>
                <c:pt idx="174">
                  <c:v>1402/05/18</c:v>
                </c:pt>
                <c:pt idx="175">
                  <c:v>1402/05/25</c:v>
                </c:pt>
                <c:pt idx="176">
                  <c:v>1402/06/01</c:v>
                </c:pt>
                <c:pt idx="177">
                  <c:v>1402/06/08</c:v>
                </c:pt>
                <c:pt idx="178">
                  <c:v>1402/06/15</c:v>
                </c:pt>
                <c:pt idx="179">
                  <c:v>1402/06/22</c:v>
                </c:pt>
                <c:pt idx="180">
                  <c:v>1402/06/29</c:v>
                </c:pt>
                <c:pt idx="181">
                  <c:v>1402/07/05</c:v>
                </c:pt>
                <c:pt idx="182">
                  <c:v>1402/07/12</c:v>
                </c:pt>
                <c:pt idx="183">
                  <c:v>1402/07/19</c:v>
                </c:pt>
                <c:pt idx="184">
                  <c:v>1402/07/26</c:v>
                </c:pt>
                <c:pt idx="185">
                  <c:v>1402/08/03</c:v>
                </c:pt>
                <c:pt idx="186">
                  <c:v>1402/08/10</c:v>
                </c:pt>
                <c:pt idx="187">
                  <c:v>1402/08/17</c:v>
                </c:pt>
                <c:pt idx="188">
                  <c:v>1402/08/24</c:v>
                </c:pt>
                <c:pt idx="189">
                  <c:v>1402/09/01</c:v>
                </c:pt>
                <c:pt idx="190">
                  <c:v>1402/09/08</c:v>
                </c:pt>
                <c:pt idx="191">
                  <c:v>1402/09/15</c:v>
                </c:pt>
                <c:pt idx="192">
                  <c:v>1402/09/22</c:v>
                </c:pt>
                <c:pt idx="193">
                  <c:v>1402/09/29</c:v>
                </c:pt>
                <c:pt idx="194">
                  <c:v>1402/10/06</c:v>
                </c:pt>
                <c:pt idx="195">
                  <c:v>1402/10/13</c:v>
                </c:pt>
                <c:pt idx="196">
                  <c:v>1402/10/20</c:v>
                </c:pt>
                <c:pt idx="197">
                  <c:v>1402/10/27</c:v>
                </c:pt>
                <c:pt idx="198">
                  <c:v>1402/11/04</c:v>
                </c:pt>
                <c:pt idx="199">
                  <c:v>1402/11/11</c:v>
                </c:pt>
                <c:pt idx="200">
                  <c:v>1402/11/18</c:v>
                </c:pt>
                <c:pt idx="201">
                  <c:v>1402/11/25</c:v>
                </c:pt>
                <c:pt idx="202">
                  <c:v>1402/12/02</c:v>
                </c:pt>
                <c:pt idx="203">
                  <c:v>1402/12/09</c:v>
                </c:pt>
                <c:pt idx="204">
                  <c:v>1402/12/16</c:v>
                </c:pt>
                <c:pt idx="205">
                  <c:v>1402/12/23</c:v>
                </c:pt>
                <c:pt idx="206">
                  <c:v>1403/01/01</c:v>
                </c:pt>
                <c:pt idx="207">
                  <c:v>1403/01/08</c:v>
                </c:pt>
                <c:pt idx="208">
                  <c:v>1403/01/15</c:v>
                </c:pt>
                <c:pt idx="209">
                  <c:v>1403/01/22</c:v>
                </c:pt>
                <c:pt idx="210">
                  <c:v>1403/01/29</c:v>
                </c:pt>
                <c:pt idx="211">
                  <c:v>1403/02/05</c:v>
                </c:pt>
                <c:pt idx="212">
                  <c:v>1403/02/12</c:v>
                </c:pt>
                <c:pt idx="213">
                  <c:v>1403/02/19</c:v>
                </c:pt>
                <c:pt idx="214">
                  <c:v>1403/02/26</c:v>
                </c:pt>
                <c:pt idx="215">
                  <c:v>1403/03/02</c:v>
                </c:pt>
                <c:pt idx="216">
                  <c:v>1403/03/09</c:v>
                </c:pt>
                <c:pt idx="217">
                  <c:v>1403/03/16</c:v>
                </c:pt>
                <c:pt idx="218">
                  <c:v>1403/03/23</c:v>
                </c:pt>
                <c:pt idx="219">
                  <c:v>1403/03/30</c:v>
                </c:pt>
                <c:pt idx="220">
                  <c:v>1403/04/06</c:v>
                </c:pt>
                <c:pt idx="221">
                  <c:v>1403/04/13</c:v>
                </c:pt>
                <c:pt idx="222">
                  <c:v>1403/04/20</c:v>
                </c:pt>
                <c:pt idx="223">
                  <c:v>1403/04/27</c:v>
                </c:pt>
                <c:pt idx="224">
                  <c:v>1403/05/03</c:v>
                </c:pt>
                <c:pt idx="225">
                  <c:v>1403/05/10</c:v>
                </c:pt>
                <c:pt idx="226">
                  <c:v>1403/05/17</c:v>
                </c:pt>
                <c:pt idx="227">
                  <c:v>1403/05/24</c:v>
                </c:pt>
                <c:pt idx="228">
                  <c:v>1403/05/31</c:v>
                </c:pt>
                <c:pt idx="229">
                  <c:v>1403/06/07</c:v>
                </c:pt>
                <c:pt idx="230">
                  <c:v>1403/06/14</c:v>
                </c:pt>
                <c:pt idx="231">
                  <c:v>1403/06/21</c:v>
                </c:pt>
                <c:pt idx="232">
                  <c:v>1403/06/28</c:v>
                </c:pt>
                <c:pt idx="233">
                  <c:v>1403/07/04</c:v>
                </c:pt>
                <c:pt idx="234">
                  <c:v>1403/07/11</c:v>
                </c:pt>
                <c:pt idx="235">
                  <c:v>1403/07/18</c:v>
                </c:pt>
                <c:pt idx="236">
                  <c:v>1403/07/25</c:v>
                </c:pt>
                <c:pt idx="237">
                  <c:v>1403/08/02</c:v>
                </c:pt>
                <c:pt idx="238">
                  <c:v>1403/08/09</c:v>
                </c:pt>
                <c:pt idx="239">
                  <c:v>1403/08/16</c:v>
                </c:pt>
                <c:pt idx="240">
                  <c:v>1403/08/23</c:v>
                </c:pt>
                <c:pt idx="241">
                  <c:v>1403/08/30</c:v>
                </c:pt>
                <c:pt idx="242">
                  <c:v>1403/09/07</c:v>
                </c:pt>
                <c:pt idx="243">
                  <c:v>1403/09/14</c:v>
                </c:pt>
                <c:pt idx="244">
                  <c:v>1403/09/21</c:v>
                </c:pt>
                <c:pt idx="245">
                  <c:v>1403/09/28</c:v>
                </c:pt>
                <c:pt idx="246">
                  <c:v>1403/10/05</c:v>
                </c:pt>
                <c:pt idx="247">
                  <c:v>1403/10/12</c:v>
                </c:pt>
                <c:pt idx="248">
                  <c:v>1403/10/19</c:v>
                </c:pt>
                <c:pt idx="249">
                  <c:v>1403/10/26</c:v>
                </c:pt>
                <c:pt idx="250">
                  <c:v>1403/11/03</c:v>
                </c:pt>
                <c:pt idx="251">
                  <c:v>1403/11/10</c:v>
                </c:pt>
                <c:pt idx="252">
                  <c:v>1403/11/17</c:v>
                </c:pt>
                <c:pt idx="253">
                  <c:v>1403/11/24</c:v>
                </c:pt>
                <c:pt idx="254">
                  <c:v>1403/12/01</c:v>
                </c:pt>
                <c:pt idx="255">
                  <c:v>1403/12/08</c:v>
                </c:pt>
                <c:pt idx="256">
                  <c:v>1403/12/15</c:v>
                </c:pt>
                <c:pt idx="257">
                  <c:v>1403/12/22</c:v>
                </c:pt>
                <c:pt idx="258">
                  <c:v>1403/12/29</c:v>
                </c:pt>
                <c:pt idx="259">
                  <c:v>1404/01/06</c:v>
                </c:pt>
              </c:strCache>
            </c:strRef>
          </c:cat>
          <c:val>
            <c:numRef>
              <c:f>Data!$D$3:$D$262</c:f>
              <c:numCache>
                <c:formatCode>0.00%</c:formatCode>
                <c:ptCount val="260"/>
                <c:pt idx="0">
                  <c:v>0</c:v>
                </c:pt>
                <c:pt idx="1">
                  <c:v>1.2999999999999999E-2</c:v>
                </c:pt>
                <c:pt idx="2">
                  <c:v>1.7999999999999999E-2</c:v>
                </c:pt>
                <c:pt idx="3">
                  <c:v>2.6999999999999996E-2</c:v>
                </c:pt>
                <c:pt idx="4">
                  <c:v>3.5999999999999997E-2</c:v>
                </c:pt>
                <c:pt idx="5">
                  <c:v>4.4999999999999998E-2</c:v>
                </c:pt>
                <c:pt idx="6">
                  <c:v>5.3999999999999999E-2</c:v>
                </c:pt>
                <c:pt idx="7">
                  <c:v>6.3E-2</c:v>
                </c:pt>
                <c:pt idx="8">
                  <c:v>7.1999999999999995E-2</c:v>
                </c:pt>
                <c:pt idx="9">
                  <c:v>8.0999999999999989E-2</c:v>
                </c:pt>
                <c:pt idx="10">
                  <c:v>8.9999999999999983E-2</c:v>
                </c:pt>
                <c:pt idx="11">
                  <c:v>9.8999999999999977E-2</c:v>
                </c:pt>
                <c:pt idx="12">
                  <c:v>0.10799999999999997</c:v>
                </c:pt>
                <c:pt idx="13">
                  <c:v>0.11499999999999998</c:v>
                </c:pt>
                <c:pt idx="14">
                  <c:v>0.12199999999999998</c:v>
                </c:pt>
                <c:pt idx="15">
                  <c:v>0.12899999999999998</c:v>
                </c:pt>
                <c:pt idx="16">
                  <c:v>0.13599999999999998</c:v>
                </c:pt>
                <c:pt idx="17">
                  <c:v>0.14299999999999999</c:v>
                </c:pt>
                <c:pt idx="18">
                  <c:v>0.15</c:v>
                </c:pt>
                <c:pt idx="19">
                  <c:v>0.157</c:v>
                </c:pt>
                <c:pt idx="20">
                  <c:v>0.16400000000000001</c:v>
                </c:pt>
                <c:pt idx="21">
                  <c:v>0.17100000000000001</c:v>
                </c:pt>
                <c:pt idx="22">
                  <c:v>0.17800000000000002</c:v>
                </c:pt>
                <c:pt idx="23">
                  <c:v>0.18300000000000002</c:v>
                </c:pt>
                <c:pt idx="24">
                  <c:v>0.18800000000000003</c:v>
                </c:pt>
                <c:pt idx="25">
                  <c:v>0.19300000000000003</c:v>
                </c:pt>
                <c:pt idx="26">
                  <c:v>0.19800000000000004</c:v>
                </c:pt>
                <c:pt idx="27">
                  <c:v>0.20700000000000005</c:v>
                </c:pt>
                <c:pt idx="28">
                  <c:v>0.21600000000000005</c:v>
                </c:pt>
                <c:pt idx="29">
                  <c:v>0.22500000000000006</c:v>
                </c:pt>
                <c:pt idx="30">
                  <c:v>0.23400000000000007</c:v>
                </c:pt>
                <c:pt idx="31">
                  <c:v>0.24300000000000008</c:v>
                </c:pt>
                <c:pt idx="32">
                  <c:v>0.25200000000000006</c:v>
                </c:pt>
                <c:pt idx="33">
                  <c:v>0.26100000000000007</c:v>
                </c:pt>
                <c:pt idx="34">
                  <c:v>0.27100000000000007</c:v>
                </c:pt>
                <c:pt idx="35">
                  <c:v>0.28100000000000008</c:v>
                </c:pt>
                <c:pt idx="36">
                  <c:v>0.29100000000000009</c:v>
                </c:pt>
                <c:pt idx="37">
                  <c:v>0.3010000000000001</c:v>
                </c:pt>
                <c:pt idx="38">
                  <c:v>0.31100000000000011</c:v>
                </c:pt>
                <c:pt idx="39">
                  <c:v>0.31800000000000012</c:v>
                </c:pt>
                <c:pt idx="40">
                  <c:v>0.32500000000000012</c:v>
                </c:pt>
                <c:pt idx="41">
                  <c:v>0.33200000000000013</c:v>
                </c:pt>
                <c:pt idx="42">
                  <c:v>0.34100000000000014</c:v>
                </c:pt>
                <c:pt idx="43">
                  <c:v>0.35000000000000014</c:v>
                </c:pt>
                <c:pt idx="44">
                  <c:v>0.35900000000000015</c:v>
                </c:pt>
                <c:pt idx="45">
                  <c:v>0.36800000000000016</c:v>
                </c:pt>
                <c:pt idx="46">
                  <c:v>0.37700000000000017</c:v>
                </c:pt>
                <c:pt idx="47">
                  <c:v>0.38600000000000018</c:v>
                </c:pt>
                <c:pt idx="48">
                  <c:v>0.39000000000000018</c:v>
                </c:pt>
                <c:pt idx="49">
                  <c:v>0.39400000000000018</c:v>
                </c:pt>
                <c:pt idx="50">
                  <c:v>0.39800000000000019</c:v>
                </c:pt>
                <c:pt idx="51">
                  <c:v>0.40200000000000019</c:v>
                </c:pt>
                <c:pt idx="52">
                  <c:v>0.40600000000000019</c:v>
                </c:pt>
                <c:pt idx="53">
                  <c:v>0.4100000000000002</c:v>
                </c:pt>
                <c:pt idx="54">
                  <c:v>0.4180000000000002</c:v>
                </c:pt>
                <c:pt idx="55">
                  <c:v>0.42600000000000021</c:v>
                </c:pt>
                <c:pt idx="56">
                  <c:v>0.43400000000000022</c:v>
                </c:pt>
                <c:pt idx="57">
                  <c:v>0.44200000000000023</c:v>
                </c:pt>
                <c:pt idx="58">
                  <c:v>0.45000000000000023</c:v>
                </c:pt>
                <c:pt idx="59">
                  <c:v>0.45800000000000024</c:v>
                </c:pt>
                <c:pt idx="60">
                  <c:v>0.46600000000000025</c:v>
                </c:pt>
                <c:pt idx="61">
                  <c:v>0.47770000000000024</c:v>
                </c:pt>
                <c:pt idx="62">
                  <c:v>0.48940000000000022</c:v>
                </c:pt>
                <c:pt idx="63">
                  <c:v>0.50110000000000021</c:v>
                </c:pt>
                <c:pt idx="64">
                  <c:v>0.51280000000000026</c:v>
                </c:pt>
                <c:pt idx="65">
                  <c:v>0.5245000000000003</c:v>
                </c:pt>
                <c:pt idx="66">
                  <c:v>0.53620000000000034</c:v>
                </c:pt>
                <c:pt idx="67">
                  <c:v>0.54790000000000039</c:v>
                </c:pt>
                <c:pt idx="68">
                  <c:v>0.55960000000000043</c:v>
                </c:pt>
                <c:pt idx="69">
                  <c:v>0.57130000000000047</c:v>
                </c:pt>
                <c:pt idx="70">
                  <c:v>0.58300000000000052</c:v>
                </c:pt>
                <c:pt idx="71">
                  <c:v>0.59000000000000052</c:v>
                </c:pt>
                <c:pt idx="72">
                  <c:v>0.59700000000000053</c:v>
                </c:pt>
                <c:pt idx="73">
                  <c:v>0.60400000000000054</c:v>
                </c:pt>
                <c:pt idx="74">
                  <c:v>0.61100000000000054</c:v>
                </c:pt>
                <c:pt idx="75">
                  <c:v>0.61800000000000055</c:v>
                </c:pt>
                <c:pt idx="76">
                  <c:v>0.62100000000000055</c:v>
                </c:pt>
                <c:pt idx="77">
                  <c:v>0.62400000000000055</c:v>
                </c:pt>
                <c:pt idx="78">
                  <c:v>0.62700000000000056</c:v>
                </c:pt>
                <c:pt idx="79">
                  <c:v>0.63000000000000056</c:v>
                </c:pt>
                <c:pt idx="80">
                  <c:v>0.63300000000000056</c:v>
                </c:pt>
                <c:pt idx="81">
                  <c:v>0.63600000000000056</c:v>
                </c:pt>
                <c:pt idx="82">
                  <c:v>0.63900000000000057</c:v>
                </c:pt>
                <c:pt idx="83">
                  <c:v>0.64200000000000057</c:v>
                </c:pt>
                <c:pt idx="84">
                  <c:v>0.64500000000000057</c:v>
                </c:pt>
                <c:pt idx="85">
                  <c:v>0.64800000000000058</c:v>
                </c:pt>
                <c:pt idx="86">
                  <c:v>0.65500000000000058</c:v>
                </c:pt>
                <c:pt idx="87">
                  <c:v>0.66200000000000059</c:v>
                </c:pt>
                <c:pt idx="88">
                  <c:v>0.66900000000000059</c:v>
                </c:pt>
                <c:pt idx="89">
                  <c:v>0.6760000000000006</c:v>
                </c:pt>
                <c:pt idx="90">
                  <c:v>0.68300000000000061</c:v>
                </c:pt>
                <c:pt idx="91">
                  <c:v>0.69000000000000061</c:v>
                </c:pt>
                <c:pt idx="92">
                  <c:v>0.69700000000000062</c:v>
                </c:pt>
                <c:pt idx="93">
                  <c:v>0.70400000000000063</c:v>
                </c:pt>
                <c:pt idx="94">
                  <c:v>0.71100000000000063</c:v>
                </c:pt>
                <c:pt idx="95">
                  <c:v>0.71500000000000064</c:v>
                </c:pt>
                <c:pt idx="96">
                  <c:v>0.71900000000000064</c:v>
                </c:pt>
                <c:pt idx="97">
                  <c:v>0.72300000000000064</c:v>
                </c:pt>
                <c:pt idx="98">
                  <c:v>0.72700000000000065</c:v>
                </c:pt>
                <c:pt idx="99">
                  <c:v>0.72900000000000065</c:v>
                </c:pt>
                <c:pt idx="100">
                  <c:v>0.73100000000000065</c:v>
                </c:pt>
                <c:pt idx="101">
                  <c:v>0.73300000000000065</c:v>
                </c:pt>
                <c:pt idx="102">
                  <c:v>0.73500000000000065</c:v>
                </c:pt>
                <c:pt idx="103">
                  <c:v>0.73700000000000065</c:v>
                </c:pt>
                <c:pt idx="104">
                  <c:v>0.73900000000000066</c:v>
                </c:pt>
                <c:pt idx="105">
                  <c:v>0.74100000000000066</c:v>
                </c:pt>
                <c:pt idx="106">
                  <c:v>0.74300000000000066</c:v>
                </c:pt>
                <c:pt idx="107">
                  <c:v>0.74500000000000066</c:v>
                </c:pt>
                <c:pt idx="108">
                  <c:v>0.74700000000000066</c:v>
                </c:pt>
                <c:pt idx="109">
                  <c:v>0.74900000000000067</c:v>
                </c:pt>
                <c:pt idx="110">
                  <c:v>0.75400000000000067</c:v>
                </c:pt>
                <c:pt idx="111">
                  <c:v>0.75900000000000067</c:v>
                </c:pt>
                <c:pt idx="112">
                  <c:v>0.76400000000000068</c:v>
                </c:pt>
                <c:pt idx="113">
                  <c:v>0.76900000000000068</c:v>
                </c:pt>
                <c:pt idx="114">
                  <c:v>0.77400000000000069</c:v>
                </c:pt>
                <c:pt idx="115">
                  <c:v>0.77900000000000069</c:v>
                </c:pt>
                <c:pt idx="116">
                  <c:v>0.7840000000000007</c:v>
                </c:pt>
                <c:pt idx="117">
                  <c:v>0.7890000000000007</c:v>
                </c:pt>
                <c:pt idx="118">
                  <c:v>0.79400000000000071</c:v>
                </c:pt>
                <c:pt idx="119">
                  <c:v>0.79900000000000071</c:v>
                </c:pt>
                <c:pt idx="120">
                  <c:v>0.80400000000000071</c:v>
                </c:pt>
                <c:pt idx="121">
                  <c:v>0.80900000000000072</c:v>
                </c:pt>
                <c:pt idx="122">
                  <c:v>0.81500000000000072</c:v>
                </c:pt>
                <c:pt idx="123">
                  <c:v>0.82100000000000073</c:v>
                </c:pt>
                <c:pt idx="124">
                  <c:v>0.82700000000000073</c:v>
                </c:pt>
                <c:pt idx="125">
                  <c:v>0.83300000000000074</c:v>
                </c:pt>
                <c:pt idx="126">
                  <c:v>0.83900000000000075</c:v>
                </c:pt>
                <c:pt idx="127">
                  <c:v>0.84500000000000075</c:v>
                </c:pt>
                <c:pt idx="128">
                  <c:v>0.85100000000000076</c:v>
                </c:pt>
                <c:pt idx="129">
                  <c:v>0.85700000000000076</c:v>
                </c:pt>
                <c:pt idx="130">
                  <c:v>0.86300000000000077</c:v>
                </c:pt>
                <c:pt idx="131">
                  <c:v>0.86900000000000077</c:v>
                </c:pt>
                <c:pt idx="132">
                  <c:v>0.87500000000000078</c:v>
                </c:pt>
                <c:pt idx="133">
                  <c:v>0.88100000000000078</c:v>
                </c:pt>
                <c:pt idx="134">
                  <c:v>0.88700000000000079</c:v>
                </c:pt>
                <c:pt idx="135">
                  <c:v>0.89400000000000079</c:v>
                </c:pt>
                <c:pt idx="136">
                  <c:v>0.9010000000000008</c:v>
                </c:pt>
                <c:pt idx="137">
                  <c:v>0.90800000000000081</c:v>
                </c:pt>
                <c:pt idx="138">
                  <c:v>0.91500000000000081</c:v>
                </c:pt>
                <c:pt idx="139">
                  <c:v>0.92200000000000082</c:v>
                </c:pt>
                <c:pt idx="140">
                  <c:v>0.92900000000000083</c:v>
                </c:pt>
                <c:pt idx="141">
                  <c:v>0.93100000000000083</c:v>
                </c:pt>
                <c:pt idx="142">
                  <c:v>0.93300000000000083</c:v>
                </c:pt>
                <c:pt idx="143">
                  <c:v>0.93500000000000083</c:v>
                </c:pt>
                <c:pt idx="144">
                  <c:v>0.93700000000000083</c:v>
                </c:pt>
                <c:pt idx="145">
                  <c:v>0.93900000000000083</c:v>
                </c:pt>
                <c:pt idx="146">
                  <c:v>0.94100000000000084</c:v>
                </c:pt>
                <c:pt idx="147">
                  <c:v>0.94300000000000084</c:v>
                </c:pt>
                <c:pt idx="148">
                  <c:v>0.94500000000000084</c:v>
                </c:pt>
                <c:pt idx="149">
                  <c:v>0.94700000000000084</c:v>
                </c:pt>
                <c:pt idx="150">
                  <c:v>0.94900000000000084</c:v>
                </c:pt>
                <c:pt idx="151">
                  <c:v>0.9504000000000008</c:v>
                </c:pt>
                <c:pt idx="152">
                  <c:v>0.95280000000000076</c:v>
                </c:pt>
                <c:pt idx="153">
                  <c:v>0.95520000000000072</c:v>
                </c:pt>
                <c:pt idx="154">
                  <c:v>0.95760000000000067</c:v>
                </c:pt>
                <c:pt idx="155">
                  <c:v>0.96000000000000063</c:v>
                </c:pt>
                <c:pt idx="156">
                  <c:v>0.96240000000000059</c:v>
                </c:pt>
                <c:pt idx="157">
                  <c:v>0.96480000000000055</c:v>
                </c:pt>
                <c:pt idx="158">
                  <c:v>0.9672000000000005</c:v>
                </c:pt>
                <c:pt idx="159">
                  <c:v>0.96960000000000046</c:v>
                </c:pt>
                <c:pt idx="160">
                  <c:v>0.97200000000000042</c:v>
                </c:pt>
                <c:pt idx="161">
                  <c:v>0.97440000000000038</c:v>
                </c:pt>
                <c:pt idx="162">
                  <c:v>0.97680000000000033</c:v>
                </c:pt>
                <c:pt idx="163">
                  <c:v>0.97820000000000029</c:v>
                </c:pt>
                <c:pt idx="164">
                  <c:v>0.97960000000000025</c:v>
                </c:pt>
                <c:pt idx="165">
                  <c:v>0.98100000000000021</c:v>
                </c:pt>
                <c:pt idx="166">
                  <c:v>0.98240000000000016</c:v>
                </c:pt>
                <c:pt idx="167">
                  <c:v>0.98380000000000012</c:v>
                </c:pt>
                <c:pt idx="168">
                  <c:v>0.98520000000000008</c:v>
                </c:pt>
                <c:pt idx="169">
                  <c:v>0.98660000000000003</c:v>
                </c:pt>
                <c:pt idx="170">
                  <c:v>0.98799999999999999</c:v>
                </c:pt>
                <c:pt idx="171">
                  <c:v>0.98939999999999995</c:v>
                </c:pt>
                <c:pt idx="172">
                  <c:v>0.9907999999999999</c:v>
                </c:pt>
                <c:pt idx="173">
                  <c:v>0.99219999999999986</c:v>
                </c:pt>
                <c:pt idx="174">
                  <c:v>0.99359999999999982</c:v>
                </c:pt>
                <c:pt idx="175">
                  <c:v>0.99499999999999977</c:v>
                </c:pt>
                <c:pt idx="176">
                  <c:v>0.99639999999999973</c:v>
                </c:pt>
                <c:pt idx="177">
                  <c:v>0.99779999999999969</c:v>
                </c:pt>
                <c:pt idx="178">
                  <c:v>0.99919999999999964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E-41C3-8143-43B3813ED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36967119"/>
        <c:axId val="1436960879"/>
      </c:barChart>
      <c:lineChart>
        <c:grouping val="standard"/>
        <c:varyColors val="0"/>
        <c:ser>
          <c:idx val="1"/>
          <c:order val="1"/>
          <c:tx>
            <c:strRef>
              <c:f>Data!$E$2</c:f>
              <c:strCache>
                <c:ptCount val="1"/>
                <c:pt idx="0">
                  <c:v>واقعی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Data!$C$3:$C$262</c:f>
              <c:strCache>
                <c:ptCount val="260"/>
                <c:pt idx="0">
                  <c:v>1399/01/20</c:v>
                </c:pt>
                <c:pt idx="1">
                  <c:v>1399/01/27</c:v>
                </c:pt>
                <c:pt idx="2">
                  <c:v>1399/02/03</c:v>
                </c:pt>
                <c:pt idx="3">
                  <c:v>1399/02/10</c:v>
                </c:pt>
                <c:pt idx="4">
                  <c:v>1399/02/17</c:v>
                </c:pt>
                <c:pt idx="5">
                  <c:v>1399/02/24</c:v>
                </c:pt>
                <c:pt idx="6">
                  <c:v>1399/02/31</c:v>
                </c:pt>
                <c:pt idx="7">
                  <c:v>1399/03/07</c:v>
                </c:pt>
                <c:pt idx="8">
                  <c:v>1399/03/14</c:v>
                </c:pt>
                <c:pt idx="9">
                  <c:v>1399/03/21</c:v>
                </c:pt>
                <c:pt idx="10">
                  <c:v>1399/03/28</c:v>
                </c:pt>
                <c:pt idx="11">
                  <c:v>1399/04/04</c:v>
                </c:pt>
                <c:pt idx="12">
                  <c:v>1399/04/11</c:v>
                </c:pt>
                <c:pt idx="13">
                  <c:v>1399/04/18</c:v>
                </c:pt>
                <c:pt idx="14">
                  <c:v>1399/04/25</c:v>
                </c:pt>
                <c:pt idx="15">
                  <c:v>1399/05/01</c:v>
                </c:pt>
                <c:pt idx="16">
                  <c:v>1399/05/08</c:v>
                </c:pt>
                <c:pt idx="17">
                  <c:v>1399/05/15</c:v>
                </c:pt>
                <c:pt idx="18">
                  <c:v>1399/05/22</c:v>
                </c:pt>
                <c:pt idx="19">
                  <c:v>1399/05/29</c:v>
                </c:pt>
                <c:pt idx="20">
                  <c:v>1399/06/05</c:v>
                </c:pt>
                <c:pt idx="21">
                  <c:v>1399/06/12</c:v>
                </c:pt>
                <c:pt idx="22">
                  <c:v>1399/06/19</c:v>
                </c:pt>
                <c:pt idx="23">
                  <c:v>1399/06/26</c:v>
                </c:pt>
                <c:pt idx="24">
                  <c:v>1399/07/02</c:v>
                </c:pt>
                <c:pt idx="25">
                  <c:v>1399/07/09</c:v>
                </c:pt>
                <c:pt idx="26">
                  <c:v>1399/07/16</c:v>
                </c:pt>
                <c:pt idx="27">
                  <c:v>1399/07/23</c:v>
                </c:pt>
                <c:pt idx="28">
                  <c:v>1399/07/30</c:v>
                </c:pt>
                <c:pt idx="29">
                  <c:v>1399/08/07</c:v>
                </c:pt>
                <c:pt idx="30">
                  <c:v>1399/08/14</c:v>
                </c:pt>
                <c:pt idx="31">
                  <c:v>1399/08/21</c:v>
                </c:pt>
                <c:pt idx="32">
                  <c:v>1399/08/28</c:v>
                </c:pt>
                <c:pt idx="33">
                  <c:v>1399/09/05</c:v>
                </c:pt>
                <c:pt idx="34">
                  <c:v>1399/09/12</c:v>
                </c:pt>
                <c:pt idx="35">
                  <c:v>1399/09/19</c:v>
                </c:pt>
                <c:pt idx="36">
                  <c:v>1399/09/26</c:v>
                </c:pt>
                <c:pt idx="37">
                  <c:v>1399/10/03</c:v>
                </c:pt>
                <c:pt idx="38">
                  <c:v>1399/10/10</c:v>
                </c:pt>
                <c:pt idx="39">
                  <c:v>1399/10/17</c:v>
                </c:pt>
                <c:pt idx="40">
                  <c:v>1399/10/24</c:v>
                </c:pt>
                <c:pt idx="41">
                  <c:v>1399/11/01</c:v>
                </c:pt>
                <c:pt idx="42">
                  <c:v>1399/11/08</c:v>
                </c:pt>
                <c:pt idx="43">
                  <c:v>1399/11/15</c:v>
                </c:pt>
                <c:pt idx="44">
                  <c:v>1399/11/22</c:v>
                </c:pt>
                <c:pt idx="45">
                  <c:v>1399/11/29</c:v>
                </c:pt>
                <c:pt idx="46">
                  <c:v>1399/12/06</c:v>
                </c:pt>
                <c:pt idx="47">
                  <c:v>1399/12/13</c:v>
                </c:pt>
                <c:pt idx="48">
                  <c:v>1399/12/20</c:v>
                </c:pt>
                <c:pt idx="49">
                  <c:v>1399/12/27</c:v>
                </c:pt>
                <c:pt idx="50">
                  <c:v>1400/01/04</c:v>
                </c:pt>
                <c:pt idx="51">
                  <c:v>1400/01/11</c:v>
                </c:pt>
                <c:pt idx="52">
                  <c:v>1400/01/18</c:v>
                </c:pt>
                <c:pt idx="53">
                  <c:v>1400/01/25</c:v>
                </c:pt>
                <c:pt idx="54">
                  <c:v>1400/02/01</c:v>
                </c:pt>
                <c:pt idx="55">
                  <c:v>1400/02/08</c:v>
                </c:pt>
                <c:pt idx="56">
                  <c:v>1400/02/15</c:v>
                </c:pt>
                <c:pt idx="57">
                  <c:v>1400/02/22</c:v>
                </c:pt>
                <c:pt idx="58">
                  <c:v>1400/02/29</c:v>
                </c:pt>
                <c:pt idx="59">
                  <c:v>1400/03/05</c:v>
                </c:pt>
                <c:pt idx="60">
                  <c:v>1400/03/12</c:v>
                </c:pt>
                <c:pt idx="61">
                  <c:v>1400/03/19</c:v>
                </c:pt>
                <c:pt idx="62">
                  <c:v>1400/03/26</c:v>
                </c:pt>
                <c:pt idx="63">
                  <c:v>1400/04/02</c:v>
                </c:pt>
                <c:pt idx="64">
                  <c:v>1400/04/09</c:v>
                </c:pt>
                <c:pt idx="65">
                  <c:v>1400/04/16</c:v>
                </c:pt>
                <c:pt idx="66">
                  <c:v>1400/04/23</c:v>
                </c:pt>
                <c:pt idx="67">
                  <c:v>1400/04/30</c:v>
                </c:pt>
                <c:pt idx="68">
                  <c:v>1400/05/06</c:v>
                </c:pt>
                <c:pt idx="69">
                  <c:v>1400/05/13</c:v>
                </c:pt>
                <c:pt idx="70">
                  <c:v>1400/05/20</c:v>
                </c:pt>
                <c:pt idx="71">
                  <c:v>1400/05/27</c:v>
                </c:pt>
                <c:pt idx="72">
                  <c:v>1400/06/03</c:v>
                </c:pt>
                <c:pt idx="73">
                  <c:v>1400/06/10</c:v>
                </c:pt>
                <c:pt idx="74">
                  <c:v>1400/06/17</c:v>
                </c:pt>
                <c:pt idx="75">
                  <c:v>1400/06/24</c:v>
                </c:pt>
                <c:pt idx="76">
                  <c:v>1400/06/31</c:v>
                </c:pt>
                <c:pt idx="77">
                  <c:v>1400/07/07</c:v>
                </c:pt>
                <c:pt idx="78">
                  <c:v>1400/07/14</c:v>
                </c:pt>
                <c:pt idx="79">
                  <c:v>1400/07/21</c:v>
                </c:pt>
                <c:pt idx="80">
                  <c:v>1400/07/28</c:v>
                </c:pt>
                <c:pt idx="81">
                  <c:v>1400/08/05</c:v>
                </c:pt>
                <c:pt idx="82">
                  <c:v>1400/08/12</c:v>
                </c:pt>
                <c:pt idx="83">
                  <c:v>1400/08/19</c:v>
                </c:pt>
                <c:pt idx="84">
                  <c:v>1400/08/26</c:v>
                </c:pt>
                <c:pt idx="85">
                  <c:v>1400/09/03</c:v>
                </c:pt>
                <c:pt idx="86">
                  <c:v>1400/09/10</c:v>
                </c:pt>
                <c:pt idx="87">
                  <c:v>1400/09/17</c:v>
                </c:pt>
                <c:pt idx="88">
                  <c:v>1400/09/24</c:v>
                </c:pt>
                <c:pt idx="89">
                  <c:v>1400/10/01</c:v>
                </c:pt>
                <c:pt idx="90">
                  <c:v>1400/10/08</c:v>
                </c:pt>
                <c:pt idx="91">
                  <c:v>1400/10/15</c:v>
                </c:pt>
                <c:pt idx="92">
                  <c:v>1400/10/22</c:v>
                </c:pt>
                <c:pt idx="93">
                  <c:v>1400/10/29</c:v>
                </c:pt>
                <c:pt idx="94">
                  <c:v>1400/11/06</c:v>
                </c:pt>
                <c:pt idx="95">
                  <c:v>1400/11/13</c:v>
                </c:pt>
                <c:pt idx="96">
                  <c:v>1400/11/20</c:v>
                </c:pt>
                <c:pt idx="97">
                  <c:v>1400/11/27</c:v>
                </c:pt>
                <c:pt idx="98">
                  <c:v>1400/12/04</c:v>
                </c:pt>
                <c:pt idx="99">
                  <c:v>1400/12/11</c:v>
                </c:pt>
                <c:pt idx="100">
                  <c:v>1400/12/18</c:v>
                </c:pt>
                <c:pt idx="101">
                  <c:v>1400/12/25</c:v>
                </c:pt>
                <c:pt idx="102">
                  <c:v>1401/01/03</c:v>
                </c:pt>
                <c:pt idx="103">
                  <c:v>1401/01/10</c:v>
                </c:pt>
                <c:pt idx="104">
                  <c:v>1401/01/17</c:v>
                </c:pt>
                <c:pt idx="105">
                  <c:v>1401/01/24</c:v>
                </c:pt>
                <c:pt idx="106">
                  <c:v>1401/01/31</c:v>
                </c:pt>
                <c:pt idx="107">
                  <c:v>1401/02/07</c:v>
                </c:pt>
                <c:pt idx="108">
                  <c:v>1401/02/14</c:v>
                </c:pt>
                <c:pt idx="109">
                  <c:v>1401/02/21</c:v>
                </c:pt>
                <c:pt idx="110">
                  <c:v>1401/02/28</c:v>
                </c:pt>
                <c:pt idx="111">
                  <c:v>1401/03/04</c:v>
                </c:pt>
                <c:pt idx="112">
                  <c:v>1401/03/11</c:v>
                </c:pt>
                <c:pt idx="113">
                  <c:v>1401/03/18</c:v>
                </c:pt>
                <c:pt idx="114">
                  <c:v>1401/03/25</c:v>
                </c:pt>
                <c:pt idx="115">
                  <c:v>1401/04/01</c:v>
                </c:pt>
                <c:pt idx="116">
                  <c:v>1401/04/08</c:v>
                </c:pt>
                <c:pt idx="117">
                  <c:v>1401/04/15</c:v>
                </c:pt>
                <c:pt idx="118">
                  <c:v>1401/04/22</c:v>
                </c:pt>
                <c:pt idx="119">
                  <c:v>1401/04/29</c:v>
                </c:pt>
                <c:pt idx="120">
                  <c:v>1401/05/05</c:v>
                </c:pt>
                <c:pt idx="121">
                  <c:v>1401/05/12</c:v>
                </c:pt>
                <c:pt idx="122">
                  <c:v>1401/05/19</c:v>
                </c:pt>
                <c:pt idx="123">
                  <c:v>1401/05/26</c:v>
                </c:pt>
                <c:pt idx="124">
                  <c:v>1401/06/02</c:v>
                </c:pt>
                <c:pt idx="125">
                  <c:v>1401/06/09</c:v>
                </c:pt>
                <c:pt idx="126">
                  <c:v>1401/06/16</c:v>
                </c:pt>
                <c:pt idx="127">
                  <c:v>1401/06/23</c:v>
                </c:pt>
                <c:pt idx="128">
                  <c:v>1401/06/30</c:v>
                </c:pt>
                <c:pt idx="129">
                  <c:v>1401/07/06</c:v>
                </c:pt>
                <c:pt idx="130">
                  <c:v>1401/07/13</c:v>
                </c:pt>
                <c:pt idx="131">
                  <c:v>1401/07/20</c:v>
                </c:pt>
                <c:pt idx="132">
                  <c:v>1401/07/27</c:v>
                </c:pt>
                <c:pt idx="133">
                  <c:v>1401/08/04</c:v>
                </c:pt>
                <c:pt idx="134">
                  <c:v>1401/08/11</c:v>
                </c:pt>
                <c:pt idx="135">
                  <c:v>1401/08/18</c:v>
                </c:pt>
                <c:pt idx="136">
                  <c:v>1401/08/25</c:v>
                </c:pt>
                <c:pt idx="137">
                  <c:v>1401/09/02</c:v>
                </c:pt>
                <c:pt idx="138">
                  <c:v>1401/09/09</c:v>
                </c:pt>
                <c:pt idx="139">
                  <c:v>1401/09/16</c:v>
                </c:pt>
                <c:pt idx="140">
                  <c:v>1401/09/23</c:v>
                </c:pt>
                <c:pt idx="141">
                  <c:v>1401/09/30</c:v>
                </c:pt>
                <c:pt idx="142">
                  <c:v>1401/10/07</c:v>
                </c:pt>
                <c:pt idx="143">
                  <c:v>1401/10/14</c:v>
                </c:pt>
                <c:pt idx="144">
                  <c:v>1401/10/21</c:v>
                </c:pt>
                <c:pt idx="145">
                  <c:v>1401/10/28</c:v>
                </c:pt>
                <c:pt idx="146">
                  <c:v>1401/11/05</c:v>
                </c:pt>
                <c:pt idx="147">
                  <c:v>1401/11/12</c:v>
                </c:pt>
                <c:pt idx="148">
                  <c:v>1401/11/19</c:v>
                </c:pt>
                <c:pt idx="149">
                  <c:v>1401/11/26</c:v>
                </c:pt>
                <c:pt idx="150">
                  <c:v>1401/12/03</c:v>
                </c:pt>
                <c:pt idx="151">
                  <c:v>1401/12/10</c:v>
                </c:pt>
                <c:pt idx="152">
                  <c:v>1401/12/17</c:v>
                </c:pt>
                <c:pt idx="153">
                  <c:v>1401/12/24</c:v>
                </c:pt>
                <c:pt idx="154">
                  <c:v>1402/01/02</c:v>
                </c:pt>
                <c:pt idx="155">
                  <c:v>1402/01/09</c:v>
                </c:pt>
                <c:pt idx="156">
                  <c:v>1402/01/16</c:v>
                </c:pt>
                <c:pt idx="157">
                  <c:v>1402/01/23</c:v>
                </c:pt>
                <c:pt idx="158">
                  <c:v>1402/01/30</c:v>
                </c:pt>
                <c:pt idx="159">
                  <c:v>1402/02/06</c:v>
                </c:pt>
                <c:pt idx="160">
                  <c:v>1402/02/13</c:v>
                </c:pt>
                <c:pt idx="161">
                  <c:v>1402/02/20</c:v>
                </c:pt>
                <c:pt idx="162">
                  <c:v>1402/02/27</c:v>
                </c:pt>
                <c:pt idx="163">
                  <c:v>1402/03/03</c:v>
                </c:pt>
                <c:pt idx="164">
                  <c:v>1402/03/10</c:v>
                </c:pt>
                <c:pt idx="165">
                  <c:v>1402/03/17</c:v>
                </c:pt>
                <c:pt idx="166">
                  <c:v>1402/03/24</c:v>
                </c:pt>
                <c:pt idx="167">
                  <c:v>1402/03/31</c:v>
                </c:pt>
                <c:pt idx="168">
                  <c:v>1402/04/07</c:v>
                </c:pt>
                <c:pt idx="169">
                  <c:v>1402/04/14</c:v>
                </c:pt>
                <c:pt idx="170">
                  <c:v>1402/04/21</c:v>
                </c:pt>
                <c:pt idx="171">
                  <c:v>1402/04/28</c:v>
                </c:pt>
                <c:pt idx="172">
                  <c:v>1402/05/04</c:v>
                </c:pt>
                <c:pt idx="173">
                  <c:v>1402/05/11</c:v>
                </c:pt>
                <c:pt idx="174">
                  <c:v>1402/05/18</c:v>
                </c:pt>
                <c:pt idx="175">
                  <c:v>1402/05/25</c:v>
                </c:pt>
                <c:pt idx="176">
                  <c:v>1402/06/01</c:v>
                </c:pt>
                <c:pt idx="177">
                  <c:v>1402/06/08</c:v>
                </c:pt>
                <c:pt idx="178">
                  <c:v>1402/06/15</c:v>
                </c:pt>
                <c:pt idx="179">
                  <c:v>1402/06/22</c:v>
                </c:pt>
                <c:pt idx="180">
                  <c:v>1402/06/29</c:v>
                </c:pt>
                <c:pt idx="181">
                  <c:v>1402/07/05</c:v>
                </c:pt>
                <c:pt idx="182">
                  <c:v>1402/07/12</c:v>
                </c:pt>
                <c:pt idx="183">
                  <c:v>1402/07/19</c:v>
                </c:pt>
                <c:pt idx="184">
                  <c:v>1402/07/26</c:v>
                </c:pt>
                <c:pt idx="185">
                  <c:v>1402/08/03</c:v>
                </c:pt>
                <c:pt idx="186">
                  <c:v>1402/08/10</c:v>
                </c:pt>
                <c:pt idx="187">
                  <c:v>1402/08/17</c:v>
                </c:pt>
                <c:pt idx="188">
                  <c:v>1402/08/24</c:v>
                </c:pt>
                <c:pt idx="189">
                  <c:v>1402/09/01</c:v>
                </c:pt>
                <c:pt idx="190">
                  <c:v>1402/09/08</c:v>
                </c:pt>
                <c:pt idx="191">
                  <c:v>1402/09/15</c:v>
                </c:pt>
                <c:pt idx="192">
                  <c:v>1402/09/22</c:v>
                </c:pt>
                <c:pt idx="193">
                  <c:v>1402/09/29</c:v>
                </c:pt>
                <c:pt idx="194">
                  <c:v>1402/10/06</c:v>
                </c:pt>
                <c:pt idx="195">
                  <c:v>1402/10/13</c:v>
                </c:pt>
                <c:pt idx="196">
                  <c:v>1402/10/20</c:v>
                </c:pt>
                <c:pt idx="197">
                  <c:v>1402/10/27</c:v>
                </c:pt>
                <c:pt idx="198">
                  <c:v>1402/11/04</c:v>
                </c:pt>
                <c:pt idx="199">
                  <c:v>1402/11/11</c:v>
                </c:pt>
                <c:pt idx="200">
                  <c:v>1402/11/18</c:v>
                </c:pt>
                <c:pt idx="201">
                  <c:v>1402/11/25</c:v>
                </c:pt>
                <c:pt idx="202">
                  <c:v>1402/12/02</c:v>
                </c:pt>
                <c:pt idx="203">
                  <c:v>1402/12/09</c:v>
                </c:pt>
                <c:pt idx="204">
                  <c:v>1402/12/16</c:v>
                </c:pt>
                <c:pt idx="205">
                  <c:v>1402/12/23</c:v>
                </c:pt>
                <c:pt idx="206">
                  <c:v>1403/01/01</c:v>
                </c:pt>
                <c:pt idx="207">
                  <c:v>1403/01/08</c:v>
                </c:pt>
                <c:pt idx="208">
                  <c:v>1403/01/15</c:v>
                </c:pt>
                <c:pt idx="209">
                  <c:v>1403/01/22</c:v>
                </c:pt>
                <c:pt idx="210">
                  <c:v>1403/01/29</c:v>
                </c:pt>
                <c:pt idx="211">
                  <c:v>1403/02/05</c:v>
                </c:pt>
                <c:pt idx="212">
                  <c:v>1403/02/12</c:v>
                </c:pt>
                <c:pt idx="213">
                  <c:v>1403/02/19</c:v>
                </c:pt>
                <c:pt idx="214">
                  <c:v>1403/02/26</c:v>
                </c:pt>
                <c:pt idx="215">
                  <c:v>1403/03/02</c:v>
                </c:pt>
                <c:pt idx="216">
                  <c:v>1403/03/09</c:v>
                </c:pt>
                <c:pt idx="217">
                  <c:v>1403/03/16</c:v>
                </c:pt>
                <c:pt idx="218">
                  <c:v>1403/03/23</c:v>
                </c:pt>
                <c:pt idx="219">
                  <c:v>1403/03/30</c:v>
                </c:pt>
                <c:pt idx="220">
                  <c:v>1403/04/06</c:v>
                </c:pt>
                <c:pt idx="221">
                  <c:v>1403/04/13</c:v>
                </c:pt>
                <c:pt idx="222">
                  <c:v>1403/04/20</c:v>
                </c:pt>
                <c:pt idx="223">
                  <c:v>1403/04/27</c:v>
                </c:pt>
                <c:pt idx="224">
                  <c:v>1403/05/03</c:v>
                </c:pt>
                <c:pt idx="225">
                  <c:v>1403/05/10</c:v>
                </c:pt>
                <c:pt idx="226">
                  <c:v>1403/05/17</c:v>
                </c:pt>
                <c:pt idx="227">
                  <c:v>1403/05/24</c:v>
                </c:pt>
                <c:pt idx="228">
                  <c:v>1403/05/31</c:v>
                </c:pt>
                <c:pt idx="229">
                  <c:v>1403/06/07</c:v>
                </c:pt>
                <c:pt idx="230">
                  <c:v>1403/06/14</c:v>
                </c:pt>
                <c:pt idx="231">
                  <c:v>1403/06/21</c:v>
                </c:pt>
                <c:pt idx="232">
                  <c:v>1403/06/28</c:v>
                </c:pt>
                <c:pt idx="233">
                  <c:v>1403/07/04</c:v>
                </c:pt>
                <c:pt idx="234">
                  <c:v>1403/07/11</c:v>
                </c:pt>
                <c:pt idx="235">
                  <c:v>1403/07/18</c:v>
                </c:pt>
                <c:pt idx="236">
                  <c:v>1403/07/25</c:v>
                </c:pt>
                <c:pt idx="237">
                  <c:v>1403/08/02</c:v>
                </c:pt>
                <c:pt idx="238">
                  <c:v>1403/08/09</c:v>
                </c:pt>
                <c:pt idx="239">
                  <c:v>1403/08/16</c:v>
                </c:pt>
                <c:pt idx="240">
                  <c:v>1403/08/23</c:v>
                </c:pt>
                <c:pt idx="241">
                  <c:v>1403/08/30</c:v>
                </c:pt>
                <c:pt idx="242">
                  <c:v>1403/09/07</c:v>
                </c:pt>
                <c:pt idx="243">
                  <c:v>1403/09/14</c:v>
                </c:pt>
                <c:pt idx="244">
                  <c:v>1403/09/21</c:v>
                </c:pt>
                <c:pt idx="245">
                  <c:v>1403/09/28</c:v>
                </c:pt>
                <c:pt idx="246">
                  <c:v>1403/10/05</c:v>
                </c:pt>
                <c:pt idx="247">
                  <c:v>1403/10/12</c:v>
                </c:pt>
                <c:pt idx="248">
                  <c:v>1403/10/19</c:v>
                </c:pt>
                <c:pt idx="249">
                  <c:v>1403/10/26</c:v>
                </c:pt>
                <c:pt idx="250">
                  <c:v>1403/11/03</c:v>
                </c:pt>
                <c:pt idx="251">
                  <c:v>1403/11/10</c:v>
                </c:pt>
                <c:pt idx="252">
                  <c:v>1403/11/17</c:v>
                </c:pt>
                <c:pt idx="253">
                  <c:v>1403/11/24</c:v>
                </c:pt>
                <c:pt idx="254">
                  <c:v>1403/12/01</c:v>
                </c:pt>
                <c:pt idx="255">
                  <c:v>1403/12/08</c:v>
                </c:pt>
                <c:pt idx="256">
                  <c:v>1403/12/15</c:v>
                </c:pt>
                <c:pt idx="257">
                  <c:v>1403/12/22</c:v>
                </c:pt>
                <c:pt idx="258">
                  <c:v>1403/12/29</c:v>
                </c:pt>
                <c:pt idx="259">
                  <c:v>1404/01/06</c:v>
                </c:pt>
              </c:strCache>
            </c:strRef>
          </c:cat>
          <c:val>
            <c:numRef>
              <c:f>Data!$E$3:$E$262</c:f>
              <c:numCache>
                <c:formatCode>0.00%</c:formatCode>
                <c:ptCount val="260"/>
                <c:pt idx="0">
                  <c:v>0</c:v>
                </c:pt>
                <c:pt idx="1">
                  <c:v>0</c:v>
                </c:pt>
                <c:pt idx="2">
                  <c:v>5.0399999999999976E-3</c:v>
                </c:pt>
                <c:pt idx="3">
                  <c:v>5.0399999999999976E-3</c:v>
                </c:pt>
                <c:pt idx="4">
                  <c:v>5.0399999999999976E-3</c:v>
                </c:pt>
                <c:pt idx="5">
                  <c:v>5.0399999999999976E-3</c:v>
                </c:pt>
                <c:pt idx="6">
                  <c:v>1.0079999999999995E-2</c:v>
                </c:pt>
                <c:pt idx="7">
                  <c:v>1.0079999999999995E-2</c:v>
                </c:pt>
                <c:pt idx="8">
                  <c:v>1.0079999999999995E-2</c:v>
                </c:pt>
                <c:pt idx="9">
                  <c:v>1.3999999999999999E-2</c:v>
                </c:pt>
                <c:pt idx="10">
                  <c:v>1.3999999999999999E-2</c:v>
                </c:pt>
                <c:pt idx="11">
                  <c:v>1.9039999999999994E-2</c:v>
                </c:pt>
                <c:pt idx="12">
                  <c:v>2.407999999999999E-2</c:v>
                </c:pt>
                <c:pt idx="13">
                  <c:v>2.7999999999999994E-2</c:v>
                </c:pt>
                <c:pt idx="14">
                  <c:v>3.1919999999999997E-2</c:v>
                </c:pt>
                <c:pt idx="15">
                  <c:v>3.5839999999999997E-2</c:v>
                </c:pt>
                <c:pt idx="16">
                  <c:v>3.9760000000000004E-2</c:v>
                </c:pt>
                <c:pt idx="17">
                  <c:v>4.368000000000001E-2</c:v>
                </c:pt>
                <c:pt idx="18">
                  <c:v>4.7600000000000017E-2</c:v>
                </c:pt>
                <c:pt idx="19">
                  <c:v>5.4320000000000021E-2</c:v>
                </c:pt>
                <c:pt idx="20">
                  <c:v>6.1040000000000025E-2</c:v>
                </c:pt>
                <c:pt idx="21">
                  <c:v>6.7760000000000029E-2</c:v>
                </c:pt>
                <c:pt idx="22">
                  <c:v>7.4480000000000032E-2</c:v>
                </c:pt>
                <c:pt idx="23">
                  <c:v>7.9280000000000031E-2</c:v>
                </c:pt>
                <c:pt idx="24">
                  <c:v>8.408000000000003E-2</c:v>
                </c:pt>
                <c:pt idx="25">
                  <c:v>8.8880000000000028E-2</c:v>
                </c:pt>
                <c:pt idx="26">
                  <c:v>9.3885000000000038E-2</c:v>
                </c:pt>
                <c:pt idx="27">
                  <c:v>0.10289400000000004</c:v>
                </c:pt>
                <c:pt idx="28">
                  <c:v>0.11190300000000004</c:v>
                </c:pt>
                <c:pt idx="29">
                  <c:v>0.12091200000000005</c:v>
                </c:pt>
                <c:pt idx="30">
                  <c:v>0.12992100000000006</c:v>
                </c:pt>
                <c:pt idx="31">
                  <c:v>0.13893000000000008</c:v>
                </c:pt>
                <c:pt idx="32">
                  <c:v>0.14793900000000007</c:v>
                </c:pt>
                <c:pt idx="33">
                  <c:v>0.15694800000000009</c:v>
                </c:pt>
                <c:pt idx="34">
                  <c:v>0.16695800000000011</c:v>
                </c:pt>
                <c:pt idx="35">
                  <c:v>0.17696800000000013</c:v>
                </c:pt>
                <c:pt idx="36">
                  <c:v>0.18697800000000014</c:v>
                </c:pt>
                <c:pt idx="37">
                  <c:v>0.19698800000000016</c:v>
                </c:pt>
                <c:pt idx="38">
                  <c:v>0.20699800000000018</c:v>
                </c:pt>
                <c:pt idx="39">
                  <c:v>0.2140050000000002</c:v>
                </c:pt>
                <c:pt idx="40">
                  <c:v>0.22101200000000021</c:v>
                </c:pt>
                <c:pt idx="41">
                  <c:v>0.22801900000000022</c:v>
                </c:pt>
                <c:pt idx="42">
                  <c:v>0.23702800000000024</c:v>
                </c:pt>
                <c:pt idx="43">
                  <c:v>0.24603700000000026</c:v>
                </c:pt>
                <c:pt idx="44">
                  <c:v>0.25504600000000027</c:v>
                </c:pt>
                <c:pt idx="45">
                  <c:v>0.26405500000000026</c:v>
                </c:pt>
                <c:pt idx="46">
                  <c:v>0.27306400000000025</c:v>
                </c:pt>
                <c:pt idx="47">
                  <c:v>0.28207300000000024</c:v>
                </c:pt>
                <c:pt idx="48">
                  <c:v>0.28727700000000023</c:v>
                </c:pt>
                <c:pt idx="49">
                  <c:v>0.29248100000000021</c:v>
                </c:pt>
                <c:pt idx="50">
                  <c:v>0.2976850000000002</c:v>
                </c:pt>
                <c:pt idx="51">
                  <c:v>0.30288900000000019</c:v>
                </c:pt>
                <c:pt idx="52">
                  <c:v>0.29409300000000016</c:v>
                </c:pt>
                <c:pt idx="53">
                  <c:v>0.29409300000000016</c:v>
                </c:pt>
                <c:pt idx="54">
                  <c:v>0.29409300000000016</c:v>
                </c:pt>
                <c:pt idx="55">
                  <c:v>0.29409300000000016</c:v>
                </c:pt>
                <c:pt idx="56">
                  <c:v>0.29409300000000016</c:v>
                </c:pt>
                <c:pt idx="57">
                  <c:v>0.30450100000000019</c:v>
                </c:pt>
                <c:pt idx="58">
                  <c:v>0.31490900000000022</c:v>
                </c:pt>
                <c:pt idx="59">
                  <c:v>0.32531700000000024</c:v>
                </c:pt>
                <c:pt idx="60">
                  <c:v>0.33572500000000027</c:v>
                </c:pt>
                <c:pt idx="61">
                  <c:v>0.35094670000000028</c:v>
                </c:pt>
                <c:pt idx="62">
                  <c:v>0.36616840000000028</c:v>
                </c:pt>
                <c:pt idx="63">
                  <c:v>0.38139010000000029</c:v>
                </c:pt>
                <c:pt idx="64">
                  <c:v>0.39661180000000035</c:v>
                </c:pt>
                <c:pt idx="65">
                  <c:v>0.39661180000000035</c:v>
                </c:pt>
                <c:pt idx="66">
                  <c:v>0.39661180000000035</c:v>
                </c:pt>
                <c:pt idx="67">
                  <c:v>0.41183350000000041</c:v>
                </c:pt>
                <c:pt idx="68">
                  <c:v>0.42471520000000046</c:v>
                </c:pt>
                <c:pt idx="69">
                  <c:v>0.43759690000000051</c:v>
                </c:pt>
                <c:pt idx="70">
                  <c:v>0.45047860000000056</c:v>
                </c:pt>
                <c:pt idx="71">
                  <c:v>0.45818560000000058</c:v>
                </c:pt>
                <c:pt idx="72">
                  <c:v>0.4658926000000006</c:v>
                </c:pt>
                <c:pt idx="73">
                  <c:v>0.47359960000000062</c:v>
                </c:pt>
                <c:pt idx="74">
                  <c:v>0.47990660000000063</c:v>
                </c:pt>
                <c:pt idx="75">
                  <c:v>0.51035000000000064</c:v>
                </c:pt>
                <c:pt idx="76">
                  <c:v>0.51035000000000064</c:v>
                </c:pt>
                <c:pt idx="77">
                  <c:v>0.51035000000000064</c:v>
                </c:pt>
                <c:pt idx="78">
                  <c:v>0.51035000000000064</c:v>
                </c:pt>
                <c:pt idx="79">
                  <c:v>0.51035000000000064</c:v>
                </c:pt>
                <c:pt idx="80">
                  <c:v>0.51035000000000064</c:v>
                </c:pt>
                <c:pt idx="81">
                  <c:v>0.51035000000000064</c:v>
                </c:pt>
                <c:pt idx="82">
                  <c:v>0.51035000000000064</c:v>
                </c:pt>
                <c:pt idx="83">
                  <c:v>0.51035000000000064</c:v>
                </c:pt>
                <c:pt idx="84">
                  <c:v>0.51035000000000064</c:v>
                </c:pt>
                <c:pt idx="85">
                  <c:v>0.51035000000000064</c:v>
                </c:pt>
                <c:pt idx="86">
                  <c:v>0.51035000000000064</c:v>
                </c:pt>
                <c:pt idx="87">
                  <c:v>0.51602700000000068</c:v>
                </c:pt>
                <c:pt idx="88">
                  <c:v>0.52170400000000072</c:v>
                </c:pt>
                <c:pt idx="89">
                  <c:v>0.52633100000000077</c:v>
                </c:pt>
                <c:pt idx="90">
                  <c:v>0.53095800000000082</c:v>
                </c:pt>
                <c:pt idx="91">
                  <c:v>0.53558500000000087</c:v>
                </c:pt>
                <c:pt idx="92">
                  <c:v>0.54021200000000091</c:v>
                </c:pt>
                <c:pt idx="93">
                  <c:v>0.54483900000000096</c:v>
                </c:pt>
                <c:pt idx="94">
                  <c:v>0.54946600000000101</c:v>
                </c:pt>
                <c:pt idx="95">
                  <c:v>0.55211000000000099</c:v>
                </c:pt>
                <c:pt idx="96">
                  <c:v>0.55475400000000097</c:v>
                </c:pt>
                <c:pt idx="97">
                  <c:v>0.55739800000000095</c:v>
                </c:pt>
                <c:pt idx="98">
                  <c:v>0.58361900000000111</c:v>
                </c:pt>
                <c:pt idx="99">
                  <c:v>0.58361900000000111</c:v>
                </c:pt>
                <c:pt idx="100">
                  <c:v>0.58361900000000111</c:v>
                </c:pt>
                <c:pt idx="101">
                  <c:v>0.58494100000000115</c:v>
                </c:pt>
                <c:pt idx="102">
                  <c:v>0.58586300000000113</c:v>
                </c:pt>
                <c:pt idx="103">
                  <c:v>0.58678500000000111</c:v>
                </c:pt>
                <c:pt idx="104">
                  <c:v>0.58770700000000109</c:v>
                </c:pt>
                <c:pt idx="105">
                  <c:v>0.58862900000000107</c:v>
                </c:pt>
                <c:pt idx="106">
                  <c:v>0.58955100000000105</c:v>
                </c:pt>
                <c:pt idx="107">
                  <c:v>0.59047300000000102</c:v>
                </c:pt>
                <c:pt idx="108">
                  <c:v>0.591395000000001</c:v>
                </c:pt>
                <c:pt idx="109">
                  <c:v>0.593117000000001</c:v>
                </c:pt>
                <c:pt idx="110">
                  <c:v>0.59742200000000101</c:v>
                </c:pt>
                <c:pt idx="111">
                  <c:v>0.60172700000000101</c:v>
                </c:pt>
                <c:pt idx="112">
                  <c:v>0.60603200000000101</c:v>
                </c:pt>
                <c:pt idx="113">
                  <c:v>0.61033700000000102</c:v>
                </c:pt>
                <c:pt idx="114">
                  <c:v>0.61464200000000102</c:v>
                </c:pt>
                <c:pt idx="115">
                  <c:v>0.61464200000000102</c:v>
                </c:pt>
                <c:pt idx="116">
                  <c:v>0.61464200000000102</c:v>
                </c:pt>
                <c:pt idx="117">
                  <c:v>0.61959700000000106</c:v>
                </c:pt>
                <c:pt idx="118">
                  <c:v>0.62455200000000111</c:v>
                </c:pt>
                <c:pt idx="119">
                  <c:v>0.62950700000000115</c:v>
                </c:pt>
                <c:pt idx="120">
                  <c:v>0.63446200000000119</c:v>
                </c:pt>
                <c:pt idx="121">
                  <c:v>0.63941700000000123</c:v>
                </c:pt>
                <c:pt idx="122">
                  <c:v>0.64536300000000124</c:v>
                </c:pt>
                <c:pt idx="123">
                  <c:v>0.65130900000000125</c:v>
                </c:pt>
                <c:pt idx="124">
                  <c:v>0.65725500000000125</c:v>
                </c:pt>
                <c:pt idx="125">
                  <c:v>0.66320100000000126</c:v>
                </c:pt>
                <c:pt idx="126">
                  <c:v>0.66320100000000126</c:v>
                </c:pt>
                <c:pt idx="127">
                  <c:v>0.66320100000000126</c:v>
                </c:pt>
                <c:pt idx="128">
                  <c:v>0.66320100000000126</c:v>
                </c:pt>
                <c:pt idx="129">
                  <c:v>0.66320100000000126</c:v>
                </c:pt>
                <c:pt idx="130">
                  <c:v>0.66932700000000123</c:v>
                </c:pt>
                <c:pt idx="131">
                  <c:v>0.67545300000000119</c:v>
                </c:pt>
                <c:pt idx="132">
                  <c:v>0.68157900000000116</c:v>
                </c:pt>
                <c:pt idx="133">
                  <c:v>0.68770500000000112</c:v>
                </c:pt>
                <c:pt idx="134">
                  <c:v>0.69383100000000109</c:v>
                </c:pt>
                <c:pt idx="135">
                  <c:v>0.7009780000000011</c:v>
                </c:pt>
                <c:pt idx="136">
                  <c:v>0.70812500000000111</c:v>
                </c:pt>
                <c:pt idx="137">
                  <c:v>0.71527200000000113</c:v>
                </c:pt>
                <c:pt idx="138">
                  <c:v>0.72241900000000114</c:v>
                </c:pt>
                <c:pt idx="139">
                  <c:v>0.73026600000000119</c:v>
                </c:pt>
                <c:pt idx="140">
                  <c:v>0.73811300000000124</c:v>
                </c:pt>
                <c:pt idx="141">
                  <c:v>0.74035500000000121</c:v>
                </c:pt>
                <c:pt idx="142">
                  <c:v>0.74259700000000117</c:v>
                </c:pt>
                <c:pt idx="143">
                  <c:v>0.74483900000000114</c:v>
                </c:pt>
                <c:pt idx="144">
                  <c:v>0.74708100000000111</c:v>
                </c:pt>
                <c:pt idx="145">
                  <c:v>0.74952300000000116</c:v>
                </c:pt>
                <c:pt idx="146">
                  <c:v>0.75196500000000122</c:v>
                </c:pt>
                <c:pt idx="147">
                  <c:v>0.75440700000000127</c:v>
                </c:pt>
                <c:pt idx="148">
                  <c:v>0.75440700000000127</c:v>
                </c:pt>
                <c:pt idx="149">
                  <c:v>0.75440700000000127</c:v>
                </c:pt>
                <c:pt idx="150">
                  <c:v>0.75684900000000133</c:v>
                </c:pt>
                <c:pt idx="151">
                  <c:v>0.7585584000000013</c:v>
                </c:pt>
                <c:pt idx="152">
                  <c:v>0.7614888000000013</c:v>
                </c:pt>
                <c:pt idx="153">
                  <c:v>0.7644192000000013</c:v>
                </c:pt>
                <c:pt idx="154">
                  <c:v>0.7675896000000012</c:v>
                </c:pt>
                <c:pt idx="155">
                  <c:v>0.77076000000000111</c:v>
                </c:pt>
                <c:pt idx="156">
                  <c:v>0.77393040000000102</c:v>
                </c:pt>
                <c:pt idx="157">
                  <c:v>0.77710080000000092</c:v>
                </c:pt>
                <c:pt idx="158">
                  <c:v>0.78027120000000083</c:v>
                </c:pt>
                <c:pt idx="159">
                  <c:v>0.78344160000000074</c:v>
                </c:pt>
                <c:pt idx="160">
                  <c:v>0.78661200000000064</c:v>
                </c:pt>
                <c:pt idx="161">
                  <c:v>0.78930240000000063</c:v>
                </c:pt>
                <c:pt idx="162">
                  <c:v>0.79199280000000061</c:v>
                </c:pt>
                <c:pt idx="163">
                  <c:v>0.79356220000000055</c:v>
                </c:pt>
                <c:pt idx="164">
                  <c:v>0.79356220000000055</c:v>
                </c:pt>
                <c:pt idx="165">
                  <c:v>0.79356220000000055</c:v>
                </c:pt>
                <c:pt idx="166">
                  <c:v>0.79513160000000049</c:v>
                </c:pt>
                <c:pt idx="167">
                  <c:v>0.79670100000000044</c:v>
                </c:pt>
                <c:pt idx="168">
                  <c:v>0.79827040000000038</c:v>
                </c:pt>
                <c:pt idx="169">
                  <c:v>0.79983980000000032</c:v>
                </c:pt>
                <c:pt idx="170">
                  <c:v>0.80140920000000027</c:v>
                </c:pt>
                <c:pt idx="171">
                  <c:v>0.80310460000000017</c:v>
                </c:pt>
                <c:pt idx="172">
                  <c:v>0.80480000000000007</c:v>
                </c:pt>
                <c:pt idx="173">
                  <c:v>0.80649539999999997</c:v>
                </c:pt>
                <c:pt idx="174">
                  <c:v>0.80819079999999988</c:v>
                </c:pt>
                <c:pt idx="175">
                  <c:v>0.80988619999999978</c:v>
                </c:pt>
                <c:pt idx="176">
                  <c:v>0.81158159999999968</c:v>
                </c:pt>
                <c:pt idx="177">
                  <c:v>0.81327699999999958</c:v>
                </c:pt>
                <c:pt idx="178">
                  <c:v>0.81327699999999958</c:v>
                </c:pt>
                <c:pt idx="179">
                  <c:v>0.81327699999999958</c:v>
                </c:pt>
                <c:pt idx="180">
                  <c:v>0.81596081409999954</c:v>
                </c:pt>
                <c:pt idx="181">
                  <c:v>0.81865348478652955</c:v>
                </c:pt>
                <c:pt idx="182">
                  <c:v>0.82135504128632508</c:v>
                </c:pt>
                <c:pt idx="183">
                  <c:v>0.82406551292256991</c:v>
                </c:pt>
                <c:pt idx="184">
                  <c:v>0.8267849291152144</c:v>
                </c:pt>
                <c:pt idx="185">
                  <c:v>0.82951331938129458</c:v>
                </c:pt>
                <c:pt idx="186">
                  <c:v>0.8322507133352528</c:v>
                </c:pt>
                <c:pt idx="187">
                  <c:v>0.83499714068925912</c:v>
                </c:pt>
                <c:pt idx="188">
                  <c:v>0.83775263125353372</c:v>
                </c:pt>
                <c:pt idx="189">
                  <c:v>0.84051721493667042</c:v>
                </c:pt>
                <c:pt idx="190">
                  <c:v>0.84329092174596143</c:v>
                </c:pt>
                <c:pt idx="191">
                  <c:v>0.84607378178772308</c:v>
                </c:pt>
                <c:pt idx="192">
                  <c:v>0.84886582526762255</c:v>
                </c:pt>
                <c:pt idx="193">
                  <c:v>0.84886582526762255</c:v>
                </c:pt>
                <c:pt idx="194">
                  <c:v>0.84886582526762255</c:v>
                </c:pt>
                <c:pt idx="195">
                  <c:v>0.85166708249100576</c:v>
                </c:pt>
                <c:pt idx="196">
                  <c:v>0.85447758386322603</c:v>
                </c:pt>
                <c:pt idx="197">
                  <c:v>0.85729735988997469</c:v>
                </c:pt>
                <c:pt idx="198">
                  <c:v>0.86012644117761161</c:v>
                </c:pt>
                <c:pt idx="199">
                  <c:v>0.86296485843349768</c:v>
                </c:pt>
                <c:pt idx="200">
                  <c:v>0.86581264246632827</c:v>
                </c:pt>
                <c:pt idx="201">
                  <c:v>0.86866982418646721</c:v>
                </c:pt>
                <c:pt idx="202">
                  <c:v>0.87153643460628261</c:v>
                </c:pt>
                <c:pt idx="203">
                  <c:v>0.87441250484048338</c:v>
                </c:pt>
                <c:pt idx="204">
                  <c:v>0.877298066106457</c:v>
                </c:pt>
                <c:pt idx="205">
                  <c:v>0.88019314972460827</c:v>
                </c:pt>
                <c:pt idx="206">
                  <c:v>0.88309778711869946</c:v>
                </c:pt>
                <c:pt idx="207">
                  <c:v>0.88601200981619121</c:v>
                </c:pt>
                <c:pt idx="208">
                  <c:v>0.88893584944858461</c:v>
                </c:pt>
                <c:pt idx="209">
                  <c:v>0.89186933775176491</c:v>
                </c:pt>
                <c:pt idx="210">
                  <c:v>0.8948125065663457</c:v>
                </c:pt>
                <c:pt idx="211">
                  <c:v>0.89776538783801463</c:v>
                </c:pt>
                <c:pt idx="212">
                  <c:v>0.90072801361788013</c:v>
                </c:pt>
                <c:pt idx="213">
                  <c:v>0.90370041606281915</c:v>
                </c:pt>
                <c:pt idx="214">
                  <c:v>0.90370041606281915</c:v>
                </c:pt>
                <c:pt idx="215">
                  <c:v>0.90370041606281915</c:v>
                </c:pt>
                <c:pt idx="216">
                  <c:v>0.90370041606281915</c:v>
                </c:pt>
                <c:pt idx="217">
                  <c:v>0.90370041606281915</c:v>
                </c:pt>
                <c:pt idx="218">
                  <c:v>0.90370041606281915</c:v>
                </c:pt>
                <c:pt idx="219">
                  <c:v>0.90370041606281915</c:v>
                </c:pt>
                <c:pt idx="220">
                  <c:v>0.90668262743582639</c:v>
                </c:pt>
                <c:pt idx="221">
                  <c:v>0.90967468010636465</c:v>
                </c:pt>
                <c:pt idx="222">
                  <c:v>0.9126766065507157</c:v>
                </c:pt>
                <c:pt idx="223">
                  <c:v>0.91568843935233302</c:v>
                </c:pt>
                <c:pt idx="224">
                  <c:v>0.91871021120219576</c:v>
                </c:pt>
                <c:pt idx="225">
                  <c:v>0.921741954899163</c:v>
                </c:pt>
                <c:pt idx="226">
                  <c:v>0.92478370335033022</c:v>
                </c:pt>
                <c:pt idx="227">
                  <c:v>0.92783548957138628</c:v>
                </c:pt>
                <c:pt idx="228">
                  <c:v>0.93089734668697188</c:v>
                </c:pt>
                <c:pt idx="229">
                  <c:v>0.93396930793103894</c:v>
                </c:pt>
                <c:pt idx="230">
                  <c:v>0.93705140664721132</c:v>
                </c:pt>
                <c:pt idx="231">
                  <c:v>0.94014367628914708</c:v>
                </c:pt>
                <c:pt idx="232">
                  <c:v>0.94324615042090132</c:v>
                </c:pt>
                <c:pt idx="233">
                  <c:v>0.94635886271729031</c:v>
                </c:pt>
                <c:pt idx="234">
                  <c:v>0.94948184696425741</c:v>
                </c:pt>
                <c:pt idx="235">
                  <c:v>0.9526151370592395</c:v>
                </c:pt>
                <c:pt idx="236">
                  <c:v>0.95575876701153495</c:v>
                </c:pt>
                <c:pt idx="237">
                  <c:v>0.95891277094267302</c:v>
                </c:pt>
                <c:pt idx="238">
                  <c:v>0.9620771830867838</c:v>
                </c:pt>
                <c:pt idx="239">
                  <c:v>0.96525203779097024</c:v>
                </c:pt>
                <c:pt idx="240">
                  <c:v>0.96843736951568049</c:v>
                </c:pt>
                <c:pt idx="241">
                  <c:v>0.97163321283508219</c:v>
                </c:pt>
                <c:pt idx="242">
                  <c:v>0.97483960243743795</c:v>
                </c:pt>
                <c:pt idx="243">
                  <c:v>0.97805657312548144</c:v>
                </c:pt>
                <c:pt idx="244">
                  <c:v>0.98128415981679551</c:v>
                </c:pt>
                <c:pt idx="245">
                  <c:v>0.98452239754419091</c:v>
                </c:pt>
                <c:pt idx="246">
                  <c:v>0.9877713214560867</c:v>
                </c:pt>
                <c:pt idx="247">
                  <c:v>0.9877713214560867</c:v>
                </c:pt>
                <c:pt idx="248">
                  <c:v>0.9877713214560867</c:v>
                </c:pt>
                <c:pt idx="249">
                  <c:v>0.9877713214560867</c:v>
                </c:pt>
                <c:pt idx="250">
                  <c:v>0.9877713214560867</c:v>
                </c:pt>
                <c:pt idx="251">
                  <c:v>0.9877713214560867</c:v>
                </c:pt>
                <c:pt idx="252">
                  <c:v>0.9877713214560867</c:v>
                </c:pt>
                <c:pt idx="253">
                  <c:v>0.9877713214560867</c:v>
                </c:pt>
                <c:pt idx="254">
                  <c:v>0.9877713214560867</c:v>
                </c:pt>
                <c:pt idx="255">
                  <c:v>0.9877713214560867</c:v>
                </c:pt>
                <c:pt idx="256">
                  <c:v>0.99103096681689185</c:v>
                </c:pt>
                <c:pt idx="257">
                  <c:v>0.99430136900738764</c:v>
                </c:pt>
                <c:pt idx="258">
                  <c:v>0.99758256352511199</c:v>
                </c:pt>
                <c:pt idx="25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BE-41C3-8143-43B3813ED017}"/>
            </c:ext>
          </c:extLst>
        </c:ser>
        <c:ser>
          <c:idx val="2"/>
          <c:order val="2"/>
          <c:tx>
            <c:v>pointer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6"/>
            <c:spPr>
              <a:noFill/>
              <a:ln w="38100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308-4BEC-875E-FA320CA3A50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308-4BEC-875E-FA320CA3A50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308-4BEC-875E-FA320CA3A50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308-4BEC-875E-FA320CA3A50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308-4BEC-875E-FA320CA3A50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308-4BEC-875E-FA320CA3A50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308-4BEC-875E-FA320CA3A50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308-4BEC-875E-FA320CA3A50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308-4BEC-875E-FA320CA3A50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308-4BEC-875E-FA320CA3A50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308-4BEC-875E-FA320CA3A50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308-4BEC-875E-FA320CA3A50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308-4BEC-875E-FA320CA3A50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308-4BEC-875E-FA320CA3A50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5308-4BEC-875E-FA320CA3A50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308-4BEC-875E-FA320CA3A50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5308-4BEC-875E-FA320CA3A50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308-4BEC-875E-FA320CA3A50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5308-4BEC-875E-FA320CA3A50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5308-4BEC-875E-FA320CA3A50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5308-4BEC-875E-FA320CA3A50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5308-4BEC-875E-FA320CA3A50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5308-4BEC-875E-FA320CA3A50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5308-4BEC-875E-FA320CA3A50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5308-4BEC-875E-FA320CA3A50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5308-4BEC-875E-FA320CA3A50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5308-4BEC-875E-FA320CA3A50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5308-4BEC-875E-FA320CA3A50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5308-4BEC-875E-FA320CA3A50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5308-4BEC-875E-FA320CA3A50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5308-4BEC-875E-FA320CA3A507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5308-4BEC-875E-FA320CA3A50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5308-4BEC-875E-FA320CA3A50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5308-4BEC-875E-FA320CA3A507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5308-4BEC-875E-FA320CA3A507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5308-4BEC-875E-FA320CA3A507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5308-4BEC-875E-FA320CA3A507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5308-4BEC-875E-FA320CA3A507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5308-4BEC-875E-FA320CA3A507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5308-4BEC-875E-FA320CA3A507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5308-4BEC-875E-FA320CA3A507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5308-4BEC-875E-FA320CA3A507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5308-4BEC-875E-FA320CA3A507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5308-4BEC-875E-FA320CA3A507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308-4BEC-875E-FA320CA3A507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5308-4BEC-875E-FA320CA3A507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5308-4BEC-875E-FA320CA3A507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5308-4BEC-875E-FA320CA3A507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5308-4BEC-875E-FA320CA3A507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5308-4BEC-875E-FA320CA3A507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5308-4BEC-875E-FA320CA3A50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5308-4BEC-875E-FA320CA3A507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5308-4BEC-875E-FA320CA3A507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5308-4BEC-875E-FA320CA3A507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5308-4BEC-875E-FA320CA3A507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5308-4BEC-875E-FA320CA3A507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5308-4BEC-875E-FA320CA3A507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5308-4BEC-875E-FA320CA3A507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308-4BEC-875E-FA320CA3A507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5308-4BEC-875E-FA320CA3A507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5308-4BEC-875E-FA320CA3A507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5308-4BEC-875E-FA320CA3A507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5308-4BEC-875E-FA320CA3A507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5308-4BEC-875E-FA320CA3A507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5308-4BEC-875E-FA320CA3A507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5308-4BEC-875E-FA320CA3A507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5308-4BEC-875E-FA320CA3A507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5308-4BEC-875E-FA320CA3A507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5308-4BEC-875E-FA320CA3A507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308-4BEC-875E-FA320CA3A507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5308-4BEC-875E-FA320CA3A507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5308-4BEC-875E-FA320CA3A507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5308-4BEC-875E-FA320CA3A507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5308-4BEC-875E-FA320CA3A507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5308-4BEC-875E-FA320CA3A507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5308-4BEC-875E-FA320CA3A507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5308-4BEC-875E-FA320CA3A507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199D10CC-3346-4048-9B52-3FFFE2F88D86}" type="CELLRANGE">
                      <a:rPr lang="ar-SA">
                        <a:latin typeface="Vazirmatn FD" pitchFamily="2" charset="-78"/>
                        <a:cs typeface="Vazirmatn FD" pitchFamily="2" charset="-78"/>
                      </a:rPr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308-4BEC-875E-FA320CA3A507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5308-4BEC-875E-FA320CA3A507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5308-4BEC-875E-FA320CA3A507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5308-4BEC-875E-FA320CA3A507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5308-4BEC-875E-FA320CA3A507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5308-4BEC-875E-FA320CA3A507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5308-4BEC-875E-FA320CA3A507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5308-4BEC-875E-FA320CA3A507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5308-4BEC-875E-FA320CA3A507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5308-4BEC-875E-FA320CA3A507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5308-4BEC-875E-FA320CA3A507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5308-4BEC-875E-FA320CA3A507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5308-4BEC-875E-FA320CA3A507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5308-4BEC-875E-FA320CA3A507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5308-4BEC-875E-FA320CA3A507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5308-4BEC-875E-FA320CA3A507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5308-4BEC-875E-FA320CA3A507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5308-4BEC-875E-FA320CA3A507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5308-4BEC-875E-FA320CA3A507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5308-4BEC-875E-FA320CA3A507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5308-4BEC-875E-FA320CA3A507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5308-4BEC-875E-FA320CA3A507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5308-4BEC-875E-FA320CA3A507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5308-4BEC-875E-FA320CA3A507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5308-4BEC-875E-FA320CA3A507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5308-4BEC-875E-FA320CA3A507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5308-4BEC-875E-FA320CA3A507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5308-4BEC-875E-FA320CA3A507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5308-4BEC-875E-FA320CA3A507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5308-4BEC-875E-FA320CA3A507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5308-4BEC-875E-FA320CA3A507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5308-4BEC-875E-FA320CA3A507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5308-4BEC-875E-FA320CA3A507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5308-4BEC-875E-FA320CA3A507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5308-4BEC-875E-FA320CA3A507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5308-4BEC-875E-FA320CA3A507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5308-4BEC-875E-FA320CA3A507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5308-4BEC-875E-FA320CA3A507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5308-4BEC-875E-FA320CA3A507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5308-4BEC-875E-FA320CA3A507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5308-4BEC-875E-FA320CA3A507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5308-4BEC-875E-FA320CA3A507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5308-4BEC-875E-FA320CA3A507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5308-4BEC-875E-FA320CA3A507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5308-4BEC-875E-FA320CA3A507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5308-4BEC-875E-FA320CA3A507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5308-4BEC-875E-FA320CA3A507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5308-4BEC-875E-FA320CA3A507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5308-4BEC-875E-FA320CA3A507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5308-4BEC-875E-FA320CA3A507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5308-4BEC-875E-FA320CA3A507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5308-4BEC-875E-FA320CA3A507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5308-4BEC-875E-FA320CA3A507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3430466E-1EED-40D6-9768-D914470483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5308-4BEC-875E-FA320CA3A507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5308-4BEC-875E-FA320CA3A507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5308-4BEC-875E-FA320CA3A507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5308-4BEC-875E-FA320CA3A507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5308-4BEC-875E-FA320CA3A507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5308-4BEC-875E-FA320CA3A507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5308-4BEC-875E-FA320CA3A507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5308-4BEC-875E-FA320CA3A507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5308-4BEC-875E-FA320CA3A507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5308-4BEC-875E-FA320CA3A507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5308-4BEC-875E-FA320CA3A507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5308-4BEC-875E-FA320CA3A507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5308-4BEC-875E-FA320CA3A507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5308-4BEC-875E-FA320CA3A507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5308-4BEC-875E-FA320CA3A507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5308-4BEC-875E-FA320CA3A507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5308-4BEC-875E-FA320CA3A507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5308-4BEC-875E-FA320CA3A507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5308-4BEC-875E-FA320CA3A507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5308-4BEC-875E-FA320CA3A507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5308-4BEC-875E-FA320CA3A507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5308-4BEC-875E-FA320CA3A507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5308-4BEC-875E-FA320CA3A507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5308-4BEC-875E-FA320CA3A507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5308-4BEC-875E-FA320CA3A507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5308-4BEC-875E-FA320CA3A507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5308-4BEC-875E-FA320CA3A507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5308-4BEC-875E-FA320CA3A507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5308-4BEC-875E-FA320CA3A507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5308-4BEC-875E-FA320CA3A507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5308-4BEC-875E-FA320CA3A507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5308-4BEC-875E-FA320CA3A507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5308-4BEC-875E-FA320CA3A507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5308-4BEC-875E-FA320CA3A507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5308-4BEC-875E-FA320CA3A507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5308-4BEC-875E-FA320CA3A507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5308-4BEC-875E-FA320CA3A507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5308-4BEC-875E-FA320CA3A507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5308-4BEC-875E-FA320CA3A507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5308-4BEC-875E-FA320CA3A507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5308-4BEC-875E-FA320CA3A507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5308-4BEC-875E-FA320CA3A507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5308-4BEC-875E-FA320CA3A507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5308-4BEC-875E-FA320CA3A507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5308-4BEC-875E-FA320CA3A507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5308-4BEC-875E-FA320CA3A507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5308-4BEC-875E-FA320CA3A507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5308-4BEC-875E-FA320CA3A507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5308-4BEC-875E-FA320CA3A507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5308-4BEC-875E-FA320CA3A507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5308-4BEC-875E-FA320CA3A507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5308-4BEC-875E-FA320CA3A507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5308-4BEC-875E-FA320CA3A507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5308-4BEC-875E-FA320CA3A507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5308-4BEC-875E-FA320CA3A507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5308-4BEC-875E-FA320CA3A507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5308-4BEC-875E-FA320CA3A507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5308-4BEC-875E-FA320CA3A507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5308-4BEC-875E-FA320CA3A507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5308-4BEC-875E-FA320CA3A507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5308-4BEC-875E-FA320CA3A507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5308-4BEC-875E-FA320CA3A507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5308-4BEC-875E-FA320CA3A507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5308-4BEC-875E-FA320CA3A507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5308-4BEC-875E-FA320CA3A507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5308-4BEC-875E-FA320CA3A507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5308-4BEC-875E-FA320CA3A507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5308-4BEC-875E-FA320CA3A507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5308-4BEC-875E-FA320CA3A507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5308-4BEC-875E-FA320CA3A507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5308-4BEC-875E-FA320CA3A507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5308-4BEC-875E-FA320CA3A507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5308-4BEC-875E-FA320CA3A507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5308-4BEC-875E-FA320CA3A507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5308-4BEC-875E-FA320CA3A507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5308-4BEC-875E-FA320CA3A507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5308-4BEC-875E-FA320CA3A507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5308-4BEC-875E-FA320CA3A507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5308-4BEC-875E-FA320CA3A507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5308-4BEC-875E-FA320CA3A507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5308-4BEC-875E-FA320CA3A507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5308-4BEC-875E-FA320CA3A507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5308-4BEC-875E-FA320CA3A507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5308-4BEC-875E-FA320CA3A507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5308-4BEC-875E-FA320CA3A507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5308-4BEC-875E-FA320CA3A507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5308-4BEC-875E-FA320CA3A507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5308-4BEC-875E-FA320CA3A507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5308-4BEC-875E-FA320CA3A507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5308-4BEC-875E-FA320CA3A507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5308-4BEC-875E-FA320CA3A507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5308-4BEC-875E-FA320CA3A507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5308-4BEC-875E-FA320CA3A507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5308-4BEC-875E-FA320CA3A507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5308-4BEC-875E-FA320CA3A507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5308-4BEC-875E-FA320CA3A507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5308-4BEC-875E-FA320CA3A507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5308-4BEC-875E-FA320CA3A507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5308-4BEC-875E-FA320CA3A507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5308-4BEC-875E-FA320CA3A507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5308-4BEC-875E-FA320CA3A507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5308-4BEC-875E-FA320CA3A507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5308-4BEC-875E-FA320CA3A507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5308-4BEC-875E-FA320CA3A507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5308-4BEC-875E-FA320CA3A507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5308-4BEC-875E-FA320CA3A507}"/>
                </c:ext>
              </c:extLst>
            </c:dLbl>
            <c:dLbl>
              <c:idx val="2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5308-4BEC-875E-FA320CA3A507}"/>
                </c:ext>
              </c:extLst>
            </c:dLbl>
            <c:dLbl>
              <c:idx val="2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5308-4BEC-875E-FA320CA3A507}"/>
                </c:ext>
              </c:extLst>
            </c:dLbl>
            <c:dLbl>
              <c:idx val="2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5308-4BEC-875E-FA320CA3A507}"/>
                </c:ext>
              </c:extLst>
            </c:dLbl>
            <c:dLbl>
              <c:idx val="2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5308-4BEC-875E-FA320CA3A507}"/>
                </c:ext>
              </c:extLst>
            </c:dLbl>
            <c:dLbl>
              <c:idx val="2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5308-4BEC-875E-FA320CA3A507}"/>
                </c:ext>
              </c:extLst>
            </c:dLbl>
            <c:dLbl>
              <c:idx val="2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5308-4BEC-875E-FA320CA3A507}"/>
                </c:ext>
              </c:extLst>
            </c:dLbl>
            <c:dLbl>
              <c:idx val="2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5308-4BEC-875E-FA320CA3A507}"/>
                </c:ext>
              </c:extLst>
            </c:dLbl>
            <c:dLbl>
              <c:idx val="2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5308-4BEC-875E-FA320CA3A507}"/>
                </c:ext>
              </c:extLst>
            </c:dLbl>
            <c:dLbl>
              <c:idx val="2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5308-4BEC-875E-FA320CA3A507}"/>
                </c:ext>
              </c:extLst>
            </c:dLbl>
            <c:dLbl>
              <c:idx val="2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5308-4BEC-875E-FA320CA3A507}"/>
                </c:ext>
              </c:extLst>
            </c:dLbl>
            <c:dLbl>
              <c:idx val="2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5308-4BEC-875E-FA320CA3A507}"/>
                </c:ext>
              </c:extLst>
            </c:dLbl>
            <c:dLbl>
              <c:idx val="2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5308-4BEC-875E-FA320CA3A507}"/>
                </c:ext>
              </c:extLst>
            </c:dLbl>
            <c:dLbl>
              <c:idx val="2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5308-4BEC-875E-FA320CA3A507}"/>
                </c:ext>
              </c:extLst>
            </c:dLbl>
            <c:dLbl>
              <c:idx val="2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5308-4BEC-875E-FA320CA3A507}"/>
                </c:ext>
              </c:extLst>
            </c:dLbl>
            <c:dLbl>
              <c:idx val="2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5308-4BEC-875E-FA320CA3A507}"/>
                </c:ext>
              </c:extLst>
            </c:dLbl>
            <c:dLbl>
              <c:idx val="2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5308-4BEC-875E-FA320CA3A507}"/>
                </c:ext>
              </c:extLst>
            </c:dLbl>
            <c:dLbl>
              <c:idx val="2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5308-4BEC-875E-FA320CA3A507}"/>
                </c:ext>
              </c:extLst>
            </c:dLbl>
            <c:dLbl>
              <c:idx val="2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5308-4BEC-875E-FA320CA3A507}"/>
                </c:ext>
              </c:extLst>
            </c:dLbl>
            <c:dLbl>
              <c:idx val="2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5308-4BEC-875E-FA320CA3A507}"/>
                </c:ext>
              </c:extLst>
            </c:dLbl>
            <c:dLbl>
              <c:idx val="2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5308-4BEC-875E-FA320CA3A507}"/>
                </c:ext>
              </c:extLst>
            </c:dLbl>
            <c:dLbl>
              <c:idx val="2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5308-4BEC-875E-FA320CA3A507}"/>
                </c:ext>
              </c:extLst>
            </c:dLbl>
            <c:dLbl>
              <c:idx val="2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5308-4BEC-875E-FA320CA3A507}"/>
                </c:ext>
              </c:extLst>
            </c:dLbl>
            <c:dLbl>
              <c:idx val="2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5308-4BEC-875E-FA320CA3A507}"/>
                </c:ext>
              </c:extLst>
            </c:dLbl>
            <c:dLbl>
              <c:idx val="2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5308-4BEC-875E-FA320CA3A507}"/>
                </c:ext>
              </c:extLst>
            </c:dLbl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Vazirmatn FD" pitchFamily="2" charset="-78"/>
                    <a:ea typeface="+mn-ea"/>
                    <a:cs typeface="Vazirmatn FD" pitchFamily="2" charset="-78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Data!$F$3:$F$262</c:f>
              <c:numCache>
                <c:formatCode>0.00%</c:formatCode>
                <c:ptCount val="2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0.66932700000000123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Data!$G$3:$G$262</c15:f>
                <c15:dlblRangeCache>
                  <c:ptCount val="260"/>
                  <c:pt idx="0">
                    <c:v>تاریخ: 1399/01/20
درصد پیشرفت برنامه ای: 0%
درصد پیشرفت واقعی: 0%</c:v>
                  </c:pt>
                  <c:pt idx="1">
                    <c:v>تاریخ: 1399/01/27
درصد پیشرفت برنامه ای: 1.3%
درصد پیشرفت واقعی: 0%</c:v>
                  </c:pt>
                  <c:pt idx="2">
                    <c:v>تاریخ: 1399/02/03
درصد پیشرفت برنامه ای: 1.8%
درصد پیشرفت واقعی: 0.5%</c:v>
                  </c:pt>
                  <c:pt idx="3">
                    <c:v>تاریخ: 1399/02/10
درصد پیشرفت برنامه ای: 2.7%
درصد پیشرفت واقعی: 0.5%</c:v>
                  </c:pt>
                  <c:pt idx="4">
                    <c:v>تاریخ: 1399/02/17
درصد پیشرفت برنامه ای: 3.6%
درصد پیشرفت واقعی: 0.5%</c:v>
                  </c:pt>
                  <c:pt idx="5">
                    <c:v>تاریخ: 1399/02/24
درصد پیشرفت برنامه ای: 4.5%
درصد پیشرفت واقعی: 0.5%</c:v>
                  </c:pt>
                  <c:pt idx="6">
                    <c:v>تاریخ: 1399/02/31
درصد پیشرفت برنامه ای: 5.4%
درصد پیشرفت واقعی: 1.01%</c:v>
                  </c:pt>
                  <c:pt idx="7">
                    <c:v>تاریخ: 1399/03/07
درصد پیشرفت برنامه ای: 6.3%
درصد پیشرفت واقعی: 1.01%</c:v>
                  </c:pt>
                  <c:pt idx="8">
                    <c:v>تاریخ: 1399/03/14
درصد پیشرفت برنامه ای: 7.2%
درصد پیشرفت واقعی: 1.01%</c:v>
                  </c:pt>
                  <c:pt idx="9">
                    <c:v>تاریخ: 1399/03/21
درصد پیشرفت برنامه ای: 8.1%
درصد پیشرفت واقعی: 1.4%</c:v>
                  </c:pt>
                  <c:pt idx="10">
                    <c:v>تاریخ: 1399/03/28
درصد پیشرفت برنامه ای: 9%
درصد پیشرفت واقعی: 1.4%</c:v>
                  </c:pt>
                  <c:pt idx="11">
                    <c:v>تاریخ: 1399/04/04
درصد پیشرفت برنامه ای: 9.9%
درصد پیشرفت واقعی: 1.9%</c:v>
                  </c:pt>
                  <c:pt idx="12">
                    <c:v>تاریخ: 1399/04/11
درصد پیشرفت برنامه ای: 10.8%
درصد پیشرفت واقعی: 2.41%</c:v>
                  </c:pt>
                  <c:pt idx="13">
                    <c:v>تاریخ: 1399/04/18
درصد پیشرفت برنامه ای: 11.5%
درصد پیشرفت واقعی: 2.8%</c:v>
                  </c:pt>
                  <c:pt idx="14">
                    <c:v>تاریخ: 1399/04/25
درصد پیشرفت برنامه ای: 12.2%
درصد پیشرفت واقعی: 3.19%</c:v>
                  </c:pt>
                  <c:pt idx="15">
                    <c:v>تاریخ: 1399/05/01
درصد پیشرفت برنامه ای: 12.9%
درصد پیشرفت واقعی: 3.58%</c:v>
                  </c:pt>
                  <c:pt idx="16">
                    <c:v>تاریخ: 1399/05/08
درصد پیشرفت برنامه ای: 13.6%
درصد پیشرفت واقعی: 3.98%</c:v>
                  </c:pt>
                  <c:pt idx="17">
                    <c:v>تاریخ: 1399/05/15
درصد پیشرفت برنامه ای: 14.3%
درصد پیشرفت واقعی: 4.37%</c:v>
                  </c:pt>
                  <c:pt idx="18">
                    <c:v>تاریخ: 1399/05/22
درصد پیشرفت برنامه ای: 15%
درصد پیشرفت واقعی: 4.76%</c:v>
                  </c:pt>
                  <c:pt idx="19">
                    <c:v>تاریخ: 1399/05/29
درصد پیشرفت برنامه ای: 15.7%
درصد پیشرفت واقعی: 5.43%</c:v>
                  </c:pt>
                  <c:pt idx="20">
                    <c:v>تاریخ: 1399/06/05
درصد پیشرفت برنامه ای: 16.4%
درصد پیشرفت واقعی: 6.1%</c:v>
                  </c:pt>
                  <c:pt idx="21">
                    <c:v>تاریخ: 1399/06/12
درصد پیشرفت برنامه ای: 17.1%
درصد پیشرفت واقعی: 6.78%</c:v>
                  </c:pt>
                  <c:pt idx="22">
                    <c:v>تاریخ: 1399/06/19
درصد پیشرفت برنامه ای: 17.8%
درصد پیشرفت واقعی: 7.45%</c:v>
                  </c:pt>
                  <c:pt idx="23">
                    <c:v>تاریخ: 1399/06/26
درصد پیشرفت برنامه ای: 18.3%
درصد پیشرفت واقعی: 7.93%</c:v>
                  </c:pt>
                  <c:pt idx="24">
                    <c:v>تاریخ: 1399/07/02
درصد پیشرفت برنامه ای: 18.8%
درصد پیشرفت واقعی: 8.41%</c:v>
                  </c:pt>
                  <c:pt idx="25">
                    <c:v>تاریخ: 1399/07/09
درصد پیشرفت برنامه ای: 19.3%
درصد پیشرفت واقعی: 8.89%</c:v>
                  </c:pt>
                  <c:pt idx="26">
                    <c:v>تاریخ: 1399/07/16
درصد پیشرفت برنامه ای: 19.8%
درصد پیشرفت واقعی: 9.39%</c:v>
                  </c:pt>
                  <c:pt idx="27">
                    <c:v>تاریخ: 1399/07/23
درصد پیشرفت برنامه ای: 20.7%
درصد پیشرفت واقعی: 10.29%</c:v>
                  </c:pt>
                  <c:pt idx="28">
                    <c:v>تاریخ: 1399/07/30
درصد پیشرفت برنامه ای: 21.6%
درصد پیشرفت واقعی: 11.19%</c:v>
                  </c:pt>
                  <c:pt idx="29">
                    <c:v>تاریخ: 1399/08/07
درصد پیشرفت برنامه ای: 22.5%
درصد پیشرفت واقعی: 12.09%</c:v>
                  </c:pt>
                  <c:pt idx="30">
                    <c:v>تاریخ: 1399/08/14
درصد پیشرفت برنامه ای: 23.4%
درصد پیشرفت واقعی: 12.99%</c:v>
                  </c:pt>
                  <c:pt idx="31">
                    <c:v>تاریخ: 1399/08/21
درصد پیشرفت برنامه ای: 24.3%
درصد پیشرفت واقعی: 13.89%</c:v>
                  </c:pt>
                  <c:pt idx="32">
                    <c:v>تاریخ: 1399/08/28
درصد پیشرفت برنامه ای: 25.2%
درصد پیشرفت واقعی: 14.79%</c:v>
                  </c:pt>
                  <c:pt idx="33">
                    <c:v>تاریخ: 1399/09/05
درصد پیشرفت برنامه ای: 26.1%
درصد پیشرفت واقعی: 15.69%</c:v>
                  </c:pt>
                  <c:pt idx="34">
                    <c:v>تاریخ: 1399/09/12
درصد پیشرفت برنامه ای: 27.1%
درصد پیشرفت واقعی: 16.7%</c:v>
                  </c:pt>
                  <c:pt idx="35">
                    <c:v>تاریخ: 1399/09/19
درصد پیشرفت برنامه ای: 28.1%
درصد پیشرفت واقعی: 17.7%</c:v>
                  </c:pt>
                  <c:pt idx="36">
                    <c:v>تاریخ: 1399/09/26
درصد پیشرفت برنامه ای: 29.1%
درصد پیشرفت واقعی: 18.7%</c:v>
                  </c:pt>
                  <c:pt idx="37">
                    <c:v>تاریخ: 1399/10/03
درصد پیشرفت برنامه ای: 30.1%
درصد پیشرفت واقعی: 19.7%</c:v>
                  </c:pt>
                  <c:pt idx="38">
                    <c:v>تاریخ: 1399/10/10
درصد پیشرفت برنامه ای: 31.1%
درصد پیشرفت واقعی: 20.7%</c:v>
                  </c:pt>
                  <c:pt idx="39">
                    <c:v>تاریخ: 1399/10/17
درصد پیشرفت برنامه ای: 31.8%
درصد پیشرفت واقعی: 21.4%</c:v>
                  </c:pt>
                  <c:pt idx="40">
                    <c:v>تاریخ: 1399/10/24
درصد پیشرفت برنامه ای: 32.5%
درصد پیشرفت واقعی: 22.1%</c:v>
                  </c:pt>
                  <c:pt idx="41">
                    <c:v>تاریخ: 1399/11/01
درصد پیشرفت برنامه ای: 33.2%
درصد پیشرفت واقعی: 22.8%</c:v>
                  </c:pt>
                  <c:pt idx="42">
                    <c:v>تاریخ: 1399/11/08
درصد پیشرفت برنامه ای: 34.1%
درصد پیشرفت واقعی: 23.7%</c:v>
                  </c:pt>
                  <c:pt idx="43">
                    <c:v>تاریخ: 1399/11/15
درصد پیشرفت برنامه ای: 35%
درصد پیشرفت واقعی: 24.6%</c:v>
                  </c:pt>
                  <c:pt idx="44">
                    <c:v>تاریخ: 1399/11/22
درصد پیشرفت برنامه ای: 35.9%
درصد پیشرفت واقعی: 25.5%</c:v>
                  </c:pt>
                  <c:pt idx="45">
                    <c:v>تاریخ: 1399/11/29
درصد پیشرفت برنامه ای: 36.8%
درصد پیشرفت واقعی: 26.41%</c:v>
                  </c:pt>
                  <c:pt idx="46">
                    <c:v>تاریخ: 1399/12/06
درصد پیشرفت برنامه ای: 37.7%
درصد پیشرفت واقعی: 27.31%</c:v>
                  </c:pt>
                  <c:pt idx="47">
                    <c:v>تاریخ: 1399/12/13
درصد پیشرفت برنامه ای: 38.6%
درصد پیشرفت واقعی: 28.21%</c:v>
                  </c:pt>
                  <c:pt idx="48">
                    <c:v>تاریخ: 1399/12/20
درصد پیشرفت برنامه ای: 39%
درصد پیشرفت واقعی: 28.73%</c:v>
                  </c:pt>
                  <c:pt idx="49">
                    <c:v>تاریخ: 1399/12/27
درصد پیشرفت برنامه ای: 39.4%
درصد پیشرفت واقعی: 29.25%</c:v>
                  </c:pt>
                  <c:pt idx="50">
                    <c:v>تاریخ: 1400/01/04
درصد پیشرفت برنامه ای: 39.8%
درصد پیشرفت واقعی: 29.77%</c:v>
                  </c:pt>
                  <c:pt idx="51">
                    <c:v>تاریخ: 1400/01/11
درصد پیشرفت برنامه ای: 40.2%
درصد پیشرفت واقعی: 30.29%</c:v>
                  </c:pt>
                  <c:pt idx="52">
                    <c:v>تاریخ: 1400/01/18
درصد پیشرفت برنامه ای: 40.6%
درصد پیشرفت واقعی: 29.41%</c:v>
                  </c:pt>
                  <c:pt idx="53">
                    <c:v>تاریخ: 1400/01/25
درصد پیشرفت برنامه ای: 41%
درصد پیشرفت واقعی: 29.41%</c:v>
                  </c:pt>
                  <c:pt idx="54">
                    <c:v>تاریخ: 1400/02/01
درصد پیشرفت برنامه ای: 41.8%
درصد پیشرفت واقعی: 29.41%</c:v>
                  </c:pt>
                  <c:pt idx="55">
                    <c:v>تاریخ: 1400/02/08
درصد پیشرفت برنامه ای: 42.6%
درصد پیشرفت واقعی: 29.41%</c:v>
                  </c:pt>
                  <c:pt idx="56">
                    <c:v>تاریخ: 1400/02/15
درصد پیشرفت برنامه ای: 43.4%
درصد پیشرفت واقعی: 29.41%</c:v>
                  </c:pt>
                  <c:pt idx="57">
                    <c:v>تاریخ: 1400/02/22
درصد پیشرفت برنامه ای: 44.2%
درصد پیشرفت واقعی: 30.45%</c:v>
                  </c:pt>
                  <c:pt idx="58">
                    <c:v>تاریخ: 1400/02/29
درصد پیشرفت برنامه ای: 45%
درصد پیشرفت واقعی: 31.49%</c:v>
                  </c:pt>
                  <c:pt idx="59">
                    <c:v>تاریخ: 1400/03/05
درصد پیشرفت برنامه ای: 45.8%
درصد پیشرفت واقعی: 32.53%</c:v>
                  </c:pt>
                  <c:pt idx="60">
                    <c:v>تاریخ: 1400/03/12
درصد پیشرفت برنامه ای: 46.6%
درصد پیشرفت واقعی: 33.57%</c:v>
                  </c:pt>
                  <c:pt idx="61">
                    <c:v>تاریخ: 1400/03/19
درصد پیشرفت برنامه ای: 47.77%
درصد پیشرفت واقعی: 35.09%</c:v>
                  </c:pt>
                  <c:pt idx="62">
                    <c:v>تاریخ: 1400/03/26
درصد پیشرفت برنامه ای: 48.94%
درصد پیشرفت واقعی: 36.62%</c:v>
                  </c:pt>
                  <c:pt idx="63">
                    <c:v>تاریخ: 1400/04/02
درصد پیشرفت برنامه ای: 50.11%
درصد پیشرفت واقعی: 38.14%</c:v>
                  </c:pt>
                  <c:pt idx="64">
                    <c:v>تاریخ: 1400/04/09
درصد پیشرفت برنامه ای: 51.28%
درصد پیشرفت واقعی: 39.66%</c:v>
                  </c:pt>
                  <c:pt idx="65">
                    <c:v>تاریخ: 1400/04/16
درصد پیشرفت برنامه ای: 52.45%
درصد پیشرفت واقعی: 39.66%</c:v>
                  </c:pt>
                  <c:pt idx="66">
                    <c:v>تاریخ: 1400/04/23
درصد پیشرفت برنامه ای: 53.62%
درصد پیشرفت واقعی: 39.66%</c:v>
                  </c:pt>
                  <c:pt idx="67">
                    <c:v>تاریخ: 1400/04/30
درصد پیشرفت برنامه ای: 54.79%
درصد پیشرفت واقعی: 41.18%</c:v>
                  </c:pt>
                  <c:pt idx="68">
                    <c:v>تاریخ: 1400/05/06
درصد پیشرفت برنامه ای: 55.96%
درصد پیشرفت واقعی: 42.47%</c:v>
                  </c:pt>
                  <c:pt idx="69">
                    <c:v>تاریخ: 1400/05/13
درصد پیشرفت برنامه ای: 57.13%
درصد پیشرفت واقعی: 43.76%</c:v>
                  </c:pt>
                  <c:pt idx="70">
                    <c:v>تاریخ: 1400/05/20
درصد پیشرفت برنامه ای: 58.3%
درصد پیشرفت واقعی: 45.05%</c:v>
                  </c:pt>
                  <c:pt idx="71">
                    <c:v>تاریخ: 1400/05/27
درصد پیشرفت برنامه ای: 59%
درصد پیشرفت واقعی: 45.82%</c:v>
                  </c:pt>
                  <c:pt idx="72">
                    <c:v>تاریخ: 1400/06/03
درصد پیشرفت برنامه ای: 59.7%
درصد پیشرفت واقعی: 46.59%</c:v>
                  </c:pt>
                  <c:pt idx="73">
                    <c:v>تاریخ: 1400/06/10
درصد پیشرفت برنامه ای: 60.4%
درصد پیشرفت واقعی: 47.36%</c:v>
                  </c:pt>
                  <c:pt idx="74">
                    <c:v>تاریخ: 1400/06/17
درصد پیشرفت برنامه ای: 61.1%
درصد پیشرفت واقعی: 47.99%</c:v>
                  </c:pt>
                  <c:pt idx="75">
                    <c:v>تاریخ: 1400/06/24
درصد پیشرفت برنامه ای: 61.8%
درصد پیشرفت واقعی: 51.04%</c:v>
                  </c:pt>
                  <c:pt idx="76">
                    <c:v>تاریخ: 1400/06/31
درصد پیشرفت برنامه ای: 62.1%
درصد پیشرفت واقعی: 51.04%</c:v>
                  </c:pt>
                  <c:pt idx="77">
                    <c:v>تاریخ: 1400/07/07
درصد پیشرفت برنامه ای: 62.4%
درصد پیشرفت واقعی: 51.04%</c:v>
                  </c:pt>
                  <c:pt idx="78">
                    <c:v>تاریخ: 1400/07/14
درصد پیشرفت برنامه ای: 62.7%
درصد پیشرفت واقعی: 51.04%</c:v>
                  </c:pt>
                  <c:pt idx="79">
                    <c:v>تاریخ: 1400/07/21
درصد پیشرفت برنامه ای: 63%
درصد پیشرفت واقعی: 51.04%</c:v>
                  </c:pt>
                  <c:pt idx="80">
                    <c:v>تاریخ: 1400/07/28
درصد پیشرفت برنامه ای: 63.3%
درصد پیشرفت واقعی: 51.04%</c:v>
                  </c:pt>
                  <c:pt idx="81">
                    <c:v>تاریخ: 1400/08/05
درصد پیشرفت برنامه ای: 63.6%
درصد پیشرفت واقعی: 51.04%</c:v>
                  </c:pt>
                  <c:pt idx="82">
                    <c:v>تاریخ: 1400/08/12
درصد پیشرفت برنامه ای: 63.9%
درصد پیشرفت واقعی: 51.04%</c:v>
                  </c:pt>
                  <c:pt idx="83">
                    <c:v>تاریخ: 1400/08/19
درصد پیشرفت برنامه ای: 64.2%
درصد پیشرفت واقعی: 51.04%</c:v>
                  </c:pt>
                  <c:pt idx="84">
                    <c:v>تاریخ: 1400/08/26
درصد پیشرفت برنامه ای: 64.5%
درصد پیشرفت واقعی: 51.04%</c:v>
                  </c:pt>
                  <c:pt idx="85">
                    <c:v>تاریخ: 1400/09/03
درصد پیشرفت برنامه ای: 64.8%
درصد پیشرفت واقعی: 51.04%</c:v>
                  </c:pt>
                  <c:pt idx="86">
                    <c:v>تاریخ: 1400/09/10
درصد پیشرفت برنامه ای: 65.5%
درصد پیشرفت واقعی: 51.04%</c:v>
                  </c:pt>
                  <c:pt idx="87">
                    <c:v>تاریخ: 1400/09/17
درصد پیشرفت برنامه ای: 66.2%
درصد پیشرفت واقعی: 51.6%</c:v>
                  </c:pt>
                  <c:pt idx="88">
                    <c:v>تاریخ: 1400/09/24
درصد پیشرفت برنامه ای: 66.9%
درصد پیشرفت واقعی: 52.17%</c:v>
                  </c:pt>
                  <c:pt idx="89">
                    <c:v>تاریخ: 1400/10/01
درصد پیشرفت برنامه ای: 67.6%
درصد پیشرفت واقعی: 52.63%</c:v>
                  </c:pt>
                  <c:pt idx="90">
                    <c:v>تاریخ: 1400/10/08
درصد پیشرفت برنامه ای: 68.3%
درصد پیشرفت واقعی: 53.1%</c:v>
                  </c:pt>
                  <c:pt idx="91">
                    <c:v>تاریخ: 1400/10/15
درصد پیشرفت برنامه ای: 69%
درصد پیشرفت واقعی: 53.56%</c:v>
                  </c:pt>
                  <c:pt idx="92">
                    <c:v>تاریخ: 1400/10/22
درصد پیشرفت برنامه ای: 69.7%
درصد پیشرفت واقعی: 54.02%</c:v>
                  </c:pt>
                  <c:pt idx="93">
                    <c:v>تاریخ: 1400/10/29
درصد پیشرفت برنامه ای: 70.4%
درصد پیشرفت واقعی: 54.48%</c:v>
                  </c:pt>
                  <c:pt idx="94">
                    <c:v>تاریخ: 1400/11/06
درصد پیشرفت برنامه ای: 71.1%
درصد پیشرفت واقعی: 54.95%</c:v>
                  </c:pt>
                  <c:pt idx="95">
                    <c:v>تاریخ: 1400/11/13
درصد پیشرفت برنامه ای: 71.5%
درصد پیشرفت واقعی: 55.21%</c:v>
                  </c:pt>
                  <c:pt idx="96">
                    <c:v>تاریخ: 1400/11/20
درصد پیشرفت برنامه ای: 71.9%
درصد پیشرفت واقعی: 55.48%</c:v>
                  </c:pt>
                  <c:pt idx="97">
                    <c:v>تاریخ: 1400/11/27
درصد پیشرفت برنامه ای: 72.3%
درصد پیشرفت واقعی: 55.74%</c:v>
                  </c:pt>
                  <c:pt idx="98">
                    <c:v>تاریخ: 1400/12/04
درصد پیشرفت برنامه ای: 72.7%
درصد پیشرفت واقعی: 58.36%</c:v>
                  </c:pt>
                  <c:pt idx="99">
                    <c:v>تاریخ: 1400/12/11
درصد پیشرفت برنامه ای: 72.9%
درصد پیشرفت واقعی: 58.36%</c:v>
                  </c:pt>
                  <c:pt idx="100">
                    <c:v>تاریخ: 1400/12/18
درصد پیشرفت برنامه ای: 73.1%
درصد پیشرفت واقعی: 58.36%</c:v>
                  </c:pt>
                  <c:pt idx="101">
                    <c:v>تاریخ: 1400/12/25
درصد پیشرفت برنامه ای: 73.3%
درصد پیشرفت واقعی: 58.49%</c:v>
                  </c:pt>
                  <c:pt idx="102">
                    <c:v>تاریخ: 1401/01/03
درصد پیشرفت برنامه ای: 73.5%
درصد پیشرفت واقعی: 58.59%</c:v>
                  </c:pt>
                  <c:pt idx="103">
                    <c:v>تاریخ: 1401/01/10
درصد پیشرفت برنامه ای: 73.7%
درصد پیشرفت واقعی: 58.68%</c:v>
                  </c:pt>
                  <c:pt idx="104">
                    <c:v>تاریخ: 1401/01/17
درصد پیشرفت برنامه ای: 73.9%
درصد پیشرفت واقعی: 58.77%</c:v>
                  </c:pt>
                  <c:pt idx="105">
                    <c:v>تاریخ: 1401/01/24
درصد پیشرفت برنامه ای: 74.1%
درصد پیشرفت واقعی: 58.86%</c:v>
                  </c:pt>
                  <c:pt idx="106">
                    <c:v>تاریخ: 1401/01/31
درصد پیشرفت برنامه ای: 74.3%
درصد پیشرفت واقعی: 58.96%</c:v>
                  </c:pt>
                  <c:pt idx="107">
                    <c:v>تاریخ: 1401/02/07
درصد پیشرفت برنامه ای: 74.5%
درصد پیشرفت واقعی: 59.05%</c:v>
                  </c:pt>
                  <c:pt idx="108">
                    <c:v>تاریخ: 1401/02/14
درصد پیشرفت برنامه ای: 74.7%
درصد پیشرفت واقعی: 59.14%</c:v>
                  </c:pt>
                  <c:pt idx="109">
                    <c:v>تاریخ: 1401/02/21
درصد پیشرفت برنامه ای: 74.9%
درصد پیشرفت واقعی: 59.31%</c:v>
                  </c:pt>
                  <c:pt idx="110">
                    <c:v>تاریخ: 1401/02/28
درصد پیشرفت برنامه ای: 75.4%
درصد پیشرفت واقعی: 59.74%</c:v>
                  </c:pt>
                  <c:pt idx="111">
                    <c:v>تاریخ: 1401/03/04
درصد پیشرفت برنامه ای: 75.9%
درصد پیشرفت واقعی: 60.17%</c:v>
                  </c:pt>
                  <c:pt idx="112">
                    <c:v>تاریخ: 1401/03/11
درصد پیشرفت برنامه ای: 76.4%
درصد پیشرفت واقعی: 60.6%</c:v>
                  </c:pt>
                  <c:pt idx="113">
                    <c:v>تاریخ: 1401/03/18
درصد پیشرفت برنامه ای: 76.9%
درصد پیشرفت واقعی: 61.03%</c:v>
                  </c:pt>
                  <c:pt idx="114">
                    <c:v>تاریخ: 1401/03/25
درصد پیشرفت برنامه ای: 77.4%
درصد پیشرفت واقعی: 61.46%</c:v>
                  </c:pt>
                  <c:pt idx="115">
                    <c:v>تاریخ: 1401/04/01
درصد پیشرفت برنامه ای: 77.9%
درصد پیشرفت واقعی: 61.46%</c:v>
                  </c:pt>
                  <c:pt idx="116">
                    <c:v>تاریخ: 1401/04/08
درصد پیشرفت برنامه ای: 78.4%
درصد پیشرفت واقعی: 61.46%</c:v>
                  </c:pt>
                  <c:pt idx="117">
                    <c:v>تاریخ: 1401/04/15
درصد پیشرفت برنامه ای: 78.9%
درصد پیشرفت واقعی: 61.96%</c:v>
                  </c:pt>
                  <c:pt idx="118">
                    <c:v>تاریخ: 1401/04/22
درصد پیشرفت برنامه ای: 79.4%
درصد پیشرفت واقعی: 62.46%</c:v>
                  </c:pt>
                  <c:pt idx="119">
                    <c:v>تاریخ: 1401/04/29
درصد پیشرفت برنامه ای: 79.9%
درصد پیشرفت واقعی: 62.95%</c:v>
                  </c:pt>
                  <c:pt idx="120">
                    <c:v>تاریخ: 1401/05/05
درصد پیشرفت برنامه ای: 80.4%
درصد پیشرفت واقعی: 63.45%</c:v>
                  </c:pt>
                  <c:pt idx="121">
                    <c:v>تاریخ: 1401/05/12
درصد پیشرفت برنامه ای: 80.9%
درصد پیشرفت واقعی: 63.94%</c:v>
                  </c:pt>
                  <c:pt idx="122">
                    <c:v>تاریخ: 1401/05/19
درصد پیشرفت برنامه ای: 81.5%
درصد پیشرفت واقعی: 64.54%</c:v>
                  </c:pt>
                  <c:pt idx="123">
                    <c:v>تاریخ: 1401/05/26
درصد پیشرفت برنامه ای: 82.1%
درصد پیشرفت واقعی: 65.13%</c:v>
                  </c:pt>
                  <c:pt idx="124">
                    <c:v>تاریخ: 1401/06/02
درصد پیشرفت برنامه ای: 82.7%
درصد پیشرفت واقعی: 65.73%</c:v>
                  </c:pt>
                  <c:pt idx="125">
                    <c:v>تاریخ: 1401/06/09
درصد پیشرفت برنامه ای: 83.3%
درصد پیشرفت واقعی: 66.32%</c:v>
                  </c:pt>
                  <c:pt idx="126">
                    <c:v>تاریخ: 1401/06/16
درصد پیشرفت برنامه ای: 83.9%
درصد پیشرفت واقعی: 66.32%</c:v>
                  </c:pt>
                  <c:pt idx="127">
                    <c:v>تاریخ: 1401/06/23
درصد پیشرفت برنامه ای: 84.5%
درصد پیشرفت واقعی: 66.32%</c:v>
                  </c:pt>
                  <c:pt idx="128">
                    <c:v>تاریخ: 1401/06/30
درصد پیشرفت برنامه ای: 85.1%
درصد پیشرفت واقعی: 66.32%</c:v>
                  </c:pt>
                  <c:pt idx="129">
                    <c:v>تاریخ: 1401/07/06
درصد پیشرفت برنامه ای: 85.7%
درصد پیشرفت واقعی: 66.32%</c:v>
                  </c:pt>
                  <c:pt idx="130">
                    <c:v>تاریخ: 1401/07/13
درصد پیشرفت برنامه ای: 86.3%
درصد پیشرفت واقعی: 66.93%</c:v>
                  </c:pt>
                  <c:pt idx="131">
                    <c:v>تاریخ: 1401/07/20
درصد پیشرفت برنامه ای: 86.9%
درصد پیشرفت واقعی: 67.55%</c:v>
                  </c:pt>
                  <c:pt idx="132">
                    <c:v>تاریخ: 1401/07/27
درصد پیشرفت برنامه ای: 87.5%
درصد پیشرفت واقعی: 68.16%</c:v>
                  </c:pt>
                  <c:pt idx="133">
                    <c:v>تاریخ: 1401/08/04
درصد پیشرفت برنامه ای: 88.1%
درصد پیشرفت واقعی: 68.77%</c:v>
                  </c:pt>
                  <c:pt idx="134">
                    <c:v>تاریخ: 1401/08/11
درصد پیشرفت برنامه ای: 88.7%
درصد پیشرفت واقعی: 69.38%</c:v>
                  </c:pt>
                  <c:pt idx="135">
                    <c:v>تاریخ: 1401/08/18
درصد پیشرفت برنامه ای: 89.4%
درصد پیشرفت واقعی: 70.1%</c:v>
                  </c:pt>
                  <c:pt idx="136">
                    <c:v>تاریخ: 1401/08/25
درصد پیشرفت برنامه ای: 90.1%
درصد پیشرفت واقعی: 70.81%</c:v>
                  </c:pt>
                  <c:pt idx="137">
                    <c:v>تاریخ: 1401/09/02
درصد پیشرفت برنامه ای: 90.8%
درصد پیشرفت واقعی: 71.53%</c:v>
                  </c:pt>
                  <c:pt idx="138">
                    <c:v>تاریخ: 1401/09/09
درصد پیشرفت برنامه ای: 91.5%
درصد پیشرفت واقعی: 72.24%</c:v>
                  </c:pt>
                  <c:pt idx="139">
                    <c:v>تاریخ: 1401/09/16
درصد پیشرفت برنامه ای: 92.2%
درصد پیشرفت واقعی: 73.03%</c:v>
                  </c:pt>
                  <c:pt idx="140">
                    <c:v>تاریخ: 1401/09/23
درصد پیشرفت برنامه ای: 92.9%
درصد پیشرفت واقعی: 73.81%</c:v>
                  </c:pt>
                  <c:pt idx="141">
                    <c:v>تاریخ: 1401/09/30
درصد پیشرفت برنامه ای: 93.1%
درصد پیشرفت واقعی: 74.04%</c:v>
                  </c:pt>
                  <c:pt idx="142">
                    <c:v>تاریخ: 1401/10/07
درصد پیشرفت برنامه ای: 93.3%
درصد پیشرفت واقعی: 74.26%</c:v>
                  </c:pt>
                  <c:pt idx="143">
                    <c:v>تاریخ: 1401/10/14
درصد پیشرفت برنامه ای: 93.5%
درصد پیشرفت واقعی: 74.48%</c:v>
                  </c:pt>
                  <c:pt idx="144">
                    <c:v>تاریخ: 1401/10/21
درصد پیشرفت برنامه ای: 93.7%
درصد پیشرفت واقعی: 74.71%</c:v>
                  </c:pt>
                  <c:pt idx="145">
                    <c:v>تاریخ: 1401/10/28
درصد پیشرفت برنامه ای: 93.9%
درصد پیشرفت واقعی: 74.95%</c:v>
                  </c:pt>
                  <c:pt idx="146">
                    <c:v>تاریخ: 1401/11/05
درصد پیشرفت برنامه ای: 94.1%
درصد پیشرفت واقعی: 75.2%</c:v>
                  </c:pt>
                  <c:pt idx="147">
                    <c:v>تاریخ: 1401/11/12
درصد پیشرفت برنامه ای: 94.3%
درصد پیشرفت واقعی: 75.44%</c:v>
                  </c:pt>
                  <c:pt idx="148">
                    <c:v>تاریخ: 1401/11/19
درصد پیشرفت برنامه ای: 94.5%
درصد پیشرفت واقعی: 75.44%</c:v>
                  </c:pt>
                  <c:pt idx="149">
                    <c:v>تاریخ: 1401/11/26
درصد پیشرفت برنامه ای: 94.7%
درصد پیشرفت واقعی: 75.44%</c:v>
                  </c:pt>
                  <c:pt idx="150">
                    <c:v>تاریخ: 1401/12/03
درصد پیشرفت برنامه ای: 94.9%
درصد پیشرفت واقعی: 75.68%</c:v>
                  </c:pt>
                  <c:pt idx="151">
                    <c:v>تاریخ: 1401/12/10
درصد پیشرفت برنامه ای: 95.04%
درصد پیشرفت واقعی: 75.86%</c:v>
                  </c:pt>
                  <c:pt idx="152">
                    <c:v>تاریخ: 1401/12/17
درصد پیشرفت برنامه ای: 95.28%
درصد پیشرفت واقعی: 76.15%</c:v>
                  </c:pt>
                  <c:pt idx="153">
                    <c:v>تاریخ: 1401/12/24
درصد پیشرفت برنامه ای: 95.52%
درصد پیشرفت واقعی: 76.44%</c:v>
                  </c:pt>
                  <c:pt idx="154">
                    <c:v>تاریخ: 1402/01/02
درصد پیشرفت برنامه ای: 95.76%
درصد پیشرفت واقعی: 76.76%</c:v>
                  </c:pt>
                  <c:pt idx="155">
                    <c:v>تاریخ: 1402/01/09
درصد پیشرفت برنامه ای: 96%
درصد پیشرفت واقعی: 77.08%</c:v>
                  </c:pt>
                  <c:pt idx="156">
                    <c:v>تاریخ: 1402/01/16
درصد پیشرفت برنامه ای: 96.24%
درصد پیشرفت واقعی: 77.39%</c:v>
                  </c:pt>
                  <c:pt idx="157">
                    <c:v>تاریخ: 1402/01/23
درصد پیشرفت برنامه ای: 96.48%
درصد پیشرفت واقعی: 77.71%</c:v>
                  </c:pt>
                  <c:pt idx="158">
                    <c:v>تاریخ: 1402/01/30
درصد پیشرفت برنامه ای: 96.72%
درصد پیشرفت واقعی: 78.03%</c:v>
                  </c:pt>
                  <c:pt idx="159">
                    <c:v>تاریخ: 1402/02/06
درصد پیشرفت برنامه ای: 96.96%
درصد پیشرفت واقعی: 78.34%</c:v>
                  </c:pt>
                  <c:pt idx="160">
                    <c:v>تاریخ: 1402/02/13
درصد پیشرفت برنامه ای: 97.2%
درصد پیشرفت واقعی: 78.66%</c:v>
                  </c:pt>
                  <c:pt idx="161">
                    <c:v>تاریخ: 1402/02/20
درصد پیشرفت برنامه ای: 97.44%
درصد پیشرفت واقعی: 78.93%</c:v>
                  </c:pt>
                  <c:pt idx="162">
                    <c:v>تاریخ: 1402/02/27
درصد پیشرفت برنامه ای: 97.68%
درصد پیشرفت واقعی: 79.2%</c:v>
                  </c:pt>
                  <c:pt idx="163">
                    <c:v>تاریخ: 1402/03/03
درصد پیشرفت برنامه ای: 97.82%
درصد پیشرفت واقعی: 79.36%</c:v>
                  </c:pt>
                  <c:pt idx="164">
                    <c:v>تاریخ: 1402/03/10
درصد پیشرفت برنامه ای: 97.96%
درصد پیشرفت واقعی: 79.36%</c:v>
                  </c:pt>
                  <c:pt idx="165">
                    <c:v>تاریخ: 1402/03/17
درصد پیشرفت برنامه ای: 98.1%
درصد پیشرفت واقعی: 79.36%</c:v>
                  </c:pt>
                  <c:pt idx="166">
                    <c:v>تاریخ: 1402/03/24
درصد پیشرفت برنامه ای: 98.24%
درصد پیشرفت واقعی: 79.51%</c:v>
                  </c:pt>
                  <c:pt idx="167">
                    <c:v>تاریخ: 1402/03/31
درصد پیشرفت برنامه ای: 98.38%
درصد پیشرفت واقعی: 79.67%</c:v>
                  </c:pt>
                  <c:pt idx="168">
                    <c:v>تاریخ: 1402/04/07
درصد پیشرفت برنامه ای: 98.52%
درصد پیشرفت واقعی: 79.83%</c:v>
                  </c:pt>
                  <c:pt idx="169">
                    <c:v>تاریخ: 1402/04/14
درصد پیشرفت برنامه ای: 98.66%
درصد پیشرفت واقعی: 79.98%</c:v>
                  </c:pt>
                  <c:pt idx="170">
                    <c:v>تاریخ: 1402/04/21
درصد پیشرفت برنامه ای: 98.8%
درصد پیشرفت واقعی: 80.14%</c:v>
                  </c:pt>
                  <c:pt idx="171">
                    <c:v>تاریخ: 1402/04/28
درصد پیشرفت برنامه ای: 98.94%
درصد پیشرفت واقعی: 80.31%</c:v>
                  </c:pt>
                  <c:pt idx="172">
                    <c:v>تاریخ: 1402/05/04
درصد پیشرفت برنامه ای: 99.08%
درصد پیشرفت واقعی: 80.48%</c:v>
                  </c:pt>
                  <c:pt idx="173">
                    <c:v>تاریخ: 1402/05/11
درصد پیشرفت برنامه ای: 99.22%
درصد پیشرفت واقعی: 80.65%</c:v>
                  </c:pt>
                  <c:pt idx="174">
                    <c:v>تاریخ: 1402/05/18
درصد پیشرفت برنامه ای: 99.36%
درصد پیشرفت واقعی: 80.82%</c:v>
                  </c:pt>
                  <c:pt idx="175">
                    <c:v>تاریخ: 1402/05/25
درصد پیشرفت برنامه ای: 99.5%
درصد پیشرفت واقعی: 80.99%</c:v>
                  </c:pt>
                  <c:pt idx="176">
                    <c:v>تاریخ: 1402/06/01
درصد پیشرفت برنامه ای: 99.64%
درصد پیشرفت واقعی: 81.16%</c:v>
                  </c:pt>
                  <c:pt idx="177">
                    <c:v>تاریخ: 1402/06/08
درصد پیشرفت برنامه ای: 99.78%
درصد پیشرفت واقعی: 81.33%</c:v>
                  </c:pt>
                  <c:pt idx="178">
                    <c:v>تاریخ: 1402/06/15
درصد پیشرفت برنامه ای: 99.92%
درصد پیشرفت واقعی: 81.33%</c:v>
                  </c:pt>
                  <c:pt idx="179">
                    <c:v>تاریخ: 1402/06/22
درصد پیشرفت برنامه ای: 100%
درصد پیشرفت واقعی: 81.33%</c:v>
                  </c:pt>
                  <c:pt idx="180">
                    <c:v>تاریخ: 1402/06/29
درصد پیشرفت برنامه ای: 100%
درصد پیشرفت واقعی: 81.6%</c:v>
                  </c:pt>
                  <c:pt idx="181">
                    <c:v>تاریخ: 1402/07/05
درصد پیشرفت برنامه ای: 100%
درصد پیشرفت واقعی: 81.87%</c:v>
                  </c:pt>
                  <c:pt idx="182">
                    <c:v>تاریخ: 1402/07/12
درصد پیشرفت برنامه ای: 100%
درصد پیشرفت واقعی: 82.14%</c:v>
                  </c:pt>
                  <c:pt idx="183">
                    <c:v>تاریخ: 1402/07/19
درصد پیشرفت برنامه ای: 100%
درصد پیشرفت واقعی: 82.41%</c:v>
                  </c:pt>
                  <c:pt idx="184">
                    <c:v>تاریخ: 1402/07/26
درصد پیشرفت برنامه ای: 100%
درصد پیشرفت واقعی: 82.68%</c:v>
                  </c:pt>
                  <c:pt idx="185">
                    <c:v>تاریخ: 1402/08/03
درصد پیشرفت برنامه ای: 100%
درصد پیشرفت واقعی: 82.95%</c:v>
                  </c:pt>
                  <c:pt idx="186">
                    <c:v>تاریخ: 1402/08/10
درصد پیشرفت برنامه ای: 100%
درصد پیشرفت واقعی: 83.23%</c:v>
                  </c:pt>
                  <c:pt idx="187">
                    <c:v>تاریخ: 1402/08/17
درصد پیشرفت برنامه ای: 100%
درصد پیشرفت واقعی: 83.5%</c:v>
                  </c:pt>
                  <c:pt idx="188">
                    <c:v>تاریخ: 1402/08/24
درصد پیشرفت برنامه ای: 100%
درصد پیشرفت واقعی: 83.78%</c:v>
                  </c:pt>
                  <c:pt idx="189">
                    <c:v>تاریخ: 1402/09/01
درصد پیشرفت برنامه ای: 100%
درصد پیشرفت واقعی: 84.05%</c:v>
                  </c:pt>
                  <c:pt idx="190">
                    <c:v>تاریخ: 1402/09/08
درصد پیشرفت برنامه ای: 100%
درصد پیشرفت واقعی: 84.33%</c:v>
                  </c:pt>
                  <c:pt idx="191">
                    <c:v>تاریخ: 1402/09/15
درصد پیشرفت برنامه ای: 100%
درصد پیشرفت واقعی: 84.61%</c:v>
                  </c:pt>
                  <c:pt idx="192">
                    <c:v>تاریخ: 1402/09/22
درصد پیشرفت برنامه ای: 100%
درصد پیشرفت واقعی: 84.89%</c:v>
                  </c:pt>
                  <c:pt idx="193">
                    <c:v>تاریخ: 1402/09/29
درصد پیشرفت برنامه ای: 100%
درصد پیشرفت واقعی: 84.89%</c:v>
                  </c:pt>
                  <c:pt idx="194">
                    <c:v>تاریخ: 1402/10/06
درصد پیشرفت برنامه ای: 100%
درصد پیشرفت واقعی: 84.89%</c:v>
                  </c:pt>
                  <c:pt idx="195">
                    <c:v>تاریخ: 1402/10/13
درصد پیشرفت برنامه ای: 100%
درصد پیشرفت واقعی: 85.17%</c:v>
                  </c:pt>
                  <c:pt idx="196">
                    <c:v>تاریخ: 1402/10/20
درصد پیشرفت برنامه ای: 100%
درصد پیشرفت واقعی: 85.45%</c:v>
                  </c:pt>
                  <c:pt idx="197">
                    <c:v>تاریخ: 1402/10/27
درصد پیشرفت برنامه ای: 100%
درصد پیشرفت واقعی: 85.73%</c:v>
                  </c:pt>
                  <c:pt idx="198">
                    <c:v>تاریخ: 1402/11/04
درصد پیشرفت برنامه ای: 100%
درصد پیشرفت واقعی: 86.01%</c:v>
                  </c:pt>
                  <c:pt idx="199">
                    <c:v>تاریخ: 1402/11/11
درصد پیشرفت برنامه ای: 100%
درصد پیشرفت واقعی: 86.3%</c:v>
                  </c:pt>
                  <c:pt idx="200">
                    <c:v>تاریخ: 1402/11/18
درصد پیشرفت برنامه ای: 100%
درصد پیشرفت واقعی: 86.58%</c:v>
                  </c:pt>
                  <c:pt idx="201">
                    <c:v>تاریخ: 1402/11/25
درصد پیشرفت برنامه ای: 100%
درصد پیشرفت واقعی: 86.87%</c:v>
                  </c:pt>
                  <c:pt idx="202">
                    <c:v>تاریخ: 1402/12/02
درصد پیشرفت برنامه ای: 100%
درصد پیشرفت واقعی: 87.15%</c:v>
                  </c:pt>
                  <c:pt idx="203">
                    <c:v>تاریخ: 1402/12/09
درصد پیشرفت برنامه ای: 100%
درصد پیشرفت واقعی: 87.44%</c:v>
                  </c:pt>
                  <c:pt idx="204">
                    <c:v>تاریخ: 1402/12/16
درصد پیشرفت برنامه ای: 100%
درصد پیشرفت واقعی: 87.73%</c:v>
                  </c:pt>
                  <c:pt idx="205">
                    <c:v>تاریخ: 1402/12/23
درصد پیشرفت برنامه ای: 100%
درصد پیشرفت واقعی: 88.02%</c:v>
                  </c:pt>
                  <c:pt idx="206">
                    <c:v>تاریخ: 1403/01/01
درصد پیشرفت برنامه ای: 100%
درصد پیشرفت واقعی: 88.31%</c:v>
                  </c:pt>
                  <c:pt idx="207">
                    <c:v>تاریخ: 1403/01/08
درصد پیشرفت برنامه ای: 100%
درصد پیشرفت واقعی: 88.6%</c:v>
                  </c:pt>
                  <c:pt idx="208">
                    <c:v>تاریخ: 1403/01/15
درصد پیشرفت برنامه ای: 100%
درصد پیشرفت واقعی: 88.89%</c:v>
                  </c:pt>
                  <c:pt idx="209">
                    <c:v>تاریخ: 1403/01/22
درصد پیشرفت برنامه ای: 100%
درصد پیشرفت واقعی: 89.19%</c:v>
                  </c:pt>
                  <c:pt idx="210">
                    <c:v>تاریخ: 1403/01/29
درصد پیشرفت برنامه ای: 100%
درصد پیشرفت واقعی: 89.48%</c:v>
                  </c:pt>
                  <c:pt idx="211">
                    <c:v>تاریخ: 1403/02/05
درصد پیشرفت برنامه ای: 100%
درصد پیشرفت واقعی: 89.78%</c:v>
                  </c:pt>
                  <c:pt idx="212">
                    <c:v>تاریخ: 1403/02/12
درصد پیشرفت برنامه ای: 100%
درصد پیشرفت واقعی: 90.07%</c:v>
                  </c:pt>
                  <c:pt idx="213">
                    <c:v>تاریخ: 1403/02/19
درصد پیشرفت برنامه ای: 100%
درصد پیشرفت واقعی: 90.37%</c:v>
                  </c:pt>
                  <c:pt idx="214">
                    <c:v>تاریخ: 1403/02/26
درصد پیشرفت برنامه ای: 100%
درصد پیشرفت واقعی: 90.37%</c:v>
                  </c:pt>
                  <c:pt idx="215">
                    <c:v>تاریخ: 1403/03/02
درصد پیشرفت برنامه ای: 100%
درصد پیشرفت واقعی: 90.37%</c:v>
                  </c:pt>
                  <c:pt idx="216">
                    <c:v>تاریخ: 1403/03/09
درصد پیشرفت برنامه ای: 100%
درصد پیشرفت واقعی: 90.37%</c:v>
                  </c:pt>
                  <c:pt idx="217">
                    <c:v>تاریخ: 1403/03/16
درصد پیشرفت برنامه ای: 100%
درصد پیشرفت واقعی: 90.37%</c:v>
                  </c:pt>
                  <c:pt idx="218">
                    <c:v>تاریخ: 1403/03/23
درصد پیشرفت برنامه ای: 100%
درصد پیشرفت واقعی: 90.37%</c:v>
                  </c:pt>
                  <c:pt idx="219">
                    <c:v>تاریخ: 1403/03/30
درصد پیشرفت برنامه ای: 100%
درصد پیشرفت واقعی: 90.37%</c:v>
                  </c:pt>
                  <c:pt idx="220">
                    <c:v>تاریخ: 1403/04/06
درصد پیشرفت برنامه ای: 100%
درصد پیشرفت واقعی: 90.67%</c:v>
                  </c:pt>
                  <c:pt idx="221">
                    <c:v>تاریخ: 1403/04/13
درصد پیشرفت برنامه ای: 100%
درصد پیشرفت واقعی: 90.97%</c:v>
                  </c:pt>
                  <c:pt idx="222">
                    <c:v>تاریخ: 1403/04/20
درصد پیشرفت برنامه ای: 100%
درصد پیشرفت واقعی: 91.27%</c:v>
                  </c:pt>
                  <c:pt idx="223">
                    <c:v>تاریخ: 1403/04/27
درصد پیشرفت برنامه ای: 100%
درصد پیشرفت واقعی: 91.57%</c:v>
                  </c:pt>
                  <c:pt idx="224">
                    <c:v>تاریخ: 1403/05/03
درصد پیشرفت برنامه ای: 100%
درصد پیشرفت واقعی: 91.87%</c:v>
                  </c:pt>
                  <c:pt idx="225">
                    <c:v>تاریخ: 1403/05/10
درصد پیشرفت برنامه ای: 100%
درصد پیشرفت واقعی: 92.17%</c:v>
                  </c:pt>
                  <c:pt idx="226">
                    <c:v>تاریخ: 1403/05/17
درصد پیشرفت برنامه ای: 100%
درصد پیشرفت واقعی: 92.48%</c:v>
                  </c:pt>
                  <c:pt idx="227">
                    <c:v>تاریخ: 1403/05/24
درصد پیشرفت برنامه ای: 100%
درصد پیشرفت واقعی: 92.78%</c:v>
                  </c:pt>
                  <c:pt idx="228">
                    <c:v>تاریخ: 1403/05/31
درصد پیشرفت برنامه ای: 100%
درصد پیشرفت واقعی: 93.09%</c:v>
                  </c:pt>
                  <c:pt idx="229">
                    <c:v>تاریخ: 1403/06/07
درصد پیشرفت برنامه ای: 100%
درصد پیشرفت واقعی: 93.4%</c:v>
                  </c:pt>
                  <c:pt idx="230">
                    <c:v>تاریخ: 1403/06/14
درصد پیشرفت برنامه ای: 100%
درصد پیشرفت واقعی: 93.71%</c:v>
                  </c:pt>
                  <c:pt idx="231">
                    <c:v>تاریخ: 1403/06/21
درصد پیشرفت برنامه ای: 100%
درصد پیشرفت واقعی: 94.01%</c:v>
                  </c:pt>
                  <c:pt idx="232">
                    <c:v>تاریخ: 1403/06/28
درصد پیشرفت برنامه ای: 100%
درصد پیشرفت واقعی: 94.32%</c:v>
                  </c:pt>
                  <c:pt idx="233">
                    <c:v>تاریخ: 1403/07/04
درصد پیشرفت برنامه ای: 100%
درصد پیشرفت واقعی: 94.64%</c:v>
                  </c:pt>
                  <c:pt idx="234">
                    <c:v>تاریخ: 1403/07/11
درصد پیشرفت برنامه ای: 100%
درصد پیشرفت واقعی: 94.95%</c:v>
                  </c:pt>
                  <c:pt idx="235">
                    <c:v>تاریخ: 1403/07/18
درصد پیشرفت برنامه ای: 100%
درصد پیشرفت واقعی: 95.26%</c:v>
                  </c:pt>
                  <c:pt idx="236">
                    <c:v>تاریخ: 1403/07/25
درصد پیشرفت برنامه ای: 100%
درصد پیشرفت واقعی: 95.58%</c:v>
                  </c:pt>
                  <c:pt idx="237">
                    <c:v>تاریخ: 1403/08/02
درصد پیشرفت برنامه ای: 100%
درصد پیشرفت واقعی: 95.89%</c:v>
                  </c:pt>
                  <c:pt idx="238">
                    <c:v>تاریخ: 1403/08/09
درصد پیشرفت برنامه ای: 100%
درصد پیشرفت واقعی: 96.21%</c:v>
                  </c:pt>
                  <c:pt idx="239">
                    <c:v>تاریخ: 1403/08/16
درصد پیشرفت برنامه ای: 100%
درصد پیشرفت واقعی: 96.53%</c:v>
                  </c:pt>
                  <c:pt idx="240">
                    <c:v>تاریخ: 1403/08/23
درصد پیشرفت برنامه ای: 100%
درصد پیشرفت واقعی: 96.84%</c:v>
                  </c:pt>
                  <c:pt idx="241">
                    <c:v>تاریخ: 1403/08/30
درصد پیشرفت برنامه ای: 100%
درصد پیشرفت واقعی: 97.16%</c:v>
                  </c:pt>
                  <c:pt idx="242">
                    <c:v>تاریخ: 1403/09/07
درصد پیشرفت برنامه ای: 100%
درصد پیشرفت واقعی: 97.48%</c:v>
                  </c:pt>
                  <c:pt idx="243">
                    <c:v>تاریخ: 1403/09/14
درصد پیشرفت برنامه ای: 100%
درصد پیشرفت واقعی: 97.81%</c:v>
                  </c:pt>
                  <c:pt idx="244">
                    <c:v>تاریخ: 1403/09/21
درصد پیشرفت برنامه ای: 100%
درصد پیشرفت واقعی: 98.13%</c:v>
                  </c:pt>
                  <c:pt idx="245">
                    <c:v>تاریخ: 1403/09/28
درصد پیشرفت برنامه ای: 100%
درصد پیشرفت واقعی: 98.45%</c:v>
                  </c:pt>
                  <c:pt idx="246">
                    <c:v>تاریخ: 1403/10/05
درصد پیشرفت برنامه ای: 100%
درصد پیشرفت واقعی: 98.78%</c:v>
                  </c:pt>
                  <c:pt idx="247">
                    <c:v>تاریخ: 1403/10/12
درصد پیشرفت برنامه ای: 100%
درصد پیشرفت واقعی: 98.78%</c:v>
                  </c:pt>
                  <c:pt idx="248">
                    <c:v>تاریخ: 1403/10/19
درصد پیشرفت برنامه ای: 100%
درصد پیشرفت واقعی: 98.78%</c:v>
                  </c:pt>
                  <c:pt idx="249">
                    <c:v>تاریخ: 1403/10/26
درصد پیشرفت برنامه ای: 100%
درصد پیشرفت واقعی: 98.78%</c:v>
                  </c:pt>
                  <c:pt idx="250">
                    <c:v>تاریخ: 1403/11/03
درصد پیشرفت برنامه ای: 100%
درصد پیشرفت واقعی: 98.78%</c:v>
                  </c:pt>
                  <c:pt idx="251">
                    <c:v>تاریخ: 1403/11/10
درصد پیشرفت برنامه ای: 100%
درصد پیشرفت واقعی: 98.78%</c:v>
                  </c:pt>
                  <c:pt idx="252">
                    <c:v>تاریخ: 1403/11/17
درصد پیشرفت برنامه ای: 100%
درصد پیشرفت واقعی: 98.78%</c:v>
                  </c:pt>
                  <c:pt idx="253">
                    <c:v>تاریخ: 1403/11/24
درصد پیشرفت برنامه ای: 100%
درصد پیشرفت واقعی: 98.78%</c:v>
                  </c:pt>
                  <c:pt idx="254">
                    <c:v>تاریخ: 1403/12/01
درصد پیشرفت برنامه ای: 100%
درصد پیشرفت واقعی: 98.78%</c:v>
                  </c:pt>
                  <c:pt idx="255">
                    <c:v>تاریخ: 1403/12/08
درصد پیشرفت برنامه ای: 100%
درصد پیشرفت واقعی: 98.78%</c:v>
                  </c:pt>
                  <c:pt idx="256">
                    <c:v>تاریخ: 1403/12/15
درصد پیشرفت برنامه ای: 100%
درصد پیشرفت واقعی: 99.1%</c:v>
                  </c:pt>
                  <c:pt idx="257">
                    <c:v>تاریخ: 1403/12/22
درصد پیشرفت برنامه ای: 100%
درصد پیشرفت واقعی: 99.43%</c:v>
                  </c:pt>
                  <c:pt idx="258">
                    <c:v>تاریخ: 1403/12/29
درصد پیشرفت برنامه ای: 100%
درصد پیشرفت واقعی: 99.76%</c:v>
                  </c:pt>
                  <c:pt idx="259">
                    <c:v>تاریخ: 1404/01/06
درصد پیشرفت برنامه ای: 100%
درصد پیشرفت واقعی: 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5308-4BEC-875E-FA320CA3A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6967119"/>
        <c:axId val="1436960879"/>
      </c:lineChart>
      <c:catAx>
        <c:axId val="143696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azir Light FD" pitchFamily="2" charset="-78"/>
                <a:ea typeface="+mn-ea"/>
                <a:cs typeface="Vazir Light FD" pitchFamily="2" charset="-78"/>
              </a:defRPr>
            </a:pPr>
            <a:endParaRPr lang="en-US"/>
          </a:p>
        </c:txPr>
        <c:crossAx val="1436960879"/>
        <c:crosses val="autoZero"/>
        <c:auto val="1"/>
        <c:lblAlgn val="ctr"/>
        <c:lblOffset val="100"/>
        <c:noMultiLvlLbl val="0"/>
      </c:catAx>
      <c:valAx>
        <c:axId val="1436960879"/>
        <c:scaling>
          <c:orientation val="minMax"/>
          <c:max val="1.05"/>
          <c:min val="0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azir Light FD" pitchFamily="2" charset="-78"/>
                <a:ea typeface="+mn-ea"/>
                <a:cs typeface="Vazir Light FD" pitchFamily="2" charset="-78"/>
              </a:defRPr>
            </a:pPr>
            <a:endParaRPr lang="en-US"/>
          </a:p>
        </c:txPr>
        <c:crossAx val="143696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7AB2D3"/>
    </a:solidFill>
    <a:ln w="50800" cap="flat" cmpd="sng" algn="ctr">
      <a:solidFill>
        <a:srgbClr val="7AB2D3"/>
      </a:solidFill>
      <a:beve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A628A"/>
              </a:solidFill>
              <a:ln w="19050">
                <a:solidFill>
                  <a:srgbClr val="4A628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07-4C58-B8B2-16C132BE8B3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07-4C58-B8B2-16C132BE8B3C}"/>
              </c:ext>
            </c:extLst>
          </c:dPt>
          <c:dPt>
            <c:idx val="2"/>
            <c:bubble3D val="0"/>
            <c:spPr>
              <a:solidFill>
                <a:srgbClr val="4A628A">
                  <a:alpha val="50000"/>
                </a:srgbClr>
              </a:solidFill>
              <a:ln w="19050">
                <a:solidFill>
                  <a:srgbClr val="4A628A">
                    <a:alpha val="49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07-4C58-B8B2-16C132BE8B3C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107-4C58-B8B2-16C132BE8B3C}"/>
              </c:ext>
            </c:extLst>
          </c:dPt>
          <c:val>
            <c:numRef>
              <c:f>Dashboard!$H$26:$H$29</c:f>
              <c:numCache>
                <c:formatCode>General</c:formatCode>
                <c:ptCount val="4"/>
                <c:pt idx="0">
                  <c:v>270.00000000000017</c:v>
                </c:pt>
                <c:pt idx="1">
                  <c:v>5</c:v>
                </c:pt>
                <c:pt idx="2">
                  <c:v>-5.0000000000001705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D-40B2-A1A9-B6B6A715E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24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A628A"/>
              </a:solidFill>
              <a:ln w="19050">
                <a:solidFill>
                  <a:srgbClr val="4A628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07-4C58-B8B2-16C132BE8B3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07-4C58-B8B2-16C132BE8B3C}"/>
              </c:ext>
            </c:extLst>
          </c:dPt>
          <c:dPt>
            <c:idx val="2"/>
            <c:bubble3D val="0"/>
            <c:spPr>
              <a:solidFill>
                <a:srgbClr val="4A628A">
                  <a:alpha val="50000"/>
                </a:srgbClr>
              </a:solidFill>
              <a:ln w="19050">
                <a:solidFill>
                  <a:srgbClr val="4A628A">
                    <a:alpha val="49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07-4C58-B8B2-16C132BE8B3C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107-4C58-B8B2-16C132BE8B3C}"/>
              </c:ext>
            </c:extLst>
          </c:dPt>
          <c:val>
            <c:numRef>
              <c:f>Dashboard!$B$26:$B$29</c:f>
              <c:numCache>
                <c:formatCode>General</c:formatCode>
                <c:ptCount val="4"/>
                <c:pt idx="0">
                  <c:v>270</c:v>
                </c:pt>
                <c:pt idx="1">
                  <c:v>5</c:v>
                </c:pt>
                <c:pt idx="2">
                  <c:v>-5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D-40B2-A1A9-B6B6A715E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24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A628A"/>
              </a:solidFill>
              <a:ln w="19050">
                <a:solidFill>
                  <a:srgbClr val="4A628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07-4C58-B8B2-16C132BE8B3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07-4C58-B8B2-16C132BE8B3C}"/>
              </c:ext>
            </c:extLst>
          </c:dPt>
          <c:dPt>
            <c:idx val="2"/>
            <c:bubble3D val="0"/>
            <c:spPr>
              <a:solidFill>
                <a:srgbClr val="4A628A">
                  <a:alpha val="50000"/>
                </a:srgbClr>
              </a:solidFill>
              <a:ln w="19050">
                <a:solidFill>
                  <a:srgbClr val="4A628A">
                    <a:alpha val="49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07-4C58-B8B2-16C132BE8B3C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107-4C58-B8B2-16C132BE8B3C}"/>
              </c:ext>
            </c:extLst>
          </c:dPt>
          <c:val>
            <c:numRef>
              <c:f>Dashboard!$F$26:$F$29</c:f>
              <c:numCache>
                <c:formatCode>General</c:formatCode>
                <c:ptCount val="4"/>
                <c:pt idx="0">
                  <c:v>270.00000000000017</c:v>
                </c:pt>
                <c:pt idx="1">
                  <c:v>5</c:v>
                </c:pt>
                <c:pt idx="2">
                  <c:v>-5.0000000000001705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D-40B2-A1A9-B6B6A715E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24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A628A"/>
              </a:solidFill>
              <a:ln w="19050">
                <a:solidFill>
                  <a:srgbClr val="4A628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07-4C58-B8B2-16C132BE8B3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07-4C58-B8B2-16C132BE8B3C}"/>
              </c:ext>
            </c:extLst>
          </c:dPt>
          <c:dPt>
            <c:idx val="2"/>
            <c:bubble3D val="0"/>
            <c:spPr>
              <a:solidFill>
                <a:srgbClr val="4A628A">
                  <a:alpha val="50000"/>
                </a:srgbClr>
              </a:solidFill>
              <a:ln w="19050">
                <a:solidFill>
                  <a:srgbClr val="4A628A">
                    <a:alpha val="49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07-4C58-B8B2-16C132BE8B3C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107-4C58-B8B2-16C132BE8B3C}"/>
              </c:ext>
            </c:extLst>
          </c:dPt>
          <c:val>
            <c:numRef>
              <c:f>Dashboard!$J$26:$J$29</c:f>
              <c:numCache>
                <c:formatCode>General</c:formatCode>
                <c:ptCount val="4"/>
                <c:pt idx="0">
                  <c:v>270.00000000000017</c:v>
                </c:pt>
                <c:pt idx="1">
                  <c:v>5</c:v>
                </c:pt>
                <c:pt idx="2">
                  <c:v>-5.0000000000001705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D-40B2-A1A9-B6B6A715E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24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A628A"/>
              </a:solidFill>
              <a:ln w="19050">
                <a:solidFill>
                  <a:srgbClr val="4A628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07-4C58-B8B2-16C132BE8B3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07-4C58-B8B2-16C132BE8B3C}"/>
              </c:ext>
            </c:extLst>
          </c:dPt>
          <c:dPt>
            <c:idx val="2"/>
            <c:bubble3D val="0"/>
            <c:spPr>
              <a:solidFill>
                <a:srgbClr val="4A628A">
                  <a:alpha val="50000"/>
                </a:srgbClr>
              </a:solidFill>
              <a:ln w="19050">
                <a:solidFill>
                  <a:srgbClr val="4A628A">
                    <a:alpha val="49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07-4C58-B8B2-16C132BE8B3C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107-4C58-B8B2-16C132BE8B3C}"/>
              </c:ext>
            </c:extLst>
          </c:dPt>
          <c:val>
            <c:numRef>
              <c:f>Dashboard!$L$26:$L$29</c:f>
              <c:numCache>
                <c:formatCode>General</c:formatCode>
                <c:ptCount val="4"/>
                <c:pt idx="0">
                  <c:v>270.00000000000017</c:v>
                </c:pt>
                <c:pt idx="1">
                  <c:v>5</c:v>
                </c:pt>
                <c:pt idx="2">
                  <c:v>-5.0000000000001705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D-40B2-A1A9-B6B6A715E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24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1"/>
          <c:dPt>
            <c:idx val="0"/>
            <c:bubble3D val="0"/>
            <c:spPr>
              <a:solidFill>
                <a:srgbClr val="4A628A"/>
              </a:solidFill>
              <a:ln w="19050">
                <a:solidFill>
                  <a:srgbClr val="4A628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154-4C64-9C63-55D9BB768D7D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2154-4C64-9C63-55D9BB768D7D}"/>
              </c:ext>
            </c:extLst>
          </c:dPt>
          <c:dPt>
            <c:idx val="2"/>
            <c:bubble3D val="0"/>
            <c:spPr>
              <a:solidFill>
                <a:srgbClr val="4A628A">
                  <a:alpha val="50000"/>
                </a:srgbClr>
              </a:solidFill>
              <a:ln w="19050">
                <a:solidFill>
                  <a:srgbClr val="4A628A">
                    <a:alpha val="49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2154-4C64-9C63-55D9BB768D7D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2154-4C64-9C63-55D9BB768D7D}"/>
              </c:ext>
            </c:extLst>
          </c:dPt>
          <c:val>
            <c:numRef>
              <c:f>Dashboard!$N$26:$N$29</c:f>
              <c:numCache>
                <c:formatCode>General</c:formatCode>
                <c:ptCount val="4"/>
                <c:pt idx="0">
                  <c:v>270.00000000000017</c:v>
                </c:pt>
                <c:pt idx="1">
                  <c:v>5</c:v>
                </c:pt>
                <c:pt idx="2">
                  <c:v>-5.0000000000001705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154-4C64-9C63-55D9BB768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24"/>
        <c:holeSize val="75"/>
        <c:extLst>
          <c:ext xmlns:c15="http://schemas.microsoft.com/office/drawing/2012/chart" uri="{02D57815-91ED-43cb-92C2-25804820EDAC}">
            <c15:filteredPieSeries>
              <c15:ser>
                <c:idx val="1"/>
                <c:order val="0"/>
                <c:dPt>
                  <c:idx val="0"/>
                  <c:bubble3D val="0"/>
                  <c:spPr>
                    <a:solidFill>
                      <a:srgbClr val="4A628A"/>
                    </a:solidFill>
                    <a:ln>
                      <a:solidFill>
                        <a:srgbClr val="4A628A"/>
                      </a:solidFill>
                    </a:ln>
                  </c:spPr>
                  <c:extLst>
                    <c:ext xmlns:c16="http://schemas.microsoft.com/office/drawing/2014/chart" uri="{C3380CC4-5D6E-409C-BE32-E72D297353CC}">
                      <c16:uniqueId val="{00000013-2154-4C64-9C63-55D9BB768D7D}"/>
                    </c:ext>
                  </c:extLst>
                </c:dPt>
                <c:dPt>
                  <c:idx val="1"/>
                  <c:bubble3D val="0"/>
                  <c:spPr>
                    <a:solidFill>
                      <a:srgbClr val="FF0000"/>
                    </a:solidFill>
                  </c:spPr>
                  <c:extLst>
                    <c:ext xmlns:c16="http://schemas.microsoft.com/office/drawing/2014/chart" uri="{C3380CC4-5D6E-409C-BE32-E72D297353CC}">
                      <c16:uniqueId val="{00000014-2154-4C64-9C63-55D9BB768D7D}"/>
                    </c:ext>
                  </c:extLst>
                </c:dPt>
                <c:dPt>
                  <c:idx val="2"/>
                  <c:bubble3D val="0"/>
                  <c:spPr>
                    <a:solidFill>
                      <a:srgbClr val="4A628A">
                        <a:alpha val="50000"/>
                      </a:srgbClr>
                    </a:solidFill>
                    <a:ln>
                      <a:solidFill>
                        <a:srgbClr val="4A628A">
                          <a:alpha val="49000"/>
                        </a:srgbClr>
                      </a:solidFill>
                    </a:ln>
                  </c:spPr>
                  <c:extLst>
                    <c:ext xmlns:c16="http://schemas.microsoft.com/office/drawing/2014/chart" uri="{C3380CC4-5D6E-409C-BE32-E72D297353CC}">
                      <c16:uniqueId val="{00000015-2154-4C64-9C63-55D9BB768D7D}"/>
                    </c:ext>
                  </c:extLst>
                </c:dPt>
                <c:dPt>
                  <c:idx val="3"/>
                  <c:bubble3D val="0"/>
                  <c:spPr>
                    <a:noFill/>
                    <a:ln>
                      <a:noFill/>
                    </a:ln>
                  </c:spPr>
                  <c:extLst>
                    <c:ext xmlns:c16="http://schemas.microsoft.com/office/drawing/2014/chart" uri="{C3380CC4-5D6E-409C-BE32-E72D297353CC}">
                      <c16:uniqueId val="{00000016-2154-4C64-9C63-55D9BB768D7D}"/>
                    </c:ext>
                  </c:extLst>
                </c:dPt>
                <c:val>
                  <c:numRef>
                    <c:extLst>
                      <c:ext uri="{02D57815-91ED-43cb-92C2-25804820EDAC}">
                        <c15:formulaRef>
                          <c15:sqref>Dashboard!$N$26:$N$29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270.00000000000017</c:v>
                      </c:pt>
                      <c:pt idx="1">
                        <c:v>5</c:v>
                      </c:pt>
                      <c:pt idx="2">
                        <c:v>-5.0000000000001705</c:v>
                      </c:pt>
                      <c:pt idx="3">
                        <c:v>90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2-2154-4C64-9C63-55D9BB768D7D}"/>
                  </c:ext>
                </c:extLst>
              </c15:ser>
            </c15:filteredPieSeries>
          </c:ext>
        </c:extLst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A628A"/>
              </a:solidFill>
              <a:ln w="19050">
                <a:solidFill>
                  <a:srgbClr val="4A628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07-4C58-B8B2-16C132BE8B3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07-4C58-B8B2-16C132BE8B3C}"/>
              </c:ext>
            </c:extLst>
          </c:dPt>
          <c:dPt>
            <c:idx val="2"/>
            <c:bubble3D val="0"/>
            <c:spPr>
              <a:solidFill>
                <a:srgbClr val="4A628A">
                  <a:alpha val="50000"/>
                </a:srgbClr>
              </a:solidFill>
              <a:ln w="19050">
                <a:solidFill>
                  <a:srgbClr val="4A628A">
                    <a:alpha val="49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07-4C58-B8B2-16C132BE8B3C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107-4C58-B8B2-16C132BE8B3C}"/>
              </c:ext>
            </c:extLst>
          </c:dPt>
          <c:val>
            <c:numRef>
              <c:f>Dashboard!$D$26:$D$29</c:f>
              <c:numCache>
                <c:formatCode>General</c:formatCode>
                <c:ptCount val="4"/>
                <c:pt idx="0">
                  <c:v>194.40000000000012</c:v>
                </c:pt>
                <c:pt idx="1">
                  <c:v>5</c:v>
                </c:pt>
                <c:pt idx="2">
                  <c:v>70.599999999999881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D-40B2-A1A9-B6B6A715E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24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spPr>
            <a:ln w="889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0" i="0" u="none" strike="noStrike" kern="1200" baseline="0">
                    <a:solidFill>
                      <a:srgbClr val="0070C0"/>
                    </a:solidFill>
                    <a:latin typeface="Vazirmatn FD" pitchFamily="2" charset="-78"/>
                    <a:ea typeface="+mn-ea"/>
                    <a:cs typeface="Vazirmatn FD" pitchFamily="2" charset="-78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Data!$AC$3:$AC$9</c:f>
              <c:numCache>
                <c:formatCode>[$-160429]yyyy/mm/dd;@</c:formatCode>
                <c:ptCount val="7"/>
                <c:pt idx="0">
                  <c:v>44839</c:v>
                </c:pt>
                <c:pt idx="1">
                  <c:v>44840</c:v>
                </c:pt>
                <c:pt idx="2">
                  <c:v>44841</c:v>
                </c:pt>
                <c:pt idx="3">
                  <c:v>44842</c:v>
                </c:pt>
                <c:pt idx="4">
                  <c:v>44843</c:v>
                </c:pt>
                <c:pt idx="5">
                  <c:v>44844</c:v>
                </c:pt>
                <c:pt idx="6">
                  <c:v>44845</c:v>
                </c:pt>
              </c:numCache>
            </c:numRef>
          </c:cat>
          <c:val>
            <c:numRef>
              <c:f>Data!$AD$3:$AD$9</c:f>
              <c:numCache>
                <c:formatCode>General</c:formatCode>
                <c:ptCount val="7"/>
                <c:pt idx="0">
                  <c:v>24</c:v>
                </c:pt>
                <c:pt idx="1">
                  <c:v>23</c:v>
                </c:pt>
                <c:pt idx="2">
                  <c:v>24</c:v>
                </c:pt>
                <c:pt idx="3">
                  <c:v>23</c:v>
                </c:pt>
                <c:pt idx="4">
                  <c:v>25</c:v>
                </c:pt>
                <c:pt idx="5">
                  <c:v>25</c:v>
                </c:pt>
                <c:pt idx="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69-4E58-816D-274120AE2A28}"/>
            </c:ext>
          </c:extLst>
        </c:ser>
        <c:ser>
          <c:idx val="1"/>
          <c:order val="1"/>
          <c:spPr>
            <a:ln w="889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0000"/>
                    </a:solidFill>
                    <a:latin typeface="Vazirmatn FD" pitchFamily="2" charset="-78"/>
                    <a:ea typeface="+mn-ea"/>
                    <a:cs typeface="Vazirmatn FD" pitchFamily="2" charset="-78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Data!$AC$3:$AC$9</c:f>
              <c:numCache>
                <c:formatCode>[$-160429]yyyy/mm/dd;@</c:formatCode>
                <c:ptCount val="7"/>
                <c:pt idx="0">
                  <c:v>44839</c:v>
                </c:pt>
                <c:pt idx="1">
                  <c:v>44840</c:v>
                </c:pt>
                <c:pt idx="2">
                  <c:v>44841</c:v>
                </c:pt>
                <c:pt idx="3">
                  <c:v>44842</c:v>
                </c:pt>
                <c:pt idx="4">
                  <c:v>44843</c:v>
                </c:pt>
                <c:pt idx="5">
                  <c:v>44844</c:v>
                </c:pt>
                <c:pt idx="6">
                  <c:v>44845</c:v>
                </c:pt>
              </c:numCache>
            </c:numRef>
          </c:cat>
          <c:val>
            <c:numRef>
              <c:f>Data!$AE$3:$AE$9</c:f>
              <c:numCache>
                <c:formatCode>General</c:formatCode>
                <c:ptCount val="7"/>
                <c:pt idx="0">
                  <c:v>27</c:v>
                </c:pt>
                <c:pt idx="1">
                  <c:v>27</c:v>
                </c:pt>
                <c:pt idx="2">
                  <c:v>28</c:v>
                </c:pt>
                <c:pt idx="3">
                  <c:v>24</c:v>
                </c:pt>
                <c:pt idx="4">
                  <c:v>28</c:v>
                </c:pt>
                <c:pt idx="5">
                  <c:v>26</c:v>
                </c:pt>
                <c:pt idx="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69-4E58-816D-274120AE2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7782047"/>
        <c:axId val="1957758527"/>
      </c:lineChart>
      <c:dateAx>
        <c:axId val="1957782047"/>
        <c:scaling>
          <c:orientation val="minMax"/>
        </c:scaling>
        <c:delete val="0"/>
        <c:axPos val="b"/>
        <c:numFmt formatCode="[$-160429]yyyy/mm/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1" i="0" u="none" strike="noStrike" kern="1200" baseline="0">
                <a:solidFill>
                  <a:schemeClr val="tx1"/>
                </a:solidFill>
                <a:latin typeface="Vazir Light FD" pitchFamily="2" charset="-78"/>
                <a:ea typeface="+mn-ea"/>
                <a:cs typeface="Vazir Light FD" pitchFamily="2" charset="-78"/>
              </a:defRPr>
            </a:pPr>
            <a:endParaRPr lang="en-US"/>
          </a:p>
        </c:txPr>
        <c:crossAx val="1957758527"/>
        <c:crosses val="autoZero"/>
        <c:auto val="1"/>
        <c:lblOffset val="100"/>
        <c:baseTimeUnit val="days"/>
      </c:dateAx>
      <c:valAx>
        <c:axId val="19577585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57782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Dashboard!$R$31</c:f>
              <c:strCache>
                <c:ptCount val="1"/>
                <c:pt idx="0">
                  <c:v>واقعی</c:v>
                </c:pt>
              </c:strCache>
            </c:strRef>
          </c:tx>
          <c:spPr>
            <a:solidFill>
              <a:srgbClr val="4A628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0" i="0" u="none" strike="noStrike" kern="1200" baseline="0">
                    <a:solidFill>
                      <a:sysClr val="windowText" lastClr="000000"/>
                    </a:solidFill>
                    <a:latin typeface="Vazirmatn FD" pitchFamily="2" charset="-78"/>
                    <a:ea typeface="+mn-ea"/>
                    <a:cs typeface="Vazirmatn FD" pitchFamily="2" charset="-78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Dashboard!$Q$32:$Q$44</c:f>
              <c:strCache>
                <c:ptCount val="13"/>
                <c:pt idx="0">
                  <c:v>درصد پیشرفت مهندسی</c:v>
                </c:pt>
                <c:pt idx="2">
                  <c:v>درصد پیشرفت خرید</c:v>
                </c:pt>
                <c:pt idx="4">
                  <c:v>درصد پیشرفت فونداسیون</c:v>
                </c:pt>
                <c:pt idx="6">
                  <c:v>درصد پیشرفت ساخت</c:v>
                </c:pt>
                <c:pt idx="8">
                  <c:v>درصد پیشرفت نصب</c:v>
                </c:pt>
                <c:pt idx="10">
                  <c:v>درصد پیشرفت سفت کاری</c:v>
                </c:pt>
                <c:pt idx="12">
                  <c:v>درصد پیشرفت نازک کاری</c:v>
                </c:pt>
              </c:strCache>
            </c:strRef>
          </c:cat>
          <c:val>
            <c:numRef>
              <c:f>Dashboard!$R$32:$R$44</c:f>
              <c:numCache>
                <c:formatCode>General</c:formatCode>
                <c:ptCount val="13"/>
                <c:pt idx="0">
                  <c:v>100</c:v>
                </c:pt>
                <c:pt idx="2">
                  <c:v>82.200000000000045</c:v>
                </c:pt>
                <c:pt idx="4">
                  <c:v>100.00000000000004</c:v>
                </c:pt>
                <c:pt idx="6">
                  <c:v>100</c:v>
                </c:pt>
                <c:pt idx="8">
                  <c:v>100.00000000000004</c:v>
                </c:pt>
                <c:pt idx="10">
                  <c:v>100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3-455D-BE0B-FDBF06C6D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7827439"/>
        <c:axId val="207802959"/>
      </c:barChart>
      <c:barChart>
        <c:barDir val="col"/>
        <c:grouping val="clustered"/>
        <c:varyColors val="0"/>
        <c:ser>
          <c:idx val="2"/>
          <c:order val="1"/>
          <c:tx>
            <c:strRef>
              <c:f>Dashboard!$T$31</c:f>
              <c:strCache>
                <c:ptCount val="1"/>
                <c:pt idx="0">
                  <c:v>برنامه ای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0" i="0" u="none" strike="noStrike" kern="1200" baseline="0">
                    <a:solidFill>
                      <a:sysClr val="windowText" lastClr="000000"/>
                    </a:solidFill>
                    <a:latin typeface="Vazirmatn FD" pitchFamily="2" charset="-78"/>
                    <a:ea typeface="+mn-ea"/>
                    <a:cs typeface="Vazirmatn FD" pitchFamily="2" charset="-78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Dashboard!$Q$32:$Q$44</c:f>
              <c:strCache>
                <c:ptCount val="13"/>
                <c:pt idx="0">
                  <c:v>درصد پیشرفت مهندسی</c:v>
                </c:pt>
                <c:pt idx="2">
                  <c:v>درصد پیشرفت خرید</c:v>
                </c:pt>
                <c:pt idx="4">
                  <c:v>درصد پیشرفت فونداسیون</c:v>
                </c:pt>
                <c:pt idx="6">
                  <c:v>درصد پیشرفت ساخت</c:v>
                </c:pt>
                <c:pt idx="8">
                  <c:v>درصد پیشرفت نصب</c:v>
                </c:pt>
                <c:pt idx="10">
                  <c:v>درصد پیشرفت سفت کاری</c:v>
                </c:pt>
                <c:pt idx="12">
                  <c:v>درصد پیشرفت نازک کاری</c:v>
                </c:pt>
              </c:strCache>
            </c:strRef>
          </c:cat>
          <c:val>
            <c:numRef>
              <c:f>Dashboard!$T$32:$T$44</c:f>
              <c:numCache>
                <c:formatCode>General</c:formatCode>
                <c:ptCount val="13"/>
                <c:pt idx="0">
                  <c:v>100</c:v>
                </c:pt>
                <c:pt idx="2">
                  <c:v>72.000000000000043</c:v>
                </c:pt>
                <c:pt idx="4">
                  <c:v>100.00000000000004</c:v>
                </c:pt>
                <c:pt idx="6">
                  <c:v>100.00000000000004</c:v>
                </c:pt>
                <c:pt idx="8">
                  <c:v>100.00000000000004</c:v>
                </c:pt>
                <c:pt idx="10">
                  <c:v>100.00000000000004</c:v>
                </c:pt>
                <c:pt idx="12">
                  <c:v>100.00000000000004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F3-455D-BE0B-FDBF06C6D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9"/>
        <c:axId val="274571807"/>
        <c:axId val="274564607"/>
      </c:barChart>
      <c:catAx>
        <c:axId val="20782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600" b="0" i="0" u="none" strike="noStrike" kern="1200" baseline="0">
                <a:solidFill>
                  <a:schemeClr val="tx1"/>
                </a:solidFill>
                <a:latin typeface="Vazir Light FD" pitchFamily="2" charset="-78"/>
                <a:ea typeface="+mn-ea"/>
                <a:cs typeface="Vazir Light FD" pitchFamily="2" charset="-78"/>
              </a:defRPr>
            </a:pPr>
            <a:endParaRPr lang="en-US"/>
          </a:p>
        </c:txPr>
        <c:crossAx val="207802959"/>
        <c:crosses val="autoZero"/>
        <c:auto val="1"/>
        <c:lblAlgn val="ctr"/>
        <c:lblOffset val="100"/>
        <c:noMultiLvlLbl val="0"/>
      </c:catAx>
      <c:valAx>
        <c:axId val="207802959"/>
        <c:scaling>
          <c:orientation val="minMax"/>
          <c:max val="100"/>
        </c:scaling>
        <c:delete val="1"/>
        <c:axPos val="l"/>
        <c:numFmt formatCode="General" sourceLinked="1"/>
        <c:majorTickMark val="none"/>
        <c:minorTickMark val="none"/>
        <c:tickLblPos val="nextTo"/>
        <c:crossAx val="207827439"/>
        <c:crosses val="autoZero"/>
        <c:crossBetween val="between"/>
      </c:valAx>
      <c:valAx>
        <c:axId val="274564607"/>
        <c:scaling>
          <c:orientation val="minMax"/>
          <c:max val="100"/>
        </c:scaling>
        <c:delete val="1"/>
        <c:axPos val="r"/>
        <c:numFmt formatCode="General" sourceLinked="1"/>
        <c:majorTickMark val="out"/>
        <c:minorTickMark val="none"/>
        <c:tickLblPos val="nextTo"/>
        <c:crossAx val="274571807"/>
        <c:crosses val="max"/>
        <c:crossBetween val="between"/>
      </c:valAx>
      <c:catAx>
        <c:axId val="2745718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456460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rgbClr val="FF0000"/>
                  </a:gs>
                  <a:gs pos="50000">
                    <a:srgbClr val="FFFF00"/>
                  </a:gs>
                  <a:gs pos="100000">
                    <a:srgbClr val="00B050"/>
                  </a:gs>
                </a:gsLst>
                <a:lin ang="0" scaled="0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2FF-43C1-8680-7F88B26B506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FF-43C1-8680-7F88B26B506D}"/>
              </c:ext>
            </c:extLst>
          </c:dPt>
          <c:val>
            <c:numRef>
              <c:f>Dashboard!$Q$21:$Q$22</c:f>
              <c:numCache>
                <c:formatCode>General</c:formatCode>
                <c:ptCount val="2"/>
                <c:pt idx="0">
                  <c:v>180</c:v>
                </c:pt>
                <c:pt idx="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F-43C1-8680-7F88B26B5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doughnutChart>
        <c:varyColors val="1"/>
        <c:ser>
          <c:idx val="1"/>
          <c:order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2FF-43C1-8680-7F88B26B506D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2FF-43C1-8680-7F88B26B506D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2FF-43C1-8680-7F88B26B506D}"/>
              </c:ext>
            </c:extLst>
          </c:dPt>
          <c:val>
            <c:numRef>
              <c:f>Dashboard!$R$24:$R$26</c:f>
              <c:numCache>
                <c:formatCode>General</c:formatCode>
                <c:ptCount val="3"/>
                <c:pt idx="0">
                  <c:v>126</c:v>
                </c:pt>
                <c:pt idx="1">
                  <c:v>5</c:v>
                </c:pt>
                <c:pt idx="2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FF-43C1-8680-7F88B26B5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rgbClr val="FF0000"/>
                  </a:gs>
                  <a:gs pos="50000">
                    <a:srgbClr val="FFFF00"/>
                  </a:gs>
                  <a:gs pos="100000">
                    <a:srgbClr val="00B050"/>
                  </a:gs>
                </a:gsLst>
                <a:lin ang="0" scaled="0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2FF-43C1-8680-7F88B26B506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FF-43C1-8680-7F88B26B506D}"/>
              </c:ext>
            </c:extLst>
          </c:dPt>
          <c:val>
            <c:numRef>
              <c:f>Dashboard!$Q$21:$Q$22</c:f>
              <c:numCache>
                <c:formatCode>General</c:formatCode>
                <c:ptCount val="2"/>
                <c:pt idx="0">
                  <c:v>180</c:v>
                </c:pt>
                <c:pt idx="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F-43C1-8680-7F88B26B5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doughnutChart>
        <c:varyColors val="1"/>
        <c:ser>
          <c:idx val="1"/>
          <c:order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2FF-43C1-8680-7F88B26B506D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2FF-43C1-8680-7F88B26B506D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2FF-43C1-8680-7F88B26B506D}"/>
              </c:ext>
            </c:extLst>
          </c:dPt>
          <c:val>
            <c:numRef>
              <c:f>Dashboard!$S$24:$S$26</c:f>
              <c:numCache>
                <c:formatCode>General</c:formatCode>
                <c:ptCount val="3"/>
                <c:pt idx="0">
                  <c:v>122.40000000000002</c:v>
                </c:pt>
                <c:pt idx="1">
                  <c:v>5</c:v>
                </c:pt>
                <c:pt idx="2">
                  <c:v>232.59999999999997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FF-43C1-8680-7F88B26B5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rgbClr val="FF0000"/>
                  </a:gs>
                  <a:gs pos="50000">
                    <a:srgbClr val="FFFF00"/>
                  </a:gs>
                  <a:gs pos="100000">
                    <a:srgbClr val="00B050"/>
                  </a:gs>
                </a:gsLst>
                <a:lin ang="0" scaled="0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2FF-43C1-8680-7F88B26B506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FF-43C1-8680-7F88B26B506D}"/>
              </c:ext>
            </c:extLst>
          </c:dPt>
          <c:val>
            <c:numRef>
              <c:f>Dashboard!$Q$21:$Q$22</c:f>
              <c:numCache>
                <c:formatCode>General</c:formatCode>
                <c:ptCount val="2"/>
                <c:pt idx="0">
                  <c:v>180</c:v>
                </c:pt>
                <c:pt idx="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F-43C1-8680-7F88B26B5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doughnutChart>
        <c:varyColors val="1"/>
        <c:ser>
          <c:idx val="1"/>
          <c:order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2FF-43C1-8680-7F88B26B506D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2FF-43C1-8680-7F88B26B506D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2FF-43C1-8680-7F88B26B506D}"/>
              </c:ext>
            </c:extLst>
          </c:dPt>
          <c:val>
            <c:numRef>
              <c:f>Dashboard!$T$24:$T$26</c:f>
              <c:numCache>
                <c:formatCode>General</c:formatCode>
                <c:ptCount val="3"/>
                <c:pt idx="0">
                  <c:v>90</c:v>
                </c:pt>
                <c:pt idx="1">
                  <c:v>5</c:v>
                </c:pt>
                <c:pt idx="2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FF-43C1-8680-7F88B26B5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rgbClr val="FF0000"/>
                  </a:gs>
                  <a:gs pos="50000">
                    <a:srgbClr val="FFFF00"/>
                  </a:gs>
                  <a:gs pos="100000">
                    <a:srgbClr val="00B050"/>
                  </a:gs>
                </a:gsLst>
                <a:lin ang="0" scaled="0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2FF-43C1-8680-7F88B26B506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FF-43C1-8680-7F88B26B506D}"/>
              </c:ext>
            </c:extLst>
          </c:dPt>
          <c:val>
            <c:numRef>
              <c:f>Dashboard!$Q$21:$Q$22</c:f>
              <c:numCache>
                <c:formatCode>General</c:formatCode>
                <c:ptCount val="2"/>
                <c:pt idx="0">
                  <c:v>180</c:v>
                </c:pt>
                <c:pt idx="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F-43C1-8680-7F88B26B5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doughnutChart>
        <c:varyColors val="1"/>
        <c:ser>
          <c:idx val="1"/>
          <c:order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2FF-43C1-8680-7F88B26B506D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2FF-43C1-8680-7F88B26B506D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2FF-43C1-8680-7F88B26B506D}"/>
              </c:ext>
            </c:extLst>
          </c:dPt>
          <c:val>
            <c:numRef>
              <c:f>Dashboard!$U$24:$U$26</c:f>
              <c:numCache>
                <c:formatCode>General</c:formatCode>
                <c:ptCount val="3"/>
                <c:pt idx="0">
                  <c:v>162</c:v>
                </c:pt>
                <c:pt idx="1">
                  <c:v>5</c:v>
                </c:pt>
                <c:pt idx="2">
                  <c:v>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FF-43C1-8680-7F88B26B5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rgbClr val="FF0000"/>
                  </a:gs>
                  <a:gs pos="50000">
                    <a:srgbClr val="FFFF00"/>
                  </a:gs>
                  <a:gs pos="100000">
                    <a:srgbClr val="00B050"/>
                  </a:gs>
                </a:gsLst>
                <a:lin ang="0" scaled="0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2FF-43C1-8680-7F88B26B506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FF-43C1-8680-7F88B26B506D}"/>
              </c:ext>
            </c:extLst>
          </c:dPt>
          <c:val>
            <c:numRef>
              <c:f>Dashboard!$Q$21:$Q$22</c:f>
              <c:numCache>
                <c:formatCode>General</c:formatCode>
                <c:ptCount val="2"/>
                <c:pt idx="0">
                  <c:v>180</c:v>
                </c:pt>
                <c:pt idx="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F-43C1-8680-7F88B26B5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doughnutChart>
        <c:varyColors val="1"/>
        <c:ser>
          <c:idx val="1"/>
          <c:order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2FF-43C1-8680-7F88B26B506D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2FF-43C1-8680-7F88B26B506D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2FF-43C1-8680-7F88B26B506D}"/>
              </c:ext>
            </c:extLst>
          </c:dPt>
          <c:val>
            <c:numRef>
              <c:f>Dashboard!$V$24:$V$26</c:f>
              <c:numCache>
                <c:formatCode>General</c:formatCode>
                <c:ptCount val="3"/>
                <c:pt idx="0">
                  <c:v>99.000000000000014</c:v>
                </c:pt>
                <c:pt idx="1">
                  <c:v>5</c:v>
                </c:pt>
                <c:pt idx="2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FF-43C1-8680-7F88B26B5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Dashboard!$X$34</c:f>
              <c:strCache>
                <c:ptCount val="1"/>
                <c:pt idx="0">
                  <c:v>پایین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Dashboard!$Y$34:$AB$34</c:f>
              <c:numCache>
                <c:formatCode>0.00%</c:formatCode>
                <c:ptCount val="4"/>
                <c:pt idx="0">
                  <c:v>0.2</c:v>
                </c:pt>
                <c:pt idx="1">
                  <c:v>#N/A</c:v>
                </c:pt>
                <c:pt idx="2">
                  <c:v>0.4</c:v>
                </c:pt>
                <c:pt idx="3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DE-4432-9A04-902ECD807DE0}"/>
            </c:ext>
          </c:extLst>
        </c:ser>
        <c:ser>
          <c:idx val="2"/>
          <c:order val="2"/>
          <c:tx>
            <c:strRef>
              <c:f>Dashboard!$X$33</c:f>
              <c:strCache>
                <c:ptCount val="1"/>
                <c:pt idx="0">
                  <c:v>بالا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Dashboard!$Y$33:$AB$33</c:f>
              <c:numCache>
                <c:formatCode>0.00%</c:formatCode>
                <c:ptCount val="4"/>
                <c:pt idx="0">
                  <c:v>#N/A</c:v>
                </c:pt>
                <c:pt idx="1">
                  <c:v>0.77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DE-4432-9A04-902ECD807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1957887"/>
        <c:axId val="371960767"/>
      </c:barChart>
      <c:lineChart>
        <c:grouping val="standard"/>
        <c:varyColors val="0"/>
        <c:ser>
          <c:idx val="0"/>
          <c:order val="0"/>
          <c:tx>
            <c:strRef>
              <c:f>Dashboard!$X$35</c:f>
              <c:strCache>
                <c:ptCount val="1"/>
                <c:pt idx="0">
                  <c:v>POINT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Dashboard!$Y$32:$AB$32</c:f>
              <c:strCache>
                <c:ptCount val="4"/>
                <c:pt idx="0">
                  <c:v>پیمانکار 1</c:v>
                </c:pt>
                <c:pt idx="1">
                  <c:v>پیمانکار 2</c:v>
                </c:pt>
                <c:pt idx="2">
                  <c:v>پیمانکار 3</c:v>
                </c:pt>
                <c:pt idx="3">
                  <c:v>پیمانکار 4</c:v>
                </c:pt>
              </c:strCache>
            </c:strRef>
          </c:cat>
          <c:val>
            <c:numRef>
              <c:f>Dashboard!$Y$35:$AB$35</c:f>
              <c:numCache>
                <c:formatCode>0.00%</c:formatCode>
                <c:ptCount val="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DE-4432-9A04-902ECD807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957887"/>
        <c:axId val="371960767"/>
      </c:lineChart>
      <c:catAx>
        <c:axId val="37195788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50" b="1" i="0" u="none" strike="noStrike" kern="1200" baseline="0">
                <a:solidFill>
                  <a:schemeClr val="tx1"/>
                </a:solidFill>
                <a:latin typeface="Vazir Light FD" pitchFamily="2" charset="-78"/>
                <a:ea typeface="+mn-ea"/>
                <a:cs typeface="Vazir Light FD" pitchFamily="2" charset="-78"/>
              </a:defRPr>
            </a:pPr>
            <a:endParaRPr lang="en-US"/>
          </a:p>
        </c:txPr>
        <c:crossAx val="371960767"/>
        <c:crosses val="autoZero"/>
        <c:auto val="1"/>
        <c:lblAlgn val="ctr"/>
        <c:lblOffset val="100"/>
        <c:noMultiLvlLbl val="0"/>
      </c:catAx>
      <c:valAx>
        <c:axId val="371960767"/>
        <c:scaling>
          <c:orientation val="minMax"/>
          <c:max val="1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azir Light FD" pitchFamily="2" charset="-78"/>
                <a:ea typeface="+mn-ea"/>
                <a:cs typeface="Vazir Light FD" pitchFamily="2" charset="-78"/>
              </a:defRPr>
            </a:pPr>
            <a:endParaRPr lang="en-US"/>
          </a:p>
        </c:txPr>
        <c:crossAx val="37195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32657</xdr:colOff>
      <xdr:row>0</xdr:row>
      <xdr:rowOff>0</xdr:rowOff>
    </xdr:from>
    <xdr:to>
      <xdr:col>15</xdr:col>
      <xdr:colOff>271134</xdr:colOff>
      <xdr:row>23</xdr:row>
      <xdr:rowOff>76198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FE4592-8558-43FB-BA2E-FAF335E1A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10886</xdr:colOff>
          <xdr:row>0</xdr:row>
          <xdr:rowOff>10888</xdr:rowOff>
        </xdr:from>
        <xdr:to>
          <xdr:col>15</xdr:col>
          <xdr:colOff>268043</xdr:colOff>
          <xdr:row>1</xdr:row>
          <xdr:rowOff>76200</xdr:rowOff>
        </xdr:to>
        <xdr:sp macro="" textlink="">
          <xdr:nvSpPr>
            <xdr:cNvPr id="1033" name="ScrollBar1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23</xdr:row>
      <xdr:rowOff>145597</xdr:rowOff>
    </xdr:from>
    <xdr:to>
      <xdr:col>15</xdr:col>
      <xdr:colOff>285750</xdr:colOff>
      <xdr:row>33</xdr:row>
      <xdr:rowOff>183697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2684CD04-6411-425E-FC75-D117D736F958}"/>
            </a:ext>
          </a:extLst>
        </xdr:cNvPr>
        <xdr:cNvSpPr/>
      </xdr:nvSpPr>
      <xdr:spPr>
        <a:xfrm>
          <a:off x="9663793" y="4401911"/>
          <a:ext cx="9353550" cy="1921329"/>
        </a:xfrm>
        <a:prstGeom prst="roundRect">
          <a:avLst>
            <a:gd name="adj" fmla="val 8746"/>
          </a:avLst>
        </a:prstGeom>
        <a:solidFill>
          <a:srgbClr val="7AB2D3"/>
        </a:solidFill>
        <a:ln>
          <a:solidFill>
            <a:srgbClr val="7AB2D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6</xdr:col>
      <xdr:colOff>290512</xdr:colOff>
      <xdr:row>24</xdr:row>
      <xdr:rowOff>142877</xdr:rowOff>
    </xdr:from>
    <xdr:to>
      <xdr:col>8</xdr:col>
      <xdr:colOff>452438</xdr:colOff>
      <xdr:row>32</xdr:row>
      <xdr:rowOff>157164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61974667-76C6-CF8F-A0B3-B863CDA30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23</xdr:row>
      <xdr:rowOff>161925</xdr:rowOff>
    </xdr:from>
    <xdr:to>
      <xdr:col>15</xdr:col>
      <xdr:colOff>47626</xdr:colOff>
      <xdr:row>33</xdr:row>
      <xdr:rowOff>133350</xdr:rowOff>
    </xdr:to>
    <xdr:grpSp>
      <xdr:nvGrpSpPr>
        <xdr:cNvPr id="1056" name="Group 1055">
          <a:extLst>
            <a:ext uri="{FF2B5EF4-FFF2-40B4-BE49-F238E27FC236}">
              <a16:creationId xmlns:a16="http://schemas.microsoft.com/office/drawing/2014/main" id="{FE3EB9C6-559F-E6C7-D7C9-69605E92E8BE}"/>
            </a:ext>
          </a:extLst>
        </xdr:cNvPr>
        <xdr:cNvGrpSpPr/>
      </xdr:nvGrpSpPr>
      <xdr:grpSpPr>
        <a:xfrm>
          <a:off x="9901917" y="4418239"/>
          <a:ext cx="9105901" cy="1854654"/>
          <a:chOff x="9901917" y="4418239"/>
          <a:chExt cx="9105901" cy="1854654"/>
        </a:xfrm>
      </xdr:grpSpPr>
      <xdr:graphicFrame macro="">
        <xdr:nvGraphicFramePr>
          <xdr:cNvPr id="21" name="Chart 20">
            <a:extLst>
              <a:ext uri="{FF2B5EF4-FFF2-40B4-BE49-F238E27FC236}">
                <a16:creationId xmlns:a16="http://schemas.microsoft.com/office/drawing/2014/main" id="{A1CEB0F7-2F7D-FDB2-E373-C411838C2228}"/>
              </a:ext>
            </a:extLst>
          </xdr:cNvPr>
          <xdr:cNvGraphicFramePr/>
        </xdr:nvGraphicFramePr>
        <xdr:xfrm>
          <a:off x="17626692" y="4530272"/>
          <a:ext cx="1381126" cy="151651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5A7D0C5E-DE89-ED4B-389A-314657960A9B}"/>
              </a:ext>
            </a:extLst>
          </xdr:cNvPr>
          <xdr:cNvGraphicFramePr>
            <a:graphicFrameLocks/>
          </xdr:cNvGraphicFramePr>
        </xdr:nvGraphicFramePr>
        <xdr:xfrm>
          <a:off x="15051768" y="4557260"/>
          <a:ext cx="1381126" cy="151651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24" name="Chart 23">
            <a:extLst>
              <a:ext uri="{FF2B5EF4-FFF2-40B4-BE49-F238E27FC236}">
                <a16:creationId xmlns:a16="http://schemas.microsoft.com/office/drawing/2014/main" id="{7F7B830D-FCDC-1846-D481-3678BCD8463C}"/>
              </a:ext>
            </a:extLst>
          </xdr:cNvPr>
          <xdr:cNvGraphicFramePr>
            <a:graphicFrameLocks/>
          </xdr:cNvGraphicFramePr>
        </xdr:nvGraphicFramePr>
        <xdr:xfrm>
          <a:off x="12476842" y="4611236"/>
          <a:ext cx="1381126" cy="153148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25" name="Chart 24">
            <a:extLst>
              <a:ext uri="{FF2B5EF4-FFF2-40B4-BE49-F238E27FC236}">
                <a16:creationId xmlns:a16="http://schemas.microsoft.com/office/drawing/2014/main" id="{5CE08AD0-89B9-B7D3-3E7B-D4061A3323BB}"/>
              </a:ext>
            </a:extLst>
          </xdr:cNvPr>
          <xdr:cNvGraphicFramePr>
            <a:graphicFrameLocks/>
          </xdr:cNvGraphicFramePr>
        </xdr:nvGraphicFramePr>
        <xdr:xfrm>
          <a:off x="11189379" y="4642307"/>
          <a:ext cx="1381126" cy="15274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26" name="Chart 25">
            <a:extLst>
              <a:ext uri="{FF2B5EF4-FFF2-40B4-BE49-F238E27FC236}">
                <a16:creationId xmlns:a16="http://schemas.microsoft.com/office/drawing/2014/main" id="{E2DEAF54-FB19-E8A3-F594-871DCBD9B6B2}"/>
              </a:ext>
            </a:extLst>
          </xdr:cNvPr>
          <xdr:cNvGraphicFramePr>
            <a:graphicFrameLocks/>
          </xdr:cNvGraphicFramePr>
        </xdr:nvGraphicFramePr>
        <xdr:xfrm>
          <a:off x="9901917" y="4669292"/>
          <a:ext cx="1381126" cy="15274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27" name="Chart 26">
            <a:extLst>
              <a:ext uri="{FF2B5EF4-FFF2-40B4-BE49-F238E27FC236}">
                <a16:creationId xmlns:a16="http://schemas.microsoft.com/office/drawing/2014/main" id="{FACF6E63-8BD8-9B66-20A0-B947578E6076}"/>
              </a:ext>
            </a:extLst>
          </xdr:cNvPr>
          <xdr:cNvGraphicFramePr>
            <a:graphicFrameLocks/>
          </xdr:cNvGraphicFramePr>
        </xdr:nvGraphicFramePr>
        <xdr:xfrm>
          <a:off x="16339231" y="4503284"/>
          <a:ext cx="1381126" cy="151651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$A$26">
        <xdr:nvSpPr>
          <xdr:cNvPr id="13" name="TextBox 12">
            <a:extLst>
              <a:ext uri="{FF2B5EF4-FFF2-40B4-BE49-F238E27FC236}">
                <a16:creationId xmlns:a16="http://schemas.microsoft.com/office/drawing/2014/main" id="{7F582C32-A46D-2922-63AD-75CC268F89F5}"/>
              </a:ext>
            </a:extLst>
          </xdr:cNvPr>
          <xdr:cNvSpPr txBox="1"/>
        </xdr:nvSpPr>
        <xdr:spPr>
          <a:xfrm>
            <a:off x="18007692" y="5044168"/>
            <a:ext cx="619125" cy="400050"/>
          </a:xfrm>
          <a:prstGeom prst="rect">
            <a:avLst/>
          </a:prstGeom>
          <a:solidFill>
            <a:srgbClr val="7AB2D3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 rtl="1"/>
            <a:fld id="{3A120CAB-B56A-4FE0-A0B2-014991BCA8AD}" type="TxLink">
              <a:rPr lang="en-US" sz="2400" b="1" i="0" u="none" strike="noStrike">
                <a:solidFill>
                  <a:srgbClr val="000000"/>
                </a:solidFill>
                <a:latin typeface="Vazirmatn FD" pitchFamily="2" charset="-78"/>
                <a:ea typeface="Calibri"/>
                <a:cs typeface="Vazirmatn FD" pitchFamily="2" charset="-78"/>
              </a:rPr>
              <a:t>100%</a:t>
            </a:fld>
            <a:endParaRPr lang="en-US" sz="2400" b="1">
              <a:latin typeface="Vazirmatn FD" pitchFamily="2" charset="-78"/>
              <a:cs typeface="Vazirmatn FD" pitchFamily="2" charset="-78"/>
            </a:endParaRPr>
          </a:p>
        </xdr:txBody>
      </xdr:sp>
      <xdr:sp macro="" textlink="$C$26">
        <xdr:nvSpPr>
          <xdr:cNvPr id="14" name="TextBox 13">
            <a:extLst>
              <a:ext uri="{FF2B5EF4-FFF2-40B4-BE49-F238E27FC236}">
                <a16:creationId xmlns:a16="http://schemas.microsoft.com/office/drawing/2014/main" id="{21ED4577-6EC5-4A9A-BCA1-8F2513C66A69}"/>
              </a:ext>
            </a:extLst>
          </xdr:cNvPr>
          <xdr:cNvSpPr txBox="1"/>
        </xdr:nvSpPr>
        <xdr:spPr>
          <a:xfrm>
            <a:off x="16693243" y="5025118"/>
            <a:ext cx="647700" cy="438150"/>
          </a:xfrm>
          <a:prstGeom prst="rect">
            <a:avLst/>
          </a:prstGeom>
          <a:solidFill>
            <a:srgbClr val="7AB2D3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marL="0" indent="0" algn="ctr" rtl="1"/>
            <a:fld id="{20112932-24DF-49EB-9307-5AF99EE07FEE}" type="TxLink">
              <a:rPr lang="en-US" sz="2400" b="1" i="0" u="none" strike="noStrike">
                <a:solidFill>
                  <a:srgbClr val="000000"/>
                </a:solidFill>
                <a:latin typeface="Vazirmatn FD" pitchFamily="2" charset="-78"/>
                <a:ea typeface="Calibri"/>
                <a:cs typeface="Vazirmatn FD" pitchFamily="2" charset="-78"/>
              </a:rPr>
              <a:pPr marL="0" indent="0" algn="ctr" rtl="1"/>
              <a:t>72%</a:t>
            </a:fld>
            <a:endParaRPr lang="en-US" sz="2400" b="1" i="0" u="none" strike="noStrike">
              <a:solidFill>
                <a:srgbClr val="000000"/>
              </a:solidFill>
              <a:latin typeface="Vazirmatn FD" pitchFamily="2" charset="-78"/>
              <a:ea typeface="Calibri"/>
              <a:cs typeface="Vazirmatn FD" pitchFamily="2" charset="-78"/>
            </a:endParaRPr>
          </a:p>
        </xdr:txBody>
      </xdr:sp>
      <xdr:sp macro="" textlink="$E$26">
        <xdr:nvSpPr>
          <xdr:cNvPr id="15" name="TextBox 14">
            <a:extLst>
              <a:ext uri="{FF2B5EF4-FFF2-40B4-BE49-F238E27FC236}">
                <a16:creationId xmlns:a16="http://schemas.microsoft.com/office/drawing/2014/main" id="{BC2C18A4-83C7-461F-AE23-DB061B3A3C14}"/>
              </a:ext>
            </a:extLst>
          </xdr:cNvPr>
          <xdr:cNvSpPr txBox="1"/>
        </xdr:nvSpPr>
        <xdr:spPr>
          <a:xfrm>
            <a:off x="15397843" y="5082268"/>
            <a:ext cx="685800" cy="400051"/>
          </a:xfrm>
          <a:prstGeom prst="rect">
            <a:avLst/>
          </a:prstGeom>
          <a:solidFill>
            <a:srgbClr val="7AB2D3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marL="0" indent="0" algn="ctr" rtl="1"/>
            <a:fld id="{4AB5B05A-A60E-4F33-89C0-B3A22DCAF503}" type="TxLink">
              <a:rPr lang="en-US" sz="2400" b="1" i="0" u="none" strike="noStrike">
                <a:solidFill>
                  <a:srgbClr val="000000"/>
                </a:solidFill>
                <a:latin typeface="Vazirmatn FD" pitchFamily="2" charset="-78"/>
                <a:ea typeface="Calibri"/>
                <a:cs typeface="Vazirmatn FD" pitchFamily="2" charset="-78"/>
              </a:rPr>
              <a:pPr marL="0" indent="0" algn="ctr" rtl="1"/>
              <a:t>100%</a:t>
            </a:fld>
            <a:endParaRPr lang="en-US" sz="2400" b="1" i="0" u="none" strike="noStrike">
              <a:solidFill>
                <a:srgbClr val="000000"/>
              </a:solidFill>
              <a:latin typeface="Vazirmatn FD" pitchFamily="2" charset="-78"/>
              <a:ea typeface="Calibri"/>
              <a:cs typeface="Vazirmatn FD" pitchFamily="2" charset="-78"/>
            </a:endParaRPr>
          </a:p>
        </xdr:txBody>
      </xdr:sp>
      <xdr:sp macro="" textlink="$G$26">
        <xdr:nvSpPr>
          <xdr:cNvPr id="16" name="TextBox 15">
            <a:extLst>
              <a:ext uri="{FF2B5EF4-FFF2-40B4-BE49-F238E27FC236}">
                <a16:creationId xmlns:a16="http://schemas.microsoft.com/office/drawing/2014/main" id="{662AEE19-5E81-4AE2-BAF4-24FA0E01B0F5}"/>
              </a:ext>
            </a:extLst>
          </xdr:cNvPr>
          <xdr:cNvSpPr txBox="1"/>
        </xdr:nvSpPr>
        <xdr:spPr>
          <a:xfrm>
            <a:off x="13988143" y="4982936"/>
            <a:ext cx="933450" cy="6463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marL="0" indent="0" algn="ctr" rtl="1"/>
            <a:fld id="{77757451-09FB-4D93-89F7-8B26418A04BD}" type="TxLink">
              <a:rPr lang="en-US" sz="2400" b="1" i="0" u="none" strike="noStrike">
                <a:solidFill>
                  <a:srgbClr val="000000"/>
                </a:solidFill>
                <a:latin typeface="Vazirmatn FD" pitchFamily="2" charset="-78"/>
                <a:ea typeface="Calibri"/>
                <a:cs typeface="Vazirmatn FD" pitchFamily="2" charset="-78"/>
              </a:rPr>
              <a:pPr marL="0" indent="0" algn="ctr" rtl="1"/>
              <a:t>100%</a:t>
            </a:fld>
            <a:endParaRPr lang="en-US" sz="2400" b="1" i="0" u="none" strike="noStrike">
              <a:solidFill>
                <a:srgbClr val="000000"/>
              </a:solidFill>
              <a:latin typeface="Vazirmatn FD" pitchFamily="2" charset="-78"/>
              <a:ea typeface="Calibri"/>
              <a:cs typeface="Vazirmatn FD" pitchFamily="2" charset="-78"/>
            </a:endParaRPr>
          </a:p>
        </xdr:txBody>
      </xdr:sp>
      <xdr:sp macro="" textlink="$I$26">
        <xdr:nvSpPr>
          <xdr:cNvPr id="17" name="TextBox 16">
            <a:extLst>
              <a:ext uri="{FF2B5EF4-FFF2-40B4-BE49-F238E27FC236}">
                <a16:creationId xmlns:a16="http://schemas.microsoft.com/office/drawing/2014/main" id="{809D0894-A938-45C1-8300-F1A590B3C3A5}"/>
              </a:ext>
            </a:extLst>
          </xdr:cNvPr>
          <xdr:cNvSpPr txBox="1"/>
        </xdr:nvSpPr>
        <xdr:spPr>
          <a:xfrm>
            <a:off x="12702268" y="5015593"/>
            <a:ext cx="933450" cy="6422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marL="0" indent="0" algn="ctr" rtl="1"/>
            <a:fld id="{4A0C944D-507D-4F9C-93E5-7C7493599B3D}" type="TxLink">
              <a:rPr lang="en-US" sz="2400" b="1" i="0" u="none" strike="noStrike">
                <a:solidFill>
                  <a:srgbClr val="000000"/>
                </a:solidFill>
                <a:latin typeface="Vazirmatn FD" pitchFamily="2" charset="-78"/>
                <a:ea typeface="Calibri"/>
                <a:cs typeface="Vazirmatn FD" pitchFamily="2" charset="-78"/>
              </a:rPr>
              <a:pPr marL="0" indent="0" algn="ctr" rtl="1"/>
              <a:t>100%</a:t>
            </a:fld>
            <a:endParaRPr lang="en-US" sz="2400" b="1" i="0" u="none" strike="noStrike">
              <a:solidFill>
                <a:srgbClr val="000000"/>
              </a:solidFill>
              <a:latin typeface="Vazirmatn FD" pitchFamily="2" charset="-78"/>
              <a:ea typeface="Calibri"/>
              <a:cs typeface="Vazirmatn FD" pitchFamily="2" charset="-78"/>
            </a:endParaRPr>
          </a:p>
        </xdr:txBody>
      </xdr:sp>
      <xdr:sp macro="" textlink="$K$26">
        <xdr:nvSpPr>
          <xdr:cNvPr id="18" name="TextBox 17">
            <a:extLst>
              <a:ext uri="{FF2B5EF4-FFF2-40B4-BE49-F238E27FC236}">
                <a16:creationId xmlns:a16="http://schemas.microsoft.com/office/drawing/2014/main" id="{AC01C3C4-DB57-444F-AC4C-0E26F91B5B43}"/>
              </a:ext>
            </a:extLst>
          </xdr:cNvPr>
          <xdr:cNvSpPr txBox="1"/>
        </xdr:nvSpPr>
        <xdr:spPr>
          <a:xfrm>
            <a:off x="11416393" y="5082268"/>
            <a:ext cx="933450" cy="6422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marL="0" indent="0" algn="ctr" rtl="1"/>
            <a:fld id="{384810FE-CAAD-4037-957C-1461A75CF14C}" type="TxLink">
              <a:rPr lang="en-US" sz="2400" b="1" i="0" u="none" strike="noStrike">
                <a:solidFill>
                  <a:srgbClr val="000000"/>
                </a:solidFill>
                <a:latin typeface="Vazirmatn FD" pitchFamily="2" charset="-78"/>
                <a:ea typeface="Calibri"/>
                <a:cs typeface="Vazirmatn FD" pitchFamily="2" charset="-78"/>
              </a:rPr>
              <a:pPr marL="0" indent="0" algn="ctr" rtl="1"/>
              <a:t>100%</a:t>
            </a:fld>
            <a:endParaRPr lang="en-US" sz="2400" b="1" i="0" u="none" strike="noStrike">
              <a:solidFill>
                <a:srgbClr val="000000"/>
              </a:solidFill>
              <a:latin typeface="Vazirmatn FD" pitchFamily="2" charset="-78"/>
              <a:ea typeface="Calibri"/>
              <a:cs typeface="Vazirmatn FD" pitchFamily="2" charset="-78"/>
            </a:endParaRPr>
          </a:p>
        </xdr:txBody>
      </xdr:sp>
      <xdr:sp macro="" textlink="$M$26">
        <xdr:nvSpPr>
          <xdr:cNvPr id="19" name="TextBox 18">
            <a:extLst>
              <a:ext uri="{FF2B5EF4-FFF2-40B4-BE49-F238E27FC236}">
                <a16:creationId xmlns:a16="http://schemas.microsoft.com/office/drawing/2014/main" id="{1D7B42AC-5ECE-4EE7-B531-73BD557019BB}"/>
              </a:ext>
            </a:extLst>
          </xdr:cNvPr>
          <xdr:cNvSpPr txBox="1"/>
        </xdr:nvSpPr>
        <xdr:spPr>
          <a:xfrm>
            <a:off x="10120993" y="5072743"/>
            <a:ext cx="933450" cy="6422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marL="0" indent="0" algn="ctr" rtl="1"/>
            <a:fld id="{8F836F78-AD13-490D-8146-B2508467BAEA}" type="TxLink">
              <a:rPr lang="en-US" sz="2400" b="1" i="0" u="none" strike="noStrike">
                <a:solidFill>
                  <a:srgbClr val="000000"/>
                </a:solidFill>
                <a:latin typeface="Vazirmatn FD" pitchFamily="2" charset="-78"/>
                <a:ea typeface="Calibri"/>
                <a:cs typeface="Vazirmatn FD" pitchFamily="2" charset="-78"/>
              </a:rPr>
              <a:pPr marL="0" indent="0" algn="ctr" rtl="1"/>
              <a:t>100%</a:t>
            </a:fld>
            <a:endParaRPr lang="en-US" sz="2400" b="1" i="0" u="none" strike="noStrike">
              <a:solidFill>
                <a:srgbClr val="000000"/>
              </a:solidFill>
              <a:latin typeface="Vazirmatn FD" pitchFamily="2" charset="-78"/>
              <a:ea typeface="Calibri"/>
              <a:cs typeface="Vazirmatn FD" pitchFamily="2" charset="-78"/>
            </a:endParaRPr>
          </a:p>
        </xdr:txBody>
      </xdr:sp>
      <xdr:sp macro="" textlink="Data!I1">
        <xdr:nvSpPr>
          <xdr:cNvPr id="29" name="TextBox 28">
            <a:extLst>
              <a:ext uri="{FF2B5EF4-FFF2-40B4-BE49-F238E27FC236}">
                <a16:creationId xmlns:a16="http://schemas.microsoft.com/office/drawing/2014/main" id="{F639CB6B-9CCB-4EE0-AB90-3A1FBED1D52A}"/>
              </a:ext>
            </a:extLst>
          </xdr:cNvPr>
          <xdr:cNvSpPr txBox="1"/>
        </xdr:nvSpPr>
        <xdr:spPr>
          <a:xfrm>
            <a:off x="17960068" y="5501368"/>
            <a:ext cx="733425" cy="666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marL="0" indent="0" algn="ctr" rtl="1"/>
            <a:fld id="{55F7F4DC-3148-443C-916A-2EA424FDD38A}" type="TxLink">
              <a:rPr lang="fa-IR" sz="900" b="1" i="0" u="none" strike="noStrike">
                <a:solidFill>
                  <a:srgbClr val="000000"/>
                </a:solidFill>
                <a:latin typeface="Vazirmatn FD"/>
                <a:ea typeface="+mn-ea"/>
                <a:cs typeface="Vazirmatn FD"/>
              </a:rPr>
              <a:pPr marL="0" indent="0" algn="ctr" rtl="1"/>
              <a:t>درصد پیشرفت خرید</a:t>
            </a:fld>
            <a:endParaRPr lang="en-GB" sz="900" b="1" i="0" u="none" strike="noStrike">
              <a:solidFill>
                <a:srgbClr val="000000"/>
              </a:solidFill>
              <a:latin typeface="Vazirmatn FD"/>
              <a:ea typeface="+mn-ea"/>
              <a:cs typeface="Vazirmatn FD"/>
            </a:endParaRPr>
          </a:p>
        </xdr:txBody>
      </xdr:sp>
      <xdr:sp macro="" textlink="Data!H1">
        <xdr:nvSpPr>
          <xdr:cNvPr id="30" name="TextBox 29">
            <a:extLst>
              <a:ext uri="{FF2B5EF4-FFF2-40B4-BE49-F238E27FC236}">
                <a16:creationId xmlns:a16="http://schemas.microsoft.com/office/drawing/2014/main" id="{7DCEA04C-8B72-4821-8870-F935ADCF0CC8}"/>
              </a:ext>
            </a:extLst>
          </xdr:cNvPr>
          <xdr:cNvSpPr txBox="1"/>
        </xdr:nvSpPr>
        <xdr:spPr>
          <a:xfrm>
            <a:off x="16658565" y="5501368"/>
            <a:ext cx="720478" cy="55653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 rtl="1"/>
            <a:fld id="{C5ED5909-61DE-4EA7-9EDD-C310C44CF5E8}" type="TxLink">
              <a:rPr lang="fa-IR" sz="900" b="1" i="0" u="none" strike="noStrike">
                <a:solidFill>
                  <a:srgbClr val="000000"/>
                </a:solidFill>
                <a:latin typeface="Vazirmatn FD"/>
                <a:cs typeface="Vazirmatn FD"/>
              </a:rPr>
              <a:pPr algn="ctr" rtl="1"/>
              <a:t>درصد پیشرفت مهندسی</a:t>
            </a:fld>
            <a:endParaRPr lang="en-GB" sz="900" b="1"/>
          </a:p>
        </xdr:txBody>
      </xdr:sp>
      <xdr:sp macro="" textlink="Data!J1">
        <xdr:nvSpPr>
          <xdr:cNvPr id="31" name="TextBox 30">
            <a:extLst>
              <a:ext uri="{FF2B5EF4-FFF2-40B4-BE49-F238E27FC236}">
                <a16:creationId xmlns:a16="http://schemas.microsoft.com/office/drawing/2014/main" id="{6DFF1241-96BD-42F8-BB66-205766944B07}"/>
              </a:ext>
            </a:extLst>
          </xdr:cNvPr>
          <xdr:cNvSpPr txBox="1"/>
        </xdr:nvSpPr>
        <xdr:spPr>
          <a:xfrm>
            <a:off x="15372690" y="5581650"/>
            <a:ext cx="720478" cy="4953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marL="0" indent="0" algn="ctr" rtl="1"/>
            <a:fld id="{212D1F8B-E9AE-4A26-B2D9-D258A284A47A}" type="TxLink">
              <a:rPr lang="fa-IR" sz="900" b="1" i="0" u="none" strike="noStrike">
                <a:solidFill>
                  <a:srgbClr val="000000"/>
                </a:solidFill>
                <a:latin typeface="Vazirmatn FD"/>
                <a:ea typeface="+mn-ea"/>
                <a:cs typeface="Vazirmatn FD"/>
              </a:rPr>
              <a:pPr marL="0" indent="0" algn="ctr" rtl="1"/>
              <a:t>درصد پیشرفت فونداسیون</a:t>
            </a:fld>
            <a:endParaRPr lang="en-GB" sz="900" b="1" i="0" u="none" strike="noStrike">
              <a:solidFill>
                <a:srgbClr val="000000"/>
              </a:solidFill>
              <a:latin typeface="Vazirmatn FD"/>
              <a:ea typeface="+mn-ea"/>
              <a:cs typeface="Vazirmatn FD"/>
            </a:endParaRPr>
          </a:p>
        </xdr:txBody>
      </xdr:sp>
      <xdr:sp macro="" textlink="Data!K1">
        <xdr:nvSpPr>
          <xdr:cNvPr id="32" name="TextBox 31">
            <a:extLst>
              <a:ext uri="{FF2B5EF4-FFF2-40B4-BE49-F238E27FC236}">
                <a16:creationId xmlns:a16="http://schemas.microsoft.com/office/drawing/2014/main" id="{EF0F9F12-83EF-469F-A601-EC01711E2E67}"/>
              </a:ext>
            </a:extLst>
          </xdr:cNvPr>
          <xdr:cNvSpPr txBox="1"/>
        </xdr:nvSpPr>
        <xdr:spPr>
          <a:xfrm>
            <a:off x="14086815" y="5619750"/>
            <a:ext cx="720478" cy="5293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marL="0" indent="0" algn="ctr" rtl="1"/>
            <a:fld id="{E0A8E9CB-565F-4224-9FE5-B6CC65F3E334}" type="TxLink">
              <a:rPr lang="fa-IR" sz="900" b="1" i="0" u="none" strike="noStrike">
                <a:solidFill>
                  <a:srgbClr val="000000"/>
                </a:solidFill>
                <a:latin typeface="Vazirmatn FD"/>
                <a:ea typeface="+mn-ea"/>
                <a:cs typeface="Vazirmatn FD"/>
              </a:rPr>
              <a:pPr marL="0" indent="0" algn="ctr" rtl="1"/>
              <a:t>درصد پیشرفت ساخت</a:t>
            </a:fld>
            <a:endParaRPr lang="en-GB" sz="900" b="1" i="0" u="none" strike="noStrike">
              <a:solidFill>
                <a:srgbClr val="000000"/>
              </a:solidFill>
              <a:latin typeface="Vazirmatn FD"/>
              <a:ea typeface="+mn-ea"/>
              <a:cs typeface="Vazirmatn FD"/>
            </a:endParaRPr>
          </a:p>
        </xdr:txBody>
      </xdr:sp>
      <xdr:sp macro="" textlink="Data!L1">
        <xdr:nvSpPr>
          <xdr:cNvPr id="33" name="TextBox 32">
            <a:extLst>
              <a:ext uri="{FF2B5EF4-FFF2-40B4-BE49-F238E27FC236}">
                <a16:creationId xmlns:a16="http://schemas.microsoft.com/office/drawing/2014/main" id="{0B0D1F9B-B0C9-45CB-B043-31B7781648B9}"/>
              </a:ext>
            </a:extLst>
          </xdr:cNvPr>
          <xdr:cNvSpPr txBox="1"/>
        </xdr:nvSpPr>
        <xdr:spPr>
          <a:xfrm>
            <a:off x="12778585" y="5638800"/>
            <a:ext cx="723783" cy="5388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marL="0" indent="0" algn="ctr" rtl="1"/>
            <a:fld id="{517831DE-E24E-4949-A277-E4426B96B0AD}" type="TxLink">
              <a:rPr lang="fa-IR" sz="900" b="1" i="0" u="none" strike="noStrike">
                <a:solidFill>
                  <a:srgbClr val="000000"/>
                </a:solidFill>
                <a:latin typeface="Vazirmatn FD"/>
                <a:ea typeface="+mn-ea"/>
                <a:cs typeface="Vazirmatn FD"/>
              </a:rPr>
              <a:pPr marL="0" indent="0" algn="ctr" rtl="1"/>
              <a:t>درصد پیشرفت نصب</a:t>
            </a:fld>
            <a:endParaRPr lang="en-GB" sz="900" b="1" i="0" u="none" strike="noStrike">
              <a:solidFill>
                <a:srgbClr val="000000"/>
              </a:solidFill>
              <a:latin typeface="Vazirmatn FD"/>
              <a:ea typeface="+mn-ea"/>
              <a:cs typeface="Vazirmatn FD"/>
            </a:endParaRPr>
          </a:p>
        </xdr:txBody>
      </xdr:sp>
      <xdr:sp macro="" textlink="Data!M1">
        <xdr:nvSpPr>
          <xdr:cNvPr id="34" name="TextBox 33">
            <a:extLst>
              <a:ext uri="{FF2B5EF4-FFF2-40B4-BE49-F238E27FC236}">
                <a16:creationId xmlns:a16="http://schemas.microsoft.com/office/drawing/2014/main" id="{EDD637FA-6CC1-46D8-8C60-E46C92A97BBE}"/>
              </a:ext>
            </a:extLst>
          </xdr:cNvPr>
          <xdr:cNvSpPr txBox="1"/>
        </xdr:nvSpPr>
        <xdr:spPr>
          <a:xfrm>
            <a:off x="11492318" y="5657850"/>
            <a:ext cx="724175" cy="4816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marL="0" indent="0" algn="ctr" rtl="1"/>
            <a:fld id="{C584D024-4187-47CA-BF04-E0242CB2D49D}" type="TxLink">
              <a:rPr lang="fa-IR" sz="900" b="1" i="0" u="none" strike="noStrike">
                <a:solidFill>
                  <a:srgbClr val="000000"/>
                </a:solidFill>
                <a:latin typeface="Vazirmatn FD"/>
                <a:ea typeface="+mn-ea"/>
                <a:cs typeface="Vazirmatn FD"/>
              </a:rPr>
              <a:pPr marL="0" indent="0" algn="ctr" rtl="1"/>
              <a:t>درصد پیشرفت سفت کاری</a:t>
            </a:fld>
            <a:endParaRPr lang="en-GB" sz="900" b="1" i="0" u="none" strike="noStrike">
              <a:solidFill>
                <a:srgbClr val="000000"/>
              </a:solidFill>
              <a:latin typeface="Vazirmatn FD"/>
              <a:ea typeface="+mn-ea"/>
              <a:cs typeface="Vazirmatn FD"/>
            </a:endParaRPr>
          </a:p>
        </xdr:txBody>
      </xdr:sp>
      <xdr:sp macro="" textlink="Data!N1">
        <xdr:nvSpPr>
          <xdr:cNvPr id="35" name="TextBox 34">
            <a:extLst>
              <a:ext uri="{FF2B5EF4-FFF2-40B4-BE49-F238E27FC236}">
                <a16:creationId xmlns:a16="http://schemas.microsoft.com/office/drawing/2014/main" id="{8E709718-10F3-46DC-AFF5-E9BD4E930D53}"/>
              </a:ext>
            </a:extLst>
          </xdr:cNvPr>
          <xdr:cNvSpPr txBox="1"/>
        </xdr:nvSpPr>
        <xdr:spPr>
          <a:xfrm>
            <a:off x="10219665" y="5667375"/>
            <a:ext cx="720478" cy="6055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marL="0" indent="0" algn="ctr" rtl="1"/>
            <a:fld id="{4EFFC805-5FD7-4EA1-9964-DB00FE8063C4}" type="TxLink">
              <a:rPr lang="fa-IR" sz="900" b="1" i="0" u="none" strike="noStrike">
                <a:solidFill>
                  <a:srgbClr val="000000"/>
                </a:solidFill>
                <a:latin typeface="Vazirmatn FD"/>
                <a:ea typeface="+mn-ea"/>
                <a:cs typeface="Vazirmatn FD"/>
              </a:rPr>
              <a:pPr marL="0" indent="0" algn="ctr" rtl="1"/>
              <a:t>درصد پیشرفت نازک کاری</a:t>
            </a:fld>
            <a:endParaRPr lang="en-GB" sz="900" b="1" i="0" u="none" strike="noStrike">
              <a:solidFill>
                <a:srgbClr val="000000"/>
              </a:solidFill>
              <a:latin typeface="Vazirmatn FD"/>
              <a:ea typeface="+mn-ea"/>
              <a:cs typeface="Vazirmatn FD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37D11199-C461-41DD-AC20-CED58DC189AF}"/>
              </a:ext>
            </a:extLst>
          </xdr:cNvPr>
          <xdr:cNvSpPr txBox="1"/>
        </xdr:nvSpPr>
        <xdr:spPr>
          <a:xfrm>
            <a:off x="12895091" y="4418239"/>
            <a:ext cx="3426677" cy="3152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 rtl="1"/>
            <a:r>
              <a:rPr lang="fa-IR" sz="1400" b="1">
                <a:solidFill>
                  <a:srgbClr val="FF1E00"/>
                </a:solidFill>
                <a:latin typeface="Vazirmatn FD" pitchFamily="2" charset="-78"/>
                <a:cs typeface="Vazirmatn FD" pitchFamily="2" charset="-78"/>
              </a:rPr>
              <a:t>نمودار درصد پیشرفت واقعی سطح سه پروژه</a:t>
            </a:r>
            <a:endParaRPr lang="en-GB" sz="1400" b="1">
              <a:solidFill>
                <a:srgbClr val="FF1E00"/>
              </a:solidFill>
              <a:latin typeface="Vazirmatn FD" pitchFamily="2" charset="-78"/>
              <a:cs typeface="Vazirmatn FD" pitchFamily="2" charset="-78"/>
            </a:endParaRPr>
          </a:p>
        </xdr:txBody>
      </xdr:sp>
    </xdr:grpSp>
    <xdr:clientData/>
  </xdr:twoCellAnchor>
  <xdr:twoCellAnchor>
    <xdr:from>
      <xdr:col>22</xdr:col>
      <xdr:colOff>114301</xdr:colOff>
      <xdr:row>0</xdr:row>
      <xdr:rowOff>47625</xdr:rowOff>
    </xdr:from>
    <xdr:to>
      <xdr:col>28</xdr:col>
      <xdr:colOff>466726</xdr:colOff>
      <xdr:row>18</xdr:row>
      <xdr:rowOff>123825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B81BBD46-12AB-88B4-FE72-8E0D1D0144B8}"/>
            </a:ext>
          </a:extLst>
        </xdr:cNvPr>
        <xdr:cNvGrpSpPr/>
      </xdr:nvGrpSpPr>
      <xdr:grpSpPr>
        <a:xfrm>
          <a:off x="142874" y="47625"/>
          <a:ext cx="4663168" cy="3407229"/>
          <a:chOff x="9970131824" y="66675"/>
          <a:chExt cx="4010025" cy="3333750"/>
        </a:xfrm>
      </xdr:grpSpPr>
      <xdr:sp macro="" textlink="">
        <xdr:nvSpPr>
          <xdr:cNvPr id="38" name="Rectangle: Rounded Corners 37">
            <a:extLst>
              <a:ext uri="{FF2B5EF4-FFF2-40B4-BE49-F238E27FC236}">
                <a16:creationId xmlns:a16="http://schemas.microsoft.com/office/drawing/2014/main" id="{92EA7BE1-7AF2-4566-B40B-85946088651B}"/>
              </a:ext>
            </a:extLst>
          </xdr:cNvPr>
          <xdr:cNvSpPr/>
        </xdr:nvSpPr>
        <xdr:spPr>
          <a:xfrm>
            <a:off x="9970131824" y="66675"/>
            <a:ext cx="4010025" cy="3333750"/>
          </a:xfrm>
          <a:prstGeom prst="roundRect">
            <a:avLst>
              <a:gd name="adj" fmla="val 8746"/>
            </a:avLst>
          </a:prstGeom>
          <a:solidFill>
            <a:srgbClr val="7AB2D3"/>
          </a:solidFill>
          <a:ln>
            <a:solidFill>
              <a:srgbClr val="7AB2D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graphicFrame macro="">
        <xdr:nvGraphicFramePr>
          <xdr:cNvPr id="39" name="Chart 38">
            <a:extLst>
              <a:ext uri="{FF2B5EF4-FFF2-40B4-BE49-F238E27FC236}">
                <a16:creationId xmlns:a16="http://schemas.microsoft.com/office/drawing/2014/main" id="{A80EE8CF-A5E3-4D81-972B-483F8002CDA4}"/>
              </a:ext>
            </a:extLst>
          </xdr:cNvPr>
          <xdr:cNvGraphicFramePr>
            <a:graphicFrameLocks/>
          </xdr:cNvGraphicFramePr>
        </xdr:nvGraphicFramePr>
        <xdr:xfrm>
          <a:off x="9970141350" y="600075"/>
          <a:ext cx="3933825" cy="27527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16968623-982D-4FC5-BAF0-97AFD34C75BD}"/>
              </a:ext>
            </a:extLst>
          </xdr:cNvPr>
          <xdr:cNvSpPr txBox="1"/>
        </xdr:nvSpPr>
        <xdr:spPr>
          <a:xfrm>
            <a:off x="9970471875" y="161925"/>
            <a:ext cx="3250874" cy="3033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 rtl="1"/>
            <a:r>
              <a:rPr lang="fa-IR" sz="1400" b="1">
                <a:solidFill>
                  <a:srgbClr val="FF1E00"/>
                </a:solidFill>
                <a:latin typeface="Vazirmatn FD" pitchFamily="2" charset="-78"/>
                <a:cs typeface="Vazirmatn FD" pitchFamily="2" charset="-78"/>
              </a:rPr>
              <a:t>وضعیت آب و هوا</a:t>
            </a:r>
            <a:endParaRPr lang="en-GB" sz="1400" b="1">
              <a:solidFill>
                <a:srgbClr val="FF1E00"/>
              </a:solidFill>
              <a:latin typeface="Vazirmatn FD" pitchFamily="2" charset="-78"/>
              <a:cs typeface="Vazirmatn FD" pitchFamily="2" charset="-78"/>
            </a:endParaRPr>
          </a:p>
        </xdr:txBody>
      </xdr:sp>
    </xdr:grpSp>
    <xdr:clientData/>
  </xdr:twoCellAnchor>
  <xdr:twoCellAnchor>
    <xdr:from>
      <xdr:col>19</xdr:col>
      <xdr:colOff>19050</xdr:colOff>
      <xdr:row>1</xdr:row>
      <xdr:rowOff>19050</xdr:rowOff>
    </xdr:from>
    <xdr:to>
      <xdr:col>21</xdr:col>
      <xdr:colOff>602398</xdr:colOff>
      <xdr:row>2</xdr:row>
      <xdr:rowOff>145145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22213A3F-0429-4137-8CCC-8B974355E092}"/>
            </a:ext>
          </a:extLst>
        </xdr:cNvPr>
        <xdr:cNvSpPr txBox="1"/>
      </xdr:nvSpPr>
      <xdr:spPr>
        <a:xfrm>
          <a:off x="9974282402" y="200025"/>
          <a:ext cx="1802548" cy="3070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 rtl="1"/>
          <a:endParaRPr lang="en-GB" sz="1400" b="1">
            <a:solidFill>
              <a:srgbClr val="FF1E00"/>
            </a:solidFill>
            <a:latin typeface="Vazirmatn FD" pitchFamily="2" charset="-78"/>
            <a:cs typeface="Vazirmatn FD" pitchFamily="2" charset="-78"/>
          </a:endParaRPr>
        </a:p>
      </xdr:txBody>
    </xdr:sp>
    <xdr:clientData/>
  </xdr:twoCellAnchor>
  <xdr:twoCellAnchor>
    <xdr:from>
      <xdr:col>15</xdr:col>
      <xdr:colOff>345622</xdr:colOff>
      <xdr:row>0</xdr:row>
      <xdr:rowOff>44903</xdr:rowOff>
    </xdr:from>
    <xdr:to>
      <xdr:col>22</xdr:col>
      <xdr:colOff>50346</xdr:colOff>
      <xdr:row>18</xdr:row>
      <xdr:rowOff>111578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EA0AB9AA-66BA-31BD-B6A6-1BFFBD08BC0F}"/>
            </a:ext>
          </a:extLst>
        </xdr:cNvPr>
        <xdr:cNvGrpSpPr/>
      </xdr:nvGrpSpPr>
      <xdr:grpSpPr>
        <a:xfrm>
          <a:off x="4869997" y="44903"/>
          <a:ext cx="4733924" cy="3397704"/>
          <a:chOff x="9971103374" y="3705225"/>
          <a:chExt cx="4010025" cy="2076450"/>
        </a:xfrm>
      </xdr:grpSpPr>
      <xdr:sp macro="" textlink="">
        <xdr:nvSpPr>
          <xdr:cNvPr id="37" name="Rectangle: Rounded Corners 36">
            <a:extLst>
              <a:ext uri="{FF2B5EF4-FFF2-40B4-BE49-F238E27FC236}">
                <a16:creationId xmlns:a16="http://schemas.microsoft.com/office/drawing/2014/main" id="{8BB14E7F-B99E-4CF7-BC88-C0A490F05489}"/>
              </a:ext>
            </a:extLst>
          </xdr:cNvPr>
          <xdr:cNvSpPr/>
        </xdr:nvSpPr>
        <xdr:spPr>
          <a:xfrm>
            <a:off x="9971103374" y="3705225"/>
            <a:ext cx="4010025" cy="2076450"/>
          </a:xfrm>
          <a:prstGeom prst="roundRect">
            <a:avLst>
              <a:gd name="adj" fmla="val 8746"/>
            </a:avLst>
          </a:prstGeom>
          <a:solidFill>
            <a:srgbClr val="7AB2D3"/>
          </a:solidFill>
          <a:ln>
            <a:solidFill>
              <a:srgbClr val="7AB2D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CB7626E6-D2A4-4253-A320-249057BF9EC3}"/>
              </a:ext>
            </a:extLst>
          </xdr:cNvPr>
          <xdr:cNvSpPr txBox="1"/>
        </xdr:nvSpPr>
        <xdr:spPr>
          <a:xfrm>
            <a:off x="9973065525" y="3895725"/>
            <a:ext cx="1802548" cy="3070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 rtl="1"/>
            <a:r>
              <a:rPr lang="fa-IR" sz="1400" b="1">
                <a:solidFill>
                  <a:srgbClr val="FF1E00"/>
                </a:solidFill>
                <a:latin typeface="Vazirmatn FD" pitchFamily="2" charset="-78"/>
                <a:cs typeface="Vazirmatn FD" pitchFamily="2" charset="-78"/>
              </a:rPr>
              <a:t>صورت</a:t>
            </a:r>
            <a:r>
              <a:rPr lang="fa-IR" sz="1400" b="1" baseline="0">
                <a:solidFill>
                  <a:srgbClr val="FF1E00"/>
                </a:solidFill>
                <a:latin typeface="Vazirmatn FD" pitchFamily="2" charset="-78"/>
                <a:cs typeface="Vazirmatn FD" pitchFamily="2" charset="-78"/>
              </a:rPr>
              <a:t> وضعیت مالی</a:t>
            </a:r>
            <a:endParaRPr lang="en-GB" sz="1400" b="1">
              <a:solidFill>
                <a:srgbClr val="FF1E00"/>
              </a:solidFill>
              <a:latin typeface="Vazirmatn FD" pitchFamily="2" charset="-78"/>
              <a:cs typeface="Vazirmatn FD" pitchFamily="2" charset="-78"/>
            </a:endParaRPr>
          </a:p>
        </xdr:txBody>
      </xdr:sp>
      <xdr:sp macro="" textlink="$S$4">
        <xdr:nvSpPr>
          <xdr:cNvPr id="43" name="TextBox 42">
            <a:extLst>
              <a:ext uri="{FF2B5EF4-FFF2-40B4-BE49-F238E27FC236}">
                <a16:creationId xmlns:a16="http://schemas.microsoft.com/office/drawing/2014/main" id="{ECB15CB9-1E81-4CFD-B23B-86C7B05D6F7C}"/>
              </a:ext>
            </a:extLst>
          </xdr:cNvPr>
          <xdr:cNvSpPr txBox="1"/>
        </xdr:nvSpPr>
        <xdr:spPr>
          <a:xfrm>
            <a:off x="9971262977" y="3895725"/>
            <a:ext cx="1802548" cy="3070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 rtl="1"/>
            <a:fld id="{6A525A76-15D6-48FB-951B-AD1C91A3B883}" type="TxLink">
              <a:rPr lang="ar-SA" sz="1600" b="1" i="0" u="none" strike="noStrike">
                <a:solidFill>
                  <a:srgbClr val="FF0000"/>
                </a:solidFill>
                <a:latin typeface="Vazirmatn FD" pitchFamily="2" charset="-78"/>
                <a:ea typeface="Calibri"/>
                <a:cs typeface="Vazirmatn FD" pitchFamily="2" charset="-78"/>
              </a:rPr>
              <a:t>شماره: 32</a:t>
            </a:fld>
            <a:endParaRPr lang="en-GB" sz="2000" b="1">
              <a:solidFill>
                <a:srgbClr val="FF0000"/>
              </a:solidFill>
              <a:latin typeface="Vazirmatn FD" pitchFamily="2" charset="-78"/>
              <a:cs typeface="Vazirmatn FD" pitchFamily="2" charset="-78"/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F4256FB6-8955-459E-AC7E-25B89A6A0A51}"/>
              </a:ext>
            </a:extLst>
          </xdr:cNvPr>
          <xdr:cNvSpPr txBox="1"/>
        </xdr:nvSpPr>
        <xdr:spPr>
          <a:xfrm>
            <a:off x="9973770311" y="4352925"/>
            <a:ext cx="1101300" cy="3059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l" rtl="1"/>
            <a:r>
              <a:rPr lang="fa-IR" sz="1200" b="1">
                <a:solidFill>
                  <a:schemeClr val="tx1"/>
                </a:solidFill>
                <a:latin typeface="Vazirmatn FD" pitchFamily="2" charset="-78"/>
                <a:cs typeface="Vazirmatn FD" pitchFamily="2" charset="-78"/>
              </a:rPr>
              <a:t>تجمیعی ارسالی:</a:t>
            </a:r>
            <a:endParaRPr lang="en-GB" sz="1200" b="1">
              <a:solidFill>
                <a:schemeClr val="tx1"/>
              </a:solidFill>
              <a:latin typeface="Vazirmatn FD" pitchFamily="2" charset="-78"/>
              <a:cs typeface="Vazirmatn FD" pitchFamily="2" charset="-78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4B0A636F-3948-47BA-9EBE-FF615849EE94}"/>
              </a:ext>
            </a:extLst>
          </xdr:cNvPr>
          <xdr:cNvSpPr txBox="1"/>
        </xdr:nvSpPr>
        <xdr:spPr>
          <a:xfrm>
            <a:off x="9973780872" y="4737633"/>
            <a:ext cx="1092080" cy="2994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l" rtl="1"/>
            <a:r>
              <a:rPr lang="fa-IR" sz="1200" b="1">
                <a:solidFill>
                  <a:srgbClr val="7030A0"/>
                </a:solidFill>
                <a:latin typeface="Vazirmatn FD" pitchFamily="2" charset="-78"/>
                <a:cs typeface="Vazirmatn FD" pitchFamily="2" charset="-78"/>
              </a:rPr>
              <a:t>تجمیعی تاییدی: </a:t>
            </a:r>
            <a:endParaRPr lang="en-GB" sz="1200" b="1">
              <a:solidFill>
                <a:srgbClr val="7030A0"/>
              </a:solidFill>
              <a:latin typeface="Vazirmatn FD" pitchFamily="2" charset="-78"/>
              <a:cs typeface="Vazirmatn FD" pitchFamily="2" charset="-78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5DBBEE46-ECC4-4A27-B8B2-8EBCB47CDE53}"/>
              </a:ext>
            </a:extLst>
          </xdr:cNvPr>
          <xdr:cNvSpPr txBox="1"/>
        </xdr:nvSpPr>
        <xdr:spPr>
          <a:xfrm>
            <a:off x="9973776496" y="5124952"/>
            <a:ext cx="1092080" cy="30594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l" rtl="1"/>
            <a:r>
              <a:rPr lang="fa-IR" sz="1200" b="1">
                <a:solidFill>
                  <a:srgbClr val="FF1E00"/>
                </a:solidFill>
                <a:latin typeface="Vazirmatn FD" pitchFamily="2" charset="-78"/>
                <a:cs typeface="Vazirmatn FD" pitchFamily="2" charset="-78"/>
              </a:rPr>
              <a:t>اختلاف:</a:t>
            </a:r>
            <a:endParaRPr lang="en-GB" sz="1200" b="1">
              <a:solidFill>
                <a:srgbClr val="FF1E00"/>
              </a:solidFill>
              <a:latin typeface="Vazirmatn FD" pitchFamily="2" charset="-78"/>
              <a:cs typeface="Vazirmatn FD" pitchFamily="2" charset="-78"/>
            </a:endParaRPr>
          </a:p>
        </xdr:txBody>
      </xdr:sp>
      <xdr:sp macro="" textlink="$R$5">
        <xdr:nvSpPr>
          <xdr:cNvPr id="47" name="TextBox 46">
            <a:extLst>
              <a:ext uri="{FF2B5EF4-FFF2-40B4-BE49-F238E27FC236}">
                <a16:creationId xmlns:a16="http://schemas.microsoft.com/office/drawing/2014/main" id="{9F85D10E-1D12-4D6A-862D-8D5F7E183FB8}"/>
              </a:ext>
            </a:extLst>
          </xdr:cNvPr>
          <xdr:cNvSpPr txBox="1"/>
        </xdr:nvSpPr>
        <xdr:spPr>
          <a:xfrm>
            <a:off x="9972358185" y="4352925"/>
            <a:ext cx="1296551" cy="30594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marL="0" indent="0" algn="l" rtl="1"/>
            <a:fld id="{1416B370-0CB7-4E91-9ECC-B81F8ABC3CE5}" type="TxLink">
              <a:rPr lang="en-US" sz="1400" b="0" i="0" u="none" strike="noStrike">
                <a:solidFill>
                  <a:schemeClr val="tx1"/>
                </a:solidFill>
                <a:latin typeface="Vazirmatn FD" pitchFamily="2" charset="-78"/>
                <a:ea typeface="Calibri"/>
                <a:cs typeface="Vazirmatn FD" pitchFamily="2" charset="-78"/>
              </a:rPr>
              <a:pPr marL="0" indent="0" algn="l" rtl="1"/>
              <a:t> 1,003,991,000,000.00 </a:t>
            </a:fld>
            <a:endParaRPr lang="en-GB" sz="1800" b="1">
              <a:solidFill>
                <a:schemeClr val="tx1"/>
              </a:solidFill>
              <a:latin typeface="Vazirmatn FD" pitchFamily="2" charset="-78"/>
              <a:ea typeface="+mn-ea"/>
              <a:cs typeface="Vazirmatn FD" pitchFamily="2" charset="-78"/>
            </a:endParaRPr>
          </a:p>
        </xdr:txBody>
      </xdr:sp>
      <xdr:sp macro="" textlink="$R$6">
        <xdr:nvSpPr>
          <xdr:cNvPr id="48" name="TextBox 47">
            <a:extLst>
              <a:ext uri="{FF2B5EF4-FFF2-40B4-BE49-F238E27FC236}">
                <a16:creationId xmlns:a16="http://schemas.microsoft.com/office/drawing/2014/main" id="{35D72F5C-9F7D-48E5-B357-6465C813D38D}"/>
              </a:ext>
            </a:extLst>
          </xdr:cNvPr>
          <xdr:cNvSpPr txBox="1"/>
        </xdr:nvSpPr>
        <xdr:spPr>
          <a:xfrm>
            <a:off x="9972370345" y="4737633"/>
            <a:ext cx="1285730" cy="2974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marL="0" indent="0" algn="l" rtl="1"/>
            <a:fld id="{548532A5-C874-48D1-8C45-8030FC09CDA3}" type="TxLink">
              <a:rPr lang="en-US" sz="1400" b="0" i="0" u="none" strike="noStrike">
                <a:solidFill>
                  <a:srgbClr val="7030A0"/>
                </a:solidFill>
                <a:latin typeface="Vazirmatn FD" pitchFamily="2" charset="-78"/>
                <a:ea typeface="Calibri"/>
                <a:cs typeface="Vazirmatn FD" pitchFamily="2" charset="-78"/>
              </a:rPr>
              <a:pPr marL="0" indent="0" algn="l" rtl="1"/>
              <a:t> 1,000,477,000,000.00 </a:t>
            </a:fld>
            <a:endParaRPr lang="en-GB" sz="1800" b="0">
              <a:solidFill>
                <a:srgbClr val="7030A0"/>
              </a:solidFill>
              <a:latin typeface="Vazirmatn FD" pitchFamily="2" charset="-78"/>
              <a:ea typeface="+mn-ea"/>
              <a:cs typeface="Vazirmatn FD" pitchFamily="2" charset="-78"/>
            </a:endParaRPr>
          </a:p>
        </xdr:txBody>
      </xdr:sp>
      <xdr:sp macro="" textlink="$R$7">
        <xdr:nvSpPr>
          <xdr:cNvPr id="49" name="TextBox 48">
            <a:extLst>
              <a:ext uri="{FF2B5EF4-FFF2-40B4-BE49-F238E27FC236}">
                <a16:creationId xmlns:a16="http://schemas.microsoft.com/office/drawing/2014/main" id="{A7C7138B-26B3-45D4-804F-99A973D317EA}"/>
              </a:ext>
            </a:extLst>
          </xdr:cNvPr>
          <xdr:cNvSpPr txBox="1"/>
        </xdr:nvSpPr>
        <xdr:spPr>
          <a:xfrm>
            <a:off x="9972556116" y="5126497"/>
            <a:ext cx="1095583" cy="30594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marL="0" indent="0" algn="l" rtl="1"/>
            <a:fld id="{2DF7893C-9AF4-49AB-AED6-B1471ADD48A6}" type="TxLink">
              <a:rPr lang="en-US" sz="1400" b="0" i="0" u="none" strike="noStrike">
                <a:solidFill>
                  <a:srgbClr val="FF0000"/>
                </a:solidFill>
                <a:latin typeface="Vazirmatn FD" pitchFamily="2" charset="-78"/>
                <a:ea typeface="Calibri"/>
                <a:cs typeface="Vazirmatn FD" pitchFamily="2" charset="-78"/>
              </a:rPr>
              <a:pPr marL="0" indent="0" algn="l" rtl="1"/>
              <a:t> 3,514,000,000.00 </a:t>
            </a:fld>
            <a:endParaRPr lang="en-GB" sz="1800" b="1">
              <a:solidFill>
                <a:srgbClr val="FF0000"/>
              </a:solidFill>
              <a:latin typeface="Vazirmatn FD" pitchFamily="2" charset="-78"/>
              <a:ea typeface="+mn-ea"/>
              <a:cs typeface="Vazirmatn FD" pitchFamily="2" charset="-78"/>
            </a:endParaRPr>
          </a:p>
        </xdr:txBody>
      </xdr:sp>
    </xdr:grpSp>
    <xdr:clientData/>
  </xdr:twoCellAnchor>
  <xdr:twoCellAnchor>
    <xdr:from>
      <xdr:col>19</xdr:col>
      <xdr:colOff>47625</xdr:colOff>
      <xdr:row>14</xdr:row>
      <xdr:rowOff>180974</xdr:rowOff>
    </xdr:from>
    <xdr:to>
      <xdr:col>21</xdr:col>
      <xdr:colOff>359032</xdr:colOff>
      <xdr:row>18</xdr:row>
      <xdr:rowOff>152400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CAD00AA-E5E4-4225-8FE8-B97F6F9F253C}"/>
            </a:ext>
          </a:extLst>
        </xdr:cNvPr>
        <xdr:cNvSpPr txBox="1"/>
      </xdr:nvSpPr>
      <xdr:spPr>
        <a:xfrm>
          <a:off x="9974525768" y="2714624"/>
          <a:ext cx="1530607" cy="6953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marL="0" indent="0" algn="ctr" rtl="1"/>
          <a:r>
            <a:rPr lang="fa-IR" sz="1200" b="1" i="0" u="none" strike="noStrike">
              <a:solidFill>
                <a:schemeClr val="tx1"/>
              </a:solidFill>
              <a:latin typeface="Vazirmatn FD" pitchFamily="2" charset="-78"/>
              <a:ea typeface="Calibri"/>
              <a:cs typeface="Vazirmatn FD" pitchFamily="2" charset="-78"/>
            </a:rPr>
            <a:t>ارقام به ریال میباشد.</a:t>
          </a:r>
        </a:p>
      </xdr:txBody>
    </xdr:sp>
    <xdr:clientData/>
  </xdr:twoCellAnchor>
  <xdr:twoCellAnchor>
    <xdr:from>
      <xdr:col>15</xdr:col>
      <xdr:colOff>309283</xdr:colOff>
      <xdr:row>30</xdr:row>
      <xdr:rowOff>36980</xdr:rowOff>
    </xdr:from>
    <xdr:to>
      <xdr:col>21</xdr:col>
      <xdr:colOff>546847</xdr:colOff>
      <xdr:row>49</xdr:row>
      <xdr:rowOff>0</xdr:rowOff>
    </xdr:to>
    <xdr:grpSp>
      <xdr:nvGrpSpPr>
        <xdr:cNvPr id="1036" name="Group 1035">
          <a:extLst>
            <a:ext uri="{FF2B5EF4-FFF2-40B4-BE49-F238E27FC236}">
              <a16:creationId xmlns:a16="http://schemas.microsoft.com/office/drawing/2014/main" id="{4BDAC143-A55D-7A59-706E-852D2878F203}"/>
            </a:ext>
          </a:extLst>
        </xdr:cNvPr>
        <xdr:cNvGrpSpPr/>
      </xdr:nvGrpSpPr>
      <xdr:grpSpPr>
        <a:xfrm>
          <a:off x="4983096" y="5599580"/>
          <a:ext cx="4657164" cy="3500877"/>
          <a:chOff x="9974337953" y="5424768"/>
          <a:chExt cx="4657164" cy="3387538"/>
        </a:xfrm>
      </xdr:grpSpPr>
      <xdr:sp macro="" textlink="">
        <xdr:nvSpPr>
          <xdr:cNvPr id="1034" name="Rectangle: Rounded Corners 1033">
            <a:extLst>
              <a:ext uri="{FF2B5EF4-FFF2-40B4-BE49-F238E27FC236}">
                <a16:creationId xmlns:a16="http://schemas.microsoft.com/office/drawing/2014/main" id="{F3FA9F43-B7BF-4F4C-9852-05EA5CA981CD}"/>
              </a:ext>
            </a:extLst>
          </xdr:cNvPr>
          <xdr:cNvSpPr/>
        </xdr:nvSpPr>
        <xdr:spPr>
          <a:xfrm>
            <a:off x="9974337953" y="5424768"/>
            <a:ext cx="4634753" cy="3387538"/>
          </a:xfrm>
          <a:prstGeom prst="roundRect">
            <a:avLst>
              <a:gd name="adj" fmla="val 8746"/>
            </a:avLst>
          </a:prstGeom>
          <a:solidFill>
            <a:srgbClr val="7AB2D3"/>
          </a:solidFill>
          <a:ln>
            <a:solidFill>
              <a:srgbClr val="7AB2D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graphicFrame macro="">
        <xdr:nvGraphicFramePr>
          <xdr:cNvPr id="1031" name="Chart 1030">
            <a:extLst>
              <a:ext uri="{FF2B5EF4-FFF2-40B4-BE49-F238E27FC236}">
                <a16:creationId xmlns:a16="http://schemas.microsoft.com/office/drawing/2014/main" id="{3A3F02C7-5A12-C617-31B9-9D67E2A197E8}"/>
              </a:ext>
            </a:extLst>
          </xdr:cNvPr>
          <xdr:cNvGraphicFramePr/>
        </xdr:nvGraphicFramePr>
        <xdr:xfrm>
          <a:off x="9974423117" y="5970494"/>
          <a:ext cx="4572000" cy="27790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1035" name="TextBox 1034">
            <a:extLst>
              <a:ext uri="{FF2B5EF4-FFF2-40B4-BE49-F238E27FC236}">
                <a16:creationId xmlns:a16="http://schemas.microsoft.com/office/drawing/2014/main" id="{0DDE22A3-3E34-466B-BD0C-F44031F9F456}"/>
              </a:ext>
            </a:extLst>
          </xdr:cNvPr>
          <xdr:cNvSpPr txBox="1"/>
        </xdr:nvSpPr>
        <xdr:spPr>
          <a:xfrm>
            <a:off x="9974896889" y="5531224"/>
            <a:ext cx="3268993" cy="3088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 rtl="1"/>
            <a:r>
              <a:rPr lang="fa-IR" sz="1400" b="1">
                <a:solidFill>
                  <a:srgbClr val="FF1E00"/>
                </a:solidFill>
                <a:latin typeface="Vazirmatn FD" pitchFamily="2" charset="-78"/>
                <a:cs typeface="Vazirmatn FD" pitchFamily="2" charset="-78"/>
              </a:rPr>
              <a:t>وضعیت تاخیرات</a:t>
            </a:r>
            <a:endParaRPr lang="en-GB" sz="1400" b="1">
              <a:solidFill>
                <a:srgbClr val="FF1E00"/>
              </a:solidFill>
              <a:latin typeface="Vazirmatn FD" pitchFamily="2" charset="-78"/>
              <a:cs typeface="Vazirmatn FD" pitchFamily="2" charset="-78"/>
            </a:endParaRPr>
          </a:p>
        </xdr:txBody>
      </xdr:sp>
    </xdr:grpSp>
    <xdr:clientData/>
  </xdr:twoCellAnchor>
  <xdr:twoCellAnchor>
    <xdr:from>
      <xdr:col>14</xdr:col>
      <xdr:colOff>112941</xdr:colOff>
      <xdr:row>18</xdr:row>
      <xdr:rowOff>160564</xdr:rowOff>
    </xdr:from>
    <xdr:to>
      <xdr:col>28</xdr:col>
      <xdr:colOff>598715</xdr:colOff>
      <xdr:row>30</xdr:row>
      <xdr:rowOff>160564</xdr:rowOff>
    </xdr:to>
    <xdr:grpSp>
      <xdr:nvGrpSpPr>
        <xdr:cNvPr id="1057" name="Group 1056">
          <a:extLst>
            <a:ext uri="{FF2B5EF4-FFF2-40B4-BE49-F238E27FC236}">
              <a16:creationId xmlns:a16="http://schemas.microsoft.com/office/drawing/2014/main" id="{548035D2-DDB5-62F1-25AF-9C97E516B214}"/>
            </a:ext>
          </a:extLst>
        </xdr:cNvPr>
        <xdr:cNvGrpSpPr/>
      </xdr:nvGrpSpPr>
      <xdr:grpSpPr>
        <a:xfrm>
          <a:off x="10885" y="3491593"/>
          <a:ext cx="10435317" cy="2231571"/>
          <a:chOff x="0" y="3463290"/>
          <a:chExt cx="10452734" cy="2209800"/>
        </a:xfrm>
      </xdr:grpSpPr>
      <xdr:grpSp>
        <xdr:nvGrpSpPr>
          <xdr:cNvPr id="1029" name="Group 1028">
            <a:extLst>
              <a:ext uri="{FF2B5EF4-FFF2-40B4-BE49-F238E27FC236}">
                <a16:creationId xmlns:a16="http://schemas.microsoft.com/office/drawing/2014/main" id="{A0592DA3-CC13-9780-6FE5-7AAACEE54B06}"/>
              </a:ext>
            </a:extLst>
          </xdr:cNvPr>
          <xdr:cNvGrpSpPr/>
        </xdr:nvGrpSpPr>
        <xdr:grpSpPr>
          <a:xfrm>
            <a:off x="0" y="3463290"/>
            <a:ext cx="10452734" cy="2209800"/>
            <a:chOff x="9964178700" y="2152650"/>
            <a:chExt cx="9925049" cy="2181225"/>
          </a:xfrm>
        </xdr:grpSpPr>
        <xdr:grpSp>
          <xdr:nvGrpSpPr>
            <xdr:cNvPr id="62" name="Group 61">
              <a:extLst>
                <a:ext uri="{FF2B5EF4-FFF2-40B4-BE49-F238E27FC236}">
                  <a16:creationId xmlns:a16="http://schemas.microsoft.com/office/drawing/2014/main" id="{CA0C4F2C-6B69-2198-6DB0-9D76B7CFB2D0}"/>
                </a:ext>
              </a:extLst>
            </xdr:cNvPr>
            <xdr:cNvGrpSpPr/>
          </xdr:nvGrpSpPr>
          <xdr:grpSpPr>
            <a:xfrm>
              <a:off x="9964178700" y="2152650"/>
              <a:ext cx="9925049" cy="2181225"/>
              <a:chOff x="9969817500" y="3467100"/>
              <a:chExt cx="9925049" cy="2181225"/>
            </a:xfrm>
          </xdr:grpSpPr>
          <xdr:sp macro="" textlink="">
            <xdr:nvSpPr>
              <xdr:cNvPr id="52" name="Rectangle: Rounded Corners 51">
                <a:extLst>
                  <a:ext uri="{FF2B5EF4-FFF2-40B4-BE49-F238E27FC236}">
                    <a16:creationId xmlns:a16="http://schemas.microsoft.com/office/drawing/2014/main" id="{90E4F088-99EA-49ED-9409-5392C5806967}"/>
                  </a:ext>
                </a:extLst>
              </xdr:cNvPr>
              <xdr:cNvSpPr/>
            </xdr:nvSpPr>
            <xdr:spPr>
              <a:xfrm>
                <a:off x="9969931389" y="3467100"/>
                <a:ext cx="9001536" cy="2009775"/>
              </a:xfrm>
              <a:prstGeom prst="roundRect">
                <a:avLst>
                  <a:gd name="adj" fmla="val 8746"/>
                </a:avLst>
              </a:prstGeom>
              <a:solidFill>
                <a:srgbClr val="7AB2D3"/>
              </a:solidFill>
              <a:ln>
                <a:solidFill>
                  <a:srgbClr val="7AB2D3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r" rtl="1"/>
                <a:endParaRPr lang="en-US" sz="1100"/>
              </a:p>
            </xdr:txBody>
          </xdr:sp>
          <xdr:graphicFrame macro="">
            <xdr:nvGraphicFramePr>
              <xdr:cNvPr id="56" name="Chart 55">
                <a:extLst>
                  <a:ext uri="{FF2B5EF4-FFF2-40B4-BE49-F238E27FC236}">
                    <a16:creationId xmlns:a16="http://schemas.microsoft.com/office/drawing/2014/main" id="{9EF44F27-E4FC-EAA3-B804-83C7CB908616}"/>
                  </a:ext>
                </a:extLst>
              </xdr:cNvPr>
              <xdr:cNvGraphicFramePr/>
            </xdr:nvGraphicFramePr>
            <xdr:xfrm>
              <a:off x="9976532625" y="3810000"/>
              <a:ext cx="3209924" cy="1838325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1"/>
              </a:graphicData>
            </a:graphic>
          </xdr:graphicFrame>
          <xdr:graphicFrame macro="">
            <xdr:nvGraphicFramePr>
              <xdr:cNvPr id="57" name="Chart 56">
                <a:extLst>
                  <a:ext uri="{FF2B5EF4-FFF2-40B4-BE49-F238E27FC236}">
                    <a16:creationId xmlns:a16="http://schemas.microsoft.com/office/drawing/2014/main" id="{8FB488A4-4038-4997-87C1-D854E29C0C93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9974853843" y="3810000"/>
              <a:ext cx="3209924" cy="1838325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2"/>
              </a:graphicData>
            </a:graphic>
          </xdr:graphicFrame>
          <xdr:graphicFrame macro="">
            <xdr:nvGraphicFramePr>
              <xdr:cNvPr id="58" name="Chart 57">
                <a:extLst>
                  <a:ext uri="{FF2B5EF4-FFF2-40B4-BE49-F238E27FC236}">
                    <a16:creationId xmlns:a16="http://schemas.microsoft.com/office/drawing/2014/main" id="{230EDEBC-F564-419C-B69F-FD74477F5ECE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9973175062" y="3810000"/>
              <a:ext cx="3209924" cy="1838325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3"/>
              </a:graphicData>
            </a:graphic>
          </xdr:graphicFrame>
          <xdr:graphicFrame macro="">
            <xdr:nvGraphicFramePr>
              <xdr:cNvPr id="59" name="Chart 58">
                <a:extLst>
                  <a:ext uri="{FF2B5EF4-FFF2-40B4-BE49-F238E27FC236}">
                    <a16:creationId xmlns:a16="http://schemas.microsoft.com/office/drawing/2014/main" id="{B2E2BF3C-7372-47CA-B952-884B1854982E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9971496281" y="3810000"/>
              <a:ext cx="3209924" cy="1838325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4"/>
              </a:graphicData>
            </a:graphic>
          </xdr:graphicFrame>
          <xdr:graphicFrame macro="">
            <xdr:nvGraphicFramePr>
              <xdr:cNvPr id="60" name="Chart 59">
                <a:extLst>
                  <a:ext uri="{FF2B5EF4-FFF2-40B4-BE49-F238E27FC236}">
                    <a16:creationId xmlns:a16="http://schemas.microsoft.com/office/drawing/2014/main" id="{6122596A-9E62-40FB-9E61-A3884615EFFD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9969817500" y="3810000"/>
              <a:ext cx="3209924" cy="1838325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5"/>
              </a:graphicData>
            </a:graphic>
          </xdr:graphicFrame>
          <xdr:sp macro="" textlink="">
            <xdr:nvSpPr>
              <xdr:cNvPr id="61" name="TextBox 60">
                <a:extLst>
                  <a:ext uri="{FF2B5EF4-FFF2-40B4-BE49-F238E27FC236}">
                    <a16:creationId xmlns:a16="http://schemas.microsoft.com/office/drawing/2014/main" id="{4DE5D3B6-825F-4A74-A2B9-A58AB6E01F45}"/>
                  </a:ext>
                </a:extLst>
              </xdr:cNvPr>
              <xdr:cNvSpPr txBox="1"/>
            </xdr:nvSpPr>
            <xdr:spPr>
              <a:xfrm>
                <a:off x="9970948973" y="3543300"/>
                <a:ext cx="6669501" cy="29788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lIns="0" tIns="0" rIns="0" bIns="0" rtlCol="0" anchor="ctr"/>
              <a:lstStyle/>
              <a:p>
                <a:pPr algn="ctr" rtl="1"/>
                <a:r>
                  <a:rPr lang="fa-IR" sz="1400" b="1">
                    <a:solidFill>
                      <a:srgbClr val="FF1E00"/>
                    </a:solidFill>
                    <a:latin typeface="Vazirmatn FD" pitchFamily="2" charset="-78"/>
                    <a:cs typeface="Vazirmatn FD" pitchFamily="2" charset="-78"/>
                  </a:rPr>
                  <a:t>عملکرد پیمانکاران</a:t>
                </a:r>
                <a:endParaRPr lang="en-GB" sz="1400" b="1">
                  <a:solidFill>
                    <a:srgbClr val="FF1E00"/>
                  </a:solidFill>
                  <a:latin typeface="Vazirmatn FD" pitchFamily="2" charset="-78"/>
                  <a:cs typeface="Vazirmatn FD" pitchFamily="2" charset="-78"/>
                </a:endParaRPr>
              </a:p>
            </xdr:txBody>
          </xdr:sp>
        </xdr:grpSp>
        <xdr:sp macro="" textlink="$R$21">
          <xdr:nvSpPr>
            <xdr:cNvPr id="63" name="TextBox 62">
              <a:extLst>
                <a:ext uri="{FF2B5EF4-FFF2-40B4-BE49-F238E27FC236}">
                  <a16:creationId xmlns:a16="http://schemas.microsoft.com/office/drawing/2014/main" id="{79E87A50-8BFC-B97B-E507-BB9B668D725B}"/>
                </a:ext>
              </a:extLst>
            </xdr:cNvPr>
            <xdr:cNvSpPr txBox="1"/>
          </xdr:nvSpPr>
          <xdr:spPr>
            <a:xfrm>
              <a:off x="9972103500" y="3152775"/>
              <a:ext cx="809625" cy="5334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 rtl="1"/>
              <a:fld id="{3451EF85-BEBE-4DB9-8F09-E64A7C2B0C57}" type="TxLink">
                <a:rPr lang="en-US" sz="1400" b="0" i="0" u="none" strike="noStrike">
                  <a:solidFill>
                    <a:srgbClr val="000000"/>
                  </a:solidFill>
                  <a:latin typeface="Vazirmatn FD" pitchFamily="2" charset="-78"/>
                  <a:ea typeface="Calibri"/>
                  <a:cs typeface="Vazirmatn FD" pitchFamily="2" charset="-78"/>
                </a:rPr>
                <a:pPr algn="ctr" rtl="1"/>
                <a:t>70%</a:t>
              </a:fld>
              <a:endParaRPr lang="en-US" sz="1400">
                <a:latin typeface="Vazirmatn FD" pitchFamily="2" charset="-78"/>
                <a:cs typeface="Vazirmatn FD" pitchFamily="2" charset="-78"/>
              </a:endParaRPr>
            </a:p>
          </xdr:txBody>
        </xdr:sp>
        <xdr:sp macro="" textlink="$S$21">
          <xdr:nvSpPr>
            <xdr:cNvPr id="1025" name="TextBox 1024">
              <a:extLst>
                <a:ext uri="{FF2B5EF4-FFF2-40B4-BE49-F238E27FC236}">
                  <a16:creationId xmlns:a16="http://schemas.microsoft.com/office/drawing/2014/main" id="{A72892AB-B74A-48F5-8688-88DBAF042053}"/>
                </a:ext>
              </a:extLst>
            </xdr:cNvPr>
            <xdr:cNvSpPr txBox="1"/>
          </xdr:nvSpPr>
          <xdr:spPr>
            <a:xfrm>
              <a:off x="9970446150" y="3133725"/>
              <a:ext cx="809625" cy="5334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 rtl="1"/>
              <a:fld id="{CA46F629-75EC-4CE7-8D9A-A1020BC5A892}" type="TxLink">
                <a:rPr lang="en-US" sz="1400" b="0" i="0" u="none" strike="noStrike">
                  <a:solidFill>
                    <a:srgbClr val="000000"/>
                  </a:solidFill>
                  <a:latin typeface="Vazirmatn FD" pitchFamily="2" charset="-78"/>
                  <a:ea typeface="Calibri"/>
                  <a:cs typeface="Vazirmatn FD" pitchFamily="2" charset="-78"/>
                </a:rPr>
                <a:pPr marL="0" indent="0" algn="ctr" rtl="1"/>
                <a:t>68%</a:t>
              </a:fld>
              <a:endParaRPr lang="en-US" sz="1400" b="0" i="0" u="none" strike="noStrike">
                <a:solidFill>
                  <a:srgbClr val="000000"/>
                </a:solidFill>
                <a:latin typeface="Vazirmatn FD" pitchFamily="2" charset="-78"/>
                <a:ea typeface="Calibri"/>
                <a:cs typeface="Vazirmatn FD" pitchFamily="2" charset="-78"/>
              </a:endParaRPr>
            </a:p>
          </xdr:txBody>
        </xdr:sp>
        <xdr:sp macro="" textlink="$T$21">
          <xdr:nvSpPr>
            <xdr:cNvPr id="1026" name="TextBox 1025">
              <a:extLst>
                <a:ext uri="{FF2B5EF4-FFF2-40B4-BE49-F238E27FC236}">
                  <a16:creationId xmlns:a16="http://schemas.microsoft.com/office/drawing/2014/main" id="{F83BEE2F-08D9-49AE-AA54-067DF985118A}"/>
                </a:ext>
              </a:extLst>
            </xdr:cNvPr>
            <xdr:cNvSpPr txBox="1"/>
          </xdr:nvSpPr>
          <xdr:spPr>
            <a:xfrm>
              <a:off x="9968741175" y="3152775"/>
              <a:ext cx="809625" cy="5334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 rtl="1"/>
              <a:fld id="{205ED30C-CFCC-4F00-B4F2-4316A427CBFE}" type="TxLink">
                <a:rPr lang="en-US" sz="1400" b="0" i="0" u="none" strike="noStrike">
                  <a:solidFill>
                    <a:srgbClr val="000000"/>
                  </a:solidFill>
                  <a:latin typeface="Vazirmatn FD" pitchFamily="2" charset="-78"/>
                  <a:ea typeface="Calibri"/>
                  <a:cs typeface="Vazirmatn FD" pitchFamily="2" charset="-78"/>
                </a:rPr>
                <a:pPr marL="0" indent="0" algn="ctr" rtl="1"/>
                <a:t>50%</a:t>
              </a:fld>
              <a:endParaRPr lang="en-US" sz="1400" b="0" i="0" u="none" strike="noStrike">
                <a:solidFill>
                  <a:srgbClr val="000000"/>
                </a:solidFill>
                <a:latin typeface="Vazirmatn FD" pitchFamily="2" charset="-78"/>
                <a:ea typeface="Calibri"/>
                <a:cs typeface="Vazirmatn FD" pitchFamily="2" charset="-78"/>
              </a:endParaRPr>
            </a:p>
          </xdr:txBody>
        </xdr:sp>
        <xdr:sp macro="" textlink="$U$21">
          <xdr:nvSpPr>
            <xdr:cNvPr id="1027" name="TextBox 1026">
              <a:extLst>
                <a:ext uri="{FF2B5EF4-FFF2-40B4-BE49-F238E27FC236}">
                  <a16:creationId xmlns:a16="http://schemas.microsoft.com/office/drawing/2014/main" id="{CDD9ADEE-655C-4C1D-834D-8617973E4C3B}"/>
                </a:ext>
              </a:extLst>
            </xdr:cNvPr>
            <xdr:cNvSpPr txBox="1"/>
          </xdr:nvSpPr>
          <xdr:spPr>
            <a:xfrm>
              <a:off x="9967064775" y="3152775"/>
              <a:ext cx="809625" cy="5334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 rtl="1"/>
              <a:fld id="{D1A1EC78-279D-466D-9C29-0E2999B51BB5}" type="TxLink">
                <a:rPr lang="en-US" sz="1400" b="0" i="0" u="none" strike="noStrike">
                  <a:solidFill>
                    <a:srgbClr val="000000"/>
                  </a:solidFill>
                  <a:latin typeface="Vazirmatn FD" pitchFamily="2" charset="-78"/>
                  <a:ea typeface="Calibri"/>
                  <a:cs typeface="Vazirmatn FD" pitchFamily="2" charset="-78"/>
                </a:rPr>
                <a:pPr marL="0" indent="0" algn="ctr" rtl="1"/>
                <a:t>90%</a:t>
              </a:fld>
              <a:endParaRPr lang="en-US" sz="1400" b="0" i="0" u="none" strike="noStrike">
                <a:solidFill>
                  <a:srgbClr val="000000"/>
                </a:solidFill>
                <a:latin typeface="Vazirmatn FD" pitchFamily="2" charset="-78"/>
                <a:ea typeface="Calibri"/>
                <a:cs typeface="Vazirmatn FD" pitchFamily="2" charset="-78"/>
              </a:endParaRPr>
            </a:p>
          </xdr:txBody>
        </xdr:sp>
        <xdr:sp macro="" textlink="$V$21">
          <xdr:nvSpPr>
            <xdr:cNvPr id="1028" name="TextBox 1027">
              <a:extLst>
                <a:ext uri="{FF2B5EF4-FFF2-40B4-BE49-F238E27FC236}">
                  <a16:creationId xmlns:a16="http://schemas.microsoft.com/office/drawing/2014/main" id="{F8B6DE08-4C7C-4D70-A0F9-5241F21C0A90}"/>
                </a:ext>
              </a:extLst>
            </xdr:cNvPr>
            <xdr:cNvSpPr txBox="1"/>
          </xdr:nvSpPr>
          <xdr:spPr>
            <a:xfrm>
              <a:off x="9965397900" y="3152775"/>
              <a:ext cx="809625" cy="5334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 rtl="1"/>
              <a:fld id="{05A07716-FECA-4CB0-8D41-A8D26DB43A1B}" type="TxLink">
                <a:rPr lang="en-US" sz="1400" b="0" i="0" u="none" strike="noStrike">
                  <a:solidFill>
                    <a:srgbClr val="000000"/>
                  </a:solidFill>
                  <a:latin typeface="Vazirmatn FD" pitchFamily="2" charset="-78"/>
                  <a:ea typeface="Calibri"/>
                  <a:cs typeface="Vazirmatn FD" pitchFamily="2" charset="-78"/>
                </a:rPr>
                <a:pPr marL="0" indent="0" algn="ctr" rtl="1"/>
                <a:t>55%</a:t>
              </a:fld>
              <a:endParaRPr lang="en-US" sz="1400" b="0" i="0" u="none" strike="noStrike">
                <a:solidFill>
                  <a:srgbClr val="000000"/>
                </a:solidFill>
                <a:latin typeface="Vazirmatn FD" pitchFamily="2" charset="-78"/>
                <a:ea typeface="Calibri"/>
                <a:cs typeface="Vazirmatn FD" pitchFamily="2" charset="-78"/>
              </a:endParaRPr>
            </a:p>
          </xdr:txBody>
        </xdr:sp>
      </xdr:grpSp>
      <xdr:sp macro="" textlink="">
        <xdr:nvSpPr>
          <xdr:cNvPr id="1044" name="TextBox 1043">
            <a:extLst>
              <a:ext uri="{FF2B5EF4-FFF2-40B4-BE49-F238E27FC236}">
                <a16:creationId xmlns:a16="http://schemas.microsoft.com/office/drawing/2014/main" id="{0D036B3A-CE1D-4E5A-A439-CA069138F7EB}"/>
              </a:ext>
            </a:extLst>
          </xdr:cNvPr>
          <xdr:cNvSpPr txBox="1"/>
        </xdr:nvSpPr>
        <xdr:spPr>
          <a:xfrm>
            <a:off x="7966987" y="4671893"/>
            <a:ext cx="1530607" cy="7092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marL="0" indent="0" algn="ctr" rtl="1"/>
            <a:r>
              <a:rPr lang="fa-IR" sz="1200" b="1" i="0" u="none" strike="noStrike">
                <a:solidFill>
                  <a:schemeClr val="tx1"/>
                </a:solidFill>
                <a:latin typeface="Vazirmatn FD" pitchFamily="2" charset="-78"/>
                <a:ea typeface="Calibri"/>
                <a:cs typeface="Vazirmatn FD" pitchFamily="2" charset="-78"/>
              </a:rPr>
              <a:t>پیمانکار 1</a:t>
            </a:r>
          </a:p>
        </xdr:txBody>
      </xdr:sp>
      <xdr:sp macro="" textlink="">
        <xdr:nvSpPr>
          <xdr:cNvPr id="1045" name="TextBox 1044">
            <a:extLst>
              <a:ext uri="{FF2B5EF4-FFF2-40B4-BE49-F238E27FC236}">
                <a16:creationId xmlns:a16="http://schemas.microsoft.com/office/drawing/2014/main" id="{58BFBC36-7EDA-4B20-A52C-0B4C15DD7150}"/>
              </a:ext>
            </a:extLst>
          </xdr:cNvPr>
          <xdr:cNvSpPr txBox="1"/>
        </xdr:nvSpPr>
        <xdr:spPr>
          <a:xfrm>
            <a:off x="6170683" y="4720397"/>
            <a:ext cx="1530607" cy="7092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marL="0" indent="0" algn="ctr" rtl="1"/>
            <a:r>
              <a:rPr lang="fa-IR" sz="1200" b="1" i="0" u="none" strike="noStrike">
                <a:solidFill>
                  <a:schemeClr val="tx1"/>
                </a:solidFill>
                <a:latin typeface="Vazirmatn FD" pitchFamily="2" charset="-78"/>
                <a:ea typeface="Calibri"/>
                <a:cs typeface="Vazirmatn FD" pitchFamily="2" charset="-78"/>
              </a:rPr>
              <a:t>پیمانکار 2</a:t>
            </a:r>
          </a:p>
        </xdr:txBody>
      </xdr:sp>
      <xdr:sp macro="" textlink="">
        <xdr:nvSpPr>
          <xdr:cNvPr id="1046" name="TextBox 1045">
            <a:extLst>
              <a:ext uri="{FF2B5EF4-FFF2-40B4-BE49-F238E27FC236}">
                <a16:creationId xmlns:a16="http://schemas.microsoft.com/office/drawing/2014/main" id="{83587586-C52C-4C95-9262-31AF16FF6F64}"/>
              </a:ext>
            </a:extLst>
          </xdr:cNvPr>
          <xdr:cNvSpPr txBox="1"/>
        </xdr:nvSpPr>
        <xdr:spPr>
          <a:xfrm>
            <a:off x="4476151" y="4707591"/>
            <a:ext cx="1530607" cy="7092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marL="0" indent="0" algn="ctr" rtl="1"/>
            <a:r>
              <a:rPr lang="fa-IR" sz="1200" b="1" i="0" u="none" strike="noStrike">
                <a:solidFill>
                  <a:schemeClr val="tx1"/>
                </a:solidFill>
                <a:latin typeface="Vazirmatn FD" pitchFamily="2" charset="-78"/>
                <a:ea typeface="Calibri"/>
                <a:cs typeface="Vazirmatn FD" pitchFamily="2" charset="-78"/>
              </a:rPr>
              <a:t>پیمانکار 3</a:t>
            </a:r>
          </a:p>
        </xdr:txBody>
      </xdr:sp>
      <xdr:sp macro="" textlink="">
        <xdr:nvSpPr>
          <xdr:cNvPr id="1047" name="TextBox 1046">
            <a:extLst>
              <a:ext uri="{FF2B5EF4-FFF2-40B4-BE49-F238E27FC236}">
                <a16:creationId xmlns:a16="http://schemas.microsoft.com/office/drawing/2014/main" id="{DDF3FB2A-008A-45B5-912D-455ED431CE66}"/>
              </a:ext>
            </a:extLst>
          </xdr:cNvPr>
          <xdr:cNvSpPr txBox="1"/>
        </xdr:nvSpPr>
        <xdr:spPr>
          <a:xfrm>
            <a:off x="2601812" y="4736406"/>
            <a:ext cx="1698247" cy="7092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marL="0" indent="0" algn="ctr" rtl="1"/>
            <a:r>
              <a:rPr lang="fa-IR" sz="1200" b="1" i="0" u="none" strike="noStrike">
                <a:solidFill>
                  <a:schemeClr val="tx1"/>
                </a:solidFill>
                <a:latin typeface="Vazirmatn FD" pitchFamily="2" charset="-78"/>
                <a:ea typeface="Calibri"/>
                <a:cs typeface="Vazirmatn FD" pitchFamily="2" charset="-78"/>
              </a:rPr>
              <a:t>پیمانکار 4</a:t>
            </a:r>
          </a:p>
        </xdr:txBody>
      </xdr:sp>
      <xdr:sp macro="" textlink="">
        <xdr:nvSpPr>
          <xdr:cNvPr id="1048" name="TextBox 1047">
            <a:extLst>
              <a:ext uri="{FF2B5EF4-FFF2-40B4-BE49-F238E27FC236}">
                <a16:creationId xmlns:a16="http://schemas.microsoft.com/office/drawing/2014/main" id="{12263A48-0109-44EC-AEC2-35B88F3D5892}"/>
              </a:ext>
            </a:extLst>
          </xdr:cNvPr>
          <xdr:cNvSpPr txBox="1"/>
        </xdr:nvSpPr>
        <xdr:spPr>
          <a:xfrm>
            <a:off x="751932" y="4707591"/>
            <a:ext cx="1865887" cy="7092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marL="0" indent="0" algn="ctr" rtl="1"/>
            <a:r>
              <a:rPr lang="fa-IR" sz="1200" b="1" i="0" u="none" strike="noStrike">
                <a:solidFill>
                  <a:schemeClr val="tx1"/>
                </a:solidFill>
                <a:latin typeface="Vazirmatn FD" pitchFamily="2" charset="-78"/>
                <a:ea typeface="Calibri"/>
                <a:cs typeface="Vazirmatn FD" pitchFamily="2" charset="-78"/>
              </a:rPr>
              <a:t>پیمانکار 5</a:t>
            </a:r>
          </a:p>
        </xdr:txBody>
      </xdr:sp>
    </xdr:grpSp>
    <xdr:clientData/>
  </xdr:twoCellAnchor>
  <xdr:twoCellAnchor>
    <xdr:from>
      <xdr:col>21</xdr:col>
      <xdr:colOff>605116</xdr:colOff>
      <xdr:row>30</xdr:row>
      <xdr:rowOff>66594</xdr:rowOff>
    </xdr:from>
    <xdr:to>
      <xdr:col>28</xdr:col>
      <xdr:colOff>544285</xdr:colOff>
      <xdr:row>49</xdr:row>
      <xdr:rowOff>21772</xdr:rowOff>
    </xdr:to>
    <xdr:grpSp>
      <xdr:nvGrpSpPr>
        <xdr:cNvPr id="1053" name="Group 1052">
          <a:extLst>
            <a:ext uri="{FF2B5EF4-FFF2-40B4-BE49-F238E27FC236}">
              <a16:creationId xmlns:a16="http://schemas.microsoft.com/office/drawing/2014/main" id="{AAE72D17-E34A-1502-8A45-821B7B42D62F}"/>
            </a:ext>
          </a:extLst>
        </xdr:cNvPr>
        <xdr:cNvGrpSpPr/>
      </xdr:nvGrpSpPr>
      <xdr:grpSpPr>
        <a:xfrm>
          <a:off x="65315" y="5629194"/>
          <a:ext cx="4859512" cy="3471263"/>
          <a:chOff x="9970062430" y="5629194"/>
          <a:chExt cx="4859512" cy="3402747"/>
        </a:xfrm>
      </xdr:grpSpPr>
      <xdr:sp macro="" textlink="">
        <xdr:nvSpPr>
          <xdr:cNvPr id="1041" name="Rectangle: Rounded Corners 1040">
            <a:extLst>
              <a:ext uri="{FF2B5EF4-FFF2-40B4-BE49-F238E27FC236}">
                <a16:creationId xmlns:a16="http://schemas.microsoft.com/office/drawing/2014/main" id="{0CACD08E-56F5-4E48-8303-D2E090514BDF}"/>
              </a:ext>
            </a:extLst>
          </xdr:cNvPr>
          <xdr:cNvSpPr/>
        </xdr:nvSpPr>
        <xdr:spPr>
          <a:xfrm>
            <a:off x="9970062430" y="5629194"/>
            <a:ext cx="4859512" cy="3402747"/>
          </a:xfrm>
          <a:prstGeom prst="roundRect">
            <a:avLst>
              <a:gd name="adj" fmla="val 8746"/>
            </a:avLst>
          </a:prstGeom>
          <a:solidFill>
            <a:srgbClr val="7AB2D3"/>
          </a:solidFill>
          <a:ln>
            <a:solidFill>
              <a:srgbClr val="7AB2D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graphicFrame macro="">
        <xdr:nvGraphicFramePr>
          <xdr:cNvPr id="1052" name="Chart 1051">
            <a:extLst>
              <a:ext uri="{FF2B5EF4-FFF2-40B4-BE49-F238E27FC236}">
                <a16:creationId xmlns:a16="http://schemas.microsoft.com/office/drawing/2014/main" id="{03E8281C-334B-AD66-0CEA-6266FC0B12D9}"/>
              </a:ext>
            </a:extLst>
          </xdr:cNvPr>
          <xdr:cNvGraphicFramePr/>
        </xdr:nvGraphicFramePr>
        <xdr:xfrm>
          <a:off x="9970160400" y="6063342"/>
          <a:ext cx="4572000" cy="29173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</xdr:grpSp>
    <xdr:clientData/>
  </xdr:twoCellAnchor>
  <xdr:twoCellAnchor>
    <xdr:from>
      <xdr:col>23</xdr:col>
      <xdr:colOff>97972</xdr:colOff>
      <xdr:row>31</xdr:row>
      <xdr:rowOff>54429</xdr:rowOff>
    </xdr:from>
    <xdr:to>
      <xdr:col>27</xdr:col>
      <xdr:colOff>450369</xdr:colOff>
      <xdr:row>32</xdr:row>
      <xdr:rowOff>163573</xdr:rowOff>
    </xdr:to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EDA858C1-722D-441D-AA83-47BF7CB34B3F}"/>
            </a:ext>
          </a:extLst>
        </xdr:cNvPr>
        <xdr:cNvSpPr txBox="1"/>
      </xdr:nvSpPr>
      <xdr:spPr>
        <a:xfrm>
          <a:off x="9970940117" y="5802086"/>
          <a:ext cx="3280654" cy="3050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 rtl="1"/>
          <a:r>
            <a:rPr lang="fa-IR" sz="1400" b="1">
              <a:solidFill>
                <a:srgbClr val="FF1E00"/>
              </a:solidFill>
              <a:latin typeface="Vazirmatn FD" pitchFamily="2" charset="-78"/>
              <a:cs typeface="Vazirmatn FD" pitchFamily="2" charset="-78"/>
            </a:rPr>
            <a:t>وضعیت </a:t>
          </a:r>
          <a:r>
            <a:rPr lang="en-US" sz="1400" b="1">
              <a:solidFill>
                <a:srgbClr val="FF1E00"/>
              </a:solidFill>
              <a:latin typeface="Vazirmatn FD" pitchFamily="2" charset="-78"/>
              <a:cs typeface="Vazirmatn FD" pitchFamily="2" charset="-78"/>
            </a:rPr>
            <a:t>HSE</a:t>
          </a:r>
          <a:endParaRPr lang="en-GB" sz="1400" b="1">
            <a:solidFill>
              <a:srgbClr val="FF1E00"/>
            </a:solidFill>
            <a:latin typeface="Vazirmatn FD" pitchFamily="2" charset="-78"/>
            <a:cs typeface="Vazirmatn FD" pitchFamily="2" charset="-78"/>
          </a:endParaRPr>
        </a:p>
      </xdr:txBody>
    </xdr:sp>
    <xdr:clientData/>
  </xdr:twoCellAnchor>
  <xdr:twoCellAnchor>
    <xdr:from>
      <xdr:col>0</xdr:col>
      <xdr:colOff>0</xdr:colOff>
      <xdr:row>34</xdr:row>
      <xdr:rowOff>62592</xdr:rowOff>
    </xdr:from>
    <xdr:to>
      <xdr:col>15</xdr:col>
      <xdr:colOff>285750</xdr:colOff>
      <xdr:row>48</xdr:row>
      <xdr:rowOff>76200</xdr:rowOff>
    </xdr:to>
    <xdr:sp macro="" textlink="">
      <xdr:nvSpPr>
        <xdr:cNvPr id="1055" name="Rectangle: Rounded Corners 1054">
          <a:extLst>
            <a:ext uri="{FF2B5EF4-FFF2-40B4-BE49-F238E27FC236}">
              <a16:creationId xmlns:a16="http://schemas.microsoft.com/office/drawing/2014/main" id="{948B17AE-5F88-420C-AD3E-5D401BB80F57}"/>
            </a:ext>
          </a:extLst>
        </xdr:cNvPr>
        <xdr:cNvSpPr/>
      </xdr:nvSpPr>
      <xdr:spPr>
        <a:xfrm>
          <a:off x="9979671793" y="6387192"/>
          <a:ext cx="9353550" cy="2604408"/>
        </a:xfrm>
        <a:prstGeom prst="roundRect">
          <a:avLst>
            <a:gd name="adj" fmla="val 8746"/>
          </a:avLst>
        </a:prstGeom>
        <a:solidFill>
          <a:srgbClr val="7AB2D3"/>
        </a:solidFill>
        <a:ln>
          <a:solidFill>
            <a:srgbClr val="7AB2D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-9955508425</xdr:colOff>
      <xdr:row>14</xdr:row>
      <xdr:rowOff>123824</xdr:rowOff>
    </xdr:from>
    <xdr:to>
      <xdr:col>0</xdr:col>
      <xdr:colOff>-9953977818</xdr:colOff>
      <xdr:row>18</xdr:row>
      <xdr:rowOff>95250</xdr:rowOff>
    </xdr:to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358CF15C-60EE-414A-BFE3-C0489A36E292}"/>
            </a:ext>
          </a:extLst>
        </xdr:cNvPr>
        <xdr:cNvSpPr txBox="1"/>
      </xdr:nvSpPr>
      <xdr:spPr>
        <a:xfrm>
          <a:off x="9972995161" y="2714624"/>
          <a:ext cx="1530607" cy="7116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marL="0" indent="0" algn="ctr" rtl="1"/>
          <a:r>
            <a:rPr lang="fa-IR" sz="1200" b="1" i="0" u="none" strike="noStrike">
              <a:solidFill>
                <a:schemeClr val="tx1"/>
              </a:solidFill>
              <a:latin typeface="Vazirmatn FD" pitchFamily="2" charset="-78"/>
              <a:ea typeface="Calibri"/>
              <a:cs typeface="Vazirmatn FD" pitchFamily="2" charset="-78"/>
            </a:rPr>
            <a:t>ارقام به ریال میباشد.</a:t>
          </a:r>
        </a:p>
      </xdr:txBody>
    </xdr:sp>
    <xdr:clientData/>
  </xdr:twoCellAnchor>
  <xdr:twoCellAnchor>
    <xdr:from>
      <xdr:col>11</xdr:col>
      <xdr:colOff>500743</xdr:colOff>
      <xdr:row>2</xdr:row>
      <xdr:rowOff>1</xdr:rowOff>
    </xdr:from>
    <xdr:to>
      <xdr:col>14</xdr:col>
      <xdr:colOff>376721</xdr:colOff>
      <xdr:row>5</xdr:row>
      <xdr:rowOff>156484</xdr:rowOff>
    </xdr:to>
    <xdr:sp macro="" textlink="$B$1">
      <xdr:nvSpPr>
        <xdr:cNvPr id="1059" name="TextBox 1058">
          <a:extLst>
            <a:ext uri="{FF2B5EF4-FFF2-40B4-BE49-F238E27FC236}">
              <a16:creationId xmlns:a16="http://schemas.microsoft.com/office/drawing/2014/main" id="{54A1B976-A554-4F27-B99B-C66D96BB2738}"/>
            </a:ext>
          </a:extLst>
        </xdr:cNvPr>
        <xdr:cNvSpPr txBox="1"/>
      </xdr:nvSpPr>
      <xdr:spPr>
        <a:xfrm>
          <a:off x="10182422" y="370115"/>
          <a:ext cx="1704778" cy="7116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marL="0" indent="0" algn="ctr" rtl="1"/>
          <a:fld id="{DBBEB5CB-B059-484F-AC09-DFD17A7EF37A}" type="TxLink">
            <a:rPr lang="en-US" sz="1600" b="1" i="0" u="none" strike="noStrike">
              <a:solidFill>
                <a:srgbClr val="FF0000"/>
              </a:solidFill>
              <a:latin typeface="Vazirmatn FD" pitchFamily="2" charset="-78"/>
              <a:ea typeface="Calibri"/>
              <a:cs typeface="Vazirmatn FD" pitchFamily="2" charset="-78"/>
            </a:rPr>
            <a:t>1401/07/13</a:t>
          </a:fld>
          <a:endParaRPr lang="fa-IR" sz="1800" b="1" i="0" u="none" strike="noStrike">
            <a:solidFill>
              <a:srgbClr val="FF0000"/>
            </a:solidFill>
            <a:latin typeface="Vazirmatn FD" pitchFamily="2" charset="-78"/>
            <a:ea typeface="Calibri"/>
            <a:cs typeface="Vazirmatn FD" pitchFamily="2" charset="-78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0.08266</cdr:x>
      <cdr:y>0.08459</cdr:y>
    </cdr:from>
    <cdr:to>
      <cdr:x>0.24713</cdr:x>
      <cdr:y>0.24885</cdr:y>
    </cdr:to>
    <cdr:sp macro="" textlink="">
      <cdr:nvSpPr>
        <cdr:cNvPr id="2" name="TextBox 52">
          <a:extLst xmlns:a="http://schemas.openxmlformats.org/drawingml/2006/main">
            <a:ext uri="{FF2B5EF4-FFF2-40B4-BE49-F238E27FC236}">
              <a16:creationId xmlns:a16="http://schemas.microsoft.com/office/drawing/2014/main" id="{0CAD00AA-E5E4-4225-8FE8-B97F6F9F253C}"/>
            </a:ext>
          </a:extLst>
        </cdr:cNvPr>
        <cdr:cNvSpPr txBox="1"/>
      </cdr:nvSpPr>
      <cdr:spPr>
        <a:xfrm xmlns:a="http://schemas.openxmlformats.org/drawingml/2006/main">
          <a:off x="769257" y="366486"/>
          <a:ext cx="1530607" cy="7116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 rtl="1"/>
          <a:endParaRPr lang="fa-IR" sz="1200" b="1" i="0" u="none" strike="noStrike">
            <a:solidFill>
              <a:schemeClr val="tx1"/>
            </a:solidFill>
            <a:latin typeface="Vazirmatn FD" pitchFamily="2" charset="-78"/>
            <a:ea typeface="Calibri"/>
            <a:cs typeface="Vazirmatn FD" pitchFamily="2" charset="-7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D894-4285-469E-BDCD-BB626CAEB55B}">
  <sheetPr codeName="Sheet2"/>
  <dimension ref="A1:BQ262"/>
  <sheetViews>
    <sheetView rightToLeft="1" topLeftCell="AY1" zoomScale="85" zoomScaleNormal="85" workbookViewId="0">
      <selection activeCell="BH2" sqref="BH2:BK2"/>
    </sheetView>
  </sheetViews>
  <sheetFormatPr defaultRowHeight="15" customHeight="1" x14ac:dyDescent="0.3"/>
  <cols>
    <col min="1" max="1" width="12.33203125" bestFit="1" customWidth="1"/>
    <col min="2" max="2" width="12.33203125" customWidth="1"/>
    <col min="3" max="3" width="12.44140625" customWidth="1"/>
    <col min="4" max="6" width="9.109375" customWidth="1"/>
    <col min="7" max="7" width="72" customWidth="1"/>
    <col min="8" max="14" width="13.33203125" customWidth="1"/>
    <col min="15" max="28" width="3.88671875" customWidth="1"/>
    <col min="29" max="34" width="12.33203125" customWidth="1"/>
    <col min="35" max="35" width="18.88671875" bestFit="1" customWidth="1"/>
    <col min="36" max="36" width="18.6640625" bestFit="1" customWidth="1"/>
    <col min="37" max="37" width="15.44140625" bestFit="1" customWidth="1"/>
    <col min="38" max="42" width="15.44140625" style="97" customWidth="1"/>
    <col min="43" max="56" width="10.109375" style="98" customWidth="1"/>
    <col min="57" max="57" width="10.109375" style="99" customWidth="1"/>
    <col min="58" max="58" width="14.33203125" style="98" customWidth="1"/>
    <col min="59" max="59" width="10.109375" style="99" customWidth="1"/>
    <col min="60" max="63" width="13.109375" style="97" customWidth="1"/>
    <col min="64" max="69" width="15.44140625" style="97" customWidth="1"/>
  </cols>
  <sheetData>
    <row r="1" spans="1:69" ht="21" customHeight="1" x14ac:dyDescent="0.3">
      <c r="A1" s="118" t="s">
        <v>0</v>
      </c>
      <c r="B1" s="119"/>
      <c r="C1" s="119"/>
      <c r="D1" s="119"/>
      <c r="E1" s="119"/>
      <c r="F1" s="119"/>
      <c r="G1" s="120"/>
      <c r="H1" s="127" t="s">
        <v>1</v>
      </c>
      <c r="I1" s="125" t="s">
        <v>2</v>
      </c>
      <c r="J1" s="125" t="s">
        <v>3</v>
      </c>
      <c r="K1" s="121" t="s">
        <v>4</v>
      </c>
      <c r="L1" s="121" t="s">
        <v>5</v>
      </c>
      <c r="M1" s="121" t="s">
        <v>6</v>
      </c>
      <c r="N1" s="123" t="s">
        <v>7</v>
      </c>
      <c r="O1" s="103" t="s">
        <v>8</v>
      </c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5"/>
      <c r="AC1" s="103" t="s">
        <v>8</v>
      </c>
      <c r="AD1" s="104"/>
      <c r="AE1" s="105"/>
      <c r="AF1" s="103" t="s">
        <v>9</v>
      </c>
      <c r="AG1" s="104"/>
      <c r="AH1" s="104"/>
      <c r="AI1" s="104"/>
      <c r="AJ1" s="104"/>
      <c r="AK1" s="105"/>
      <c r="AL1" s="108" t="s">
        <v>10</v>
      </c>
      <c r="AM1" s="109"/>
      <c r="AN1" s="109"/>
      <c r="AO1" s="109"/>
      <c r="AP1" s="110"/>
      <c r="AQ1" s="106" t="s">
        <v>1</v>
      </c>
      <c r="AR1" s="115"/>
      <c r="AS1" s="106" t="s">
        <v>2</v>
      </c>
      <c r="AT1" s="115"/>
      <c r="AU1" s="116" t="s">
        <v>3</v>
      </c>
      <c r="AV1" s="117"/>
      <c r="AW1" s="106" t="s">
        <v>4</v>
      </c>
      <c r="AX1" s="115"/>
      <c r="AY1" s="106" t="s">
        <v>5</v>
      </c>
      <c r="AZ1" s="115"/>
      <c r="BA1" s="106" t="s">
        <v>6</v>
      </c>
      <c r="BB1" s="115"/>
      <c r="BC1" s="106" t="s">
        <v>7</v>
      </c>
      <c r="BD1" s="107"/>
      <c r="BE1" s="108" t="s">
        <v>11</v>
      </c>
      <c r="BF1" s="109"/>
      <c r="BG1" s="109"/>
      <c r="BH1" s="109"/>
      <c r="BI1" s="109"/>
      <c r="BJ1" s="109"/>
      <c r="BK1" s="110"/>
      <c r="BL1" s="7"/>
      <c r="BM1" s="7"/>
      <c r="BN1" s="7"/>
      <c r="BO1" s="7"/>
      <c r="BP1" s="7"/>
      <c r="BQ1" s="7"/>
    </row>
    <row r="2" spans="1:69" ht="19.8" thickBot="1" x14ac:dyDescent="0.35">
      <c r="A2" s="8" t="s">
        <v>12</v>
      </c>
      <c r="B2" s="9" t="s">
        <v>13</v>
      </c>
      <c r="C2" s="10" t="s">
        <v>14</v>
      </c>
      <c r="D2" s="11" t="s">
        <v>15</v>
      </c>
      <c r="E2" s="11" t="s">
        <v>16</v>
      </c>
      <c r="F2" s="12">
        <f>Dashboard!A1</f>
        <v>131</v>
      </c>
      <c r="G2" s="94" t="s">
        <v>99</v>
      </c>
      <c r="H2" s="128"/>
      <c r="I2" s="126"/>
      <c r="J2" s="126"/>
      <c r="K2" s="122"/>
      <c r="L2" s="122"/>
      <c r="M2" s="122"/>
      <c r="N2" s="124"/>
      <c r="O2" s="111" t="s">
        <v>17</v>
      </c>
      <c r="P2" s="112"/>
      <c r="Q2" s="112"/>
      <c r="R2" s="112"/>
      <c r="S2" s="112"/>
      <c r="T2" s="112"/>
      <c r="U2" s="112"/>
      <c r="V2" s="113" t="s">
        <v>18</v>
      </c>
      <c r="W2" s="113"/>
      <c r="X2" s="113"/>
      <c r="Y2" s="113"/>
      <c r="Z2" s="113"/>
      <c r="AA2" s="113"/>
      <c r="AB2" s="114"/>
      <c r="AC2" s="16" t="s">
        <v>19</v>
      </c>
      <c r="AD2" s="17" t="s">
        <v>17</v>
      </c>
      <c r="AE2" s="18" t="s">
        <v>18</v>
      </c>
      <c r="AF2" s="19" t="s">
        <v>20</v>
      </c>
      <c r="AG2" s="20" t="s">
        <v>21</v>
      </c>
      <c r="AH2" s="20" t="s">
        <v>20</v>
      </c>
      <c r="AI2" s="21" t="s">
        <v>22</v>
      </c>
      <c r="AJ2" s="21" t="s">
        <v>23</v>
      </c>
      <c r="AK2" s="22" t="s">
        <v>24</v>
      </c>
      <c r="AL2" s="23" t="s">
        <v>25</v>
      </c>
      <c r="AM2" s="24" t="s">
        <v>26</v>
      </c>
      <c r="AN2" s="24" t="s">
        <v>27</v>
      </c>
      <c r="AO2" s="24" t="s">
        <v>28</v>
      </c>
      <c r="AP2" s="25" t="s">
        <v>29</v>
      </c>
      <c r="AQ2" s="26" t="s">
        <v>16</v>
      </c>
      <c r="AR2" s="27" t="s">
        <v>15</v>
      </c>
      <c r="AS2" s="13" t="s">
        <v>16</v>
      </c>
      <c r="AT2" s="28" t="s">
        <v>15</v>
      </c>
      <c r="AU2" s="13" t="s">
        <v>16</v>
      </c>
      <c r="AV2" s="28" t="s">
        <v>15</v>
      </c>
      <c r="AW2" s="13" t="s">
        <v>16</v>
      </c>
      <c r="AX2" s="28" t="s">
        <v>15</v>
      </c>
      <c r="AY2" s="13" t="s">
        <v>16</v>
      </c>
      <c r="AZ2" s="28" t="s">
        <v>15</v>
      </c>
      <c r="BA2" s="13" t="s">
        <v>16</v>
      </c>
      <c r="BB2" s="28" t="s">
        <v>15</v>
      </c>
      <c r="BC2" s="13" t="s">
        <v>16</v>
      </c>
      <c r="BD2" s="29" t="s">
        <v>15</v>
      </c>
      <c r="BE2" s="30" t="s">
        <v>20</v>
      </c>
      <c r="BF2" s="14" t="s">
        <v>21</v>
      </c>
      <c r="BG2" s="31" t="s">
        <v>20</v>
      </c>
      <c r="BH2" s="20" t="s">
        <v>30</v>
      </c>
      <c r="BI2" s="20" t="s">
        <v>31</v>
      </c>
      <c r="BJ2" s="20" t="s">
        <v>32</v>
      </c>
      <c r="BK2" s="32" t="s">
        <v>33</v>
      </c>
      <c r="BL2" s="33"/>
      <c r="BM2" s="33"/>
      <c r="BN2" s="33"/>
      <c r="BO2" s="33"/>
      <c r="BP2" s="33"/>
      <c r="BQ2" s="33"/>
    </row>
    <row r="3" spans="1:69" ht="19.8" thickBot="1" x14ac:dyDescent="0.35">
      <c r="A3" s="34">
        <v>1</v>
      </c>
      <c r="B3" s="35">
        <v>43929</v>
      </c>
      <c r="C3" s="36" t="str">
        <f>TEXT(B3,"[$-fa-IR,16]yyyy/mm/dd")</f>
        <v>1399/01/20</v>
      </c>
      <c r="D3" s="37">
        <v>0</v>
      </c>
      <c r="E3" s="37">
        <v>0</v>
      </c>
      <c r="F3" s="11" t="e">
        <f>IF($F$2=A3,E3,NA())</f>
        <v>#N/A</v>
      </c>
      <c r="G3" s="38" t="str">
        <f>"تاریخ: "&amp;C3&amp;CHAR(10)&amp;"درصد پیشرفت برنامه ای: "&amp;ROUND(D3*100,2)&amp;"%"&amp;CHAR(10)&amp;"درصد پیشرفت واقعی: "&amp;ROUND(E3*100,2)&amp;"%"</f>
        <v>تاریخ: 1399/01/20
درصد پیشرفت برنامه ای: 0%
درصد پیشرفت واقعی: 0%</v>
      </c>
      <c r="H3" s="39">
        <v>0</v>
      </c>
      <c r="I3" s="40">
        <v>0</v>
      </c>
      <c r="J3" s="40">
        <v>0</v>
      </c>
      <c r="K3" s="40">
        <v>0</v>
      </c>
      <c r="L3" s="40">
        <v>0</v>
      </c>
      <c r="M3" s="40">
        <v>0</v>
      </c>
      <c r="N3" s="41">
        <v>0</v>
      </c>
      <c r="O3" s="1">
        <v>15</v>
      </c>
      <c r="P3" s="2">
        <v>16</v>
      </c>
      <c r="Q3" s="2">
        <v>18</v>
      </c>
      <c r="R3" s="2">
        <v>18</v>
      </c>
      <c r="S3" s="2">
        <v>15</v>
      </c>
      <c r="T3" s="2">
        <v>15</v>
      </c>
      <c r="U3" s="42">
        <v>14</v>
      </c>
      <c r="V3" s="1">
        <f>O3+3</f>
        <v>18</v>
      </c>
      <c r="W3" s="2">
        <f>P3+4</f>
        <v>20</v>
      </c>
      <c r="X3" s="2">
        <f t="shared" ref="X3:X66" si="0">Q3+4</f>
        <v>22</v>
      </c>
      <c r="Y3" s="2">
        <f>R3+1</f>
        <v>19</v>
      </c>
      <c r="Z3" s="2">
        <f t="shared" ref="Z3:Z66" si="1">S3+3</f>
        <v>18</v>
      </c>
      <c r="AA3" s="2">
        <f>T3+1</f>
        <v>16</v>
      </c>
      <c r="AB3" s="3">
        <f>U3+5</f>
        <v>19</v>
      </c>
      <c r="AC3" s="43">
        <f>INDEX(B:B,MATCH(F2,A:A,0),1)</f>
        <v>44839</v>
      </c>
      <c r="AD3" s="17" cm="1">
        <f t="array" ref="AD3:AD9">TRANSPOSE(INDEX(O:U,MATCH(F2,A:A,0),))</f>
        <v>24</v>
      </c>
      <c r="AE3" s="18" cm="1">
        <f t="array" ref="AE3:AE9">TRANSPOSE(INDEX(V:AB,MATCH(F2,A:A,0),))</f>
        <v>27</v>
      </c>
      <c r="AF3" s="34">
        <f t="shared" ref="AF3:AF34" si="2">INDEX(A:G,MATCH(AG3,C:C,0),1)</f>
        <v>7</v>
      </c>
      <c r="AG3" s="44" t="s">
        <v>34</v>
      </c>
      <c r="AH3" s="44">
        <v>1</v>
      </c>
      <c r="AI3" s="45">
        <v>15120000000</v>
      </c>
      <c r="AJ3" s="46">
        <v>15067000000</v>
      </c>
      <c r="AK3" s="47">
        <f>AI3-AJ3</f>
        <v>53000000</v>
      </c>
      <c r="AL3" s="4">
        <v>0.5</v>
      </c>
      <c r="AM3" s="5">
        <v>0.62</v>
      </c>
      <c r="AN3" s="5">
        <v>0.78</v>
      </c>
      <c r="AO3" s="5">
        <v>0.42</v>
      </c>
      <c r="AP3" s="48">
        <v>0.8</v>
      </c>
      <c r="AQ3" s="4">
        <f t="shared" ref="AQ3:AQ66" si="3">H3</f>
        <v>0</v>
      </c>
      <c r="AR3" s="6">
        <v>0.03</v>
      </c>
      <c r="AS3" s="4">
        <f t="shared" ref="AS3:AS66" si="4">I3</f>
        <v>0</v>
      </c>
      <c r="AT3" s="6">
        <v>0</v>
      </c>
      <c r="AU3" s="4">
        <f t="shared" ref="AU3:AU66" si="5">J3</f>
        <v>0</v>
      </c>
      <c r="AV3" s="6">
        <v>0</v>
      </c>
      <c r="AW3" s="4">
        <f t="shared" ref="AW3:AW66" si="6">K3</f>
        <v>0</v>
      </c>
      <c r="AX3" s="6">
        <v>0</v>
      </c>
      <c r="AY3" s="4">
        <f t="shared" ref="AY3:AY66" si="7">L3</f>
        <v>0</v>
      </c>
      <c r="AZ3" s="6">
        <v>0</v>
      </c>
      <c r="BA3" s="4">
        <f t="shared" ref="BA3:BA66" si="8">M3</f>
        <v>0</v>
      </c>
      <c r="BB3" s="6">
        <v>0</v>
      </c>
      <c r="BC3" s="4">
        <f t="shared" ref="BC3:BC66" si="9">N3</f>
        <v>0</v>
      </c>
      <c r="BD3" s="48">
        <v>0</v>
      </c>
      <c r="BE3" s="49">
        <v>7</v>
      </c>
      <c r="BF3" s="50" t="s">
        <v>34</v>
      </c>
      <c r="BG3" s="46">
        <v>1</v>
      </c>
      <c r="BH3" s="50">
        <v>0.55000000000000004</v>
      </c>
      <c r="BI3" s="50">
        <v>0.55000000000000004</v>
      </c>
      <c r="BJ3" s="50">
        <v>0.77</v>
      </c>
      <c r="BK3" s="51">
        <v>0.45</v>
      </c>
      <c r="BL3" s="7"/>
      <c r="BM3" s="7"/>
      <c r="BN3" s="7"/>
      <c r="BO3" s="7"/>
      <c r="BP3" s="7"/>
      <c r="BQ3" s="7"/>
    </row>
    <row r="4" spans="1:69" ht="19.8" thickBot="1" x14ac:dyDescent="0.35">
      <c r="A4" s="16">
        <v>2</v>
      </c>
      <c r="B4" s="52">
        <v>43936</v>
      </c>
      <c r="C4" s="53" t="str">
        <f t="shared" ref="C4:C67" si="10">TEXT(B4,"[$-fa-IR,16]yyyy/mm/dd")</f>
        <v>1399/01/27</v>
      </c>
      <c r="D4" s="54">
        <v>1.2999999999999999E-2</v>
      </c>
      <c r="E4" s="54">
        <v>0</v>
      </c>
      <c r="F4" s="11" t="e">
        <f t="shared" ref="F4:F67" si="11">IF($F$2=A4,E4,NA())</f>
        <v>#N/A</v>
      </c>
      <c r="G4" s="38" t="str">
        <f t="shared" ref="G4:G67" si="12">"تاریخ: "&amp;C4&amp;CHAR(10)&amp;"درصد پیشرفت برنامه ای: "&amp;ROUND(D4*100,2)&amp;"%"&amp;CHAR(10)&amp;"درصد پیشرفت واقعی: "&amp;ROUND(E4*100,2)&amp;"%"</f>
        <v>تاریخ: 1399/01/27
درصد پیشرفت برنامه ای: 1.3%
درصد پیشرفت واقعی: 0%</v>
      </c>
      <c r="H4" s="55">
        <v>0.05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7">
        <v>0</v>
      </c>
      <c r="O4" s="16">
        <f>U3</f>
        <v>14</v>
      </c>
      <c r="P4" s="17">
        <v>15</v>
      </c>
      <c r="Q4" s="17">
        <v>15</v>
      </c>
      <c r="R4" s="17">
        <v>18</v>
      </c>
      <c r="S4" s="17">
        <v>17</v>
      </c>
      <c r="T4" s="17">
        <v>18</v>
      </c>
      <c r="U4" s="58">
        <v>19</v>
      </c>
      <c r="V4" s="16">
        <f t="shared" ref="V4:V67" si="13">O4+3</f>
        <v>17</v>
      </c>
      <c r="W4" s="17">
        <f t="shared" ref="W4:X67" si="14">P4+4</f>
        <v>19</v>
      </c>
      <c r="X4" s="17">
        <f t="shared" si="0"/>
        <v>19</v>
      </c>
      <c r="Y4" s="17">
        <f t="shared" ref="Y4:Y67" si="15">R4+1</f>
        <v>19</v>
      </c>
      <c r="Z4" s="17">
        <f t="shared" si="1"/>
        <v>20</v>
      </c>
      <c r="AA4" s="17">
        <f t="shared" ref="AA4:AA67" si="16">T4+1</f>
        <v>19</v>
      </c>
      <c r="AB4" s="18">
        <f t="shared" ref="AB4:AB67" si="17">U4+5</f>
        <v>24</v>
      </c>
      <c r="AC4" s="43">
        <f>AC3+1</f>
        <v>44840</v>
      </c>
      <c r="AD4" s="17">
        <v>23</v>
      </c>
      <c r="AE4" s="18">
        <v>27</v>
      </c>
      <c r="AF4" s="16">
        <f t="shared" si="2"/>
        <v>11</v>
      </c>
      <c r="AG4" s="17" t="s">
        <v>35</v>
      </c>
      <c r="AH4" s="17">
        <v>2</v>
      </c>
      <c r="AI4" s="59">
        <v>21000000000</v>
      </c>
      <c r="AJ4" s="60">
        <v>20927000000</v>
      </c>
      <c r="AK4" s="61">
        <f t="shared" ref="AK4:AK67" si="18">AI4-AJ4</f>
        <v>73000000</v>
      </c>
      <c r="AL4" s="62">
        <v>0.6</v>
      </c>
      <c r="AM4" s="63">
        <v>0.9</v>
      </c>
      <c r="AN4" s="63">
        <v>0.5</v>
      </c>
      <c r="AO4" s="63">
        <v>0.5</v>
      </c>
      <c r="AP4" s="64">
        <v>0.62</v>
      </c>
      <c r="AQ4" s="62">
        <f t="shared" si="3"/>
        <v>0.05</v>
      </c>
      <c r="AR4" s="65">
        <v>7.0000000000000007E-2</v>
      </c>
      <c r="AS4" s="62">
        <f t="shared" si="4"/>
        <v>0</v>
      </c>
      <c r="AT4" s="65">
        <v>0</v>
      </c>
      <c r="AU4" s="62">
        <f t="shared" si="5"/>
        <v>0</v>
      </c>
      <c r="AV4" s="65">
        <v>0</v>
      </c>
      <c r="AW4" s="62">
        <f t="shared" si="6"/>
        <v>0</v>
      </c>
      <c r="AX4" s="65">
        <v>0</v>
      </c>
      <c r="AY4" s="62">
        <f t="shared" si="7"/>
        <v>0</v>
      </c>
      <c r="AZ4" s="65">
        <v>0</v>
      </c>
      <c r="BA4" s="62">
        <f t="shared" si="8"/>
        <v>0</v>
      </c>
      <c r="BB4" s="65">
        <v>0</v>
      </c>
      <c r="BC4" s="62">
        <f t="shared" si="9"/>
        <v>0</v>
      </c>
      <c r="BD4" s="64">
        <v>0</v>
      </c>
      <c r="BE4" s="66">
        <v>11</v>
      </c>
      <c r="BF4" s="63" t="s">
        <v>35</v>
      </c>
      <c r="BG4" s="60">
        <v>2</v>
      </c>
      <c r="BH4" s="63">
        <v>0.6</v>
      </c>
      <c r="BI4" s="63">
        <v>0.6</v>
      </c>
      <c r="BJ4" s="63">
        <v>0.2</v>
      </c>
      <c r="BK4" s="65">
        <v>0.52</v>
      </c>
      <c r="BL4" s="7"/>
      <c r="BM4" s="7"/>
      <c r="BN4" s="7"/>
      <c r="BO4" s="7"/>
      <c r="BP4" s="7"/>
      <c r="BQ4" s="7"/>
    </row>
    <row r="5" spans="1:69" ht="19.8" thickBot="1" x14ac:dyDescent="0.35">
      <c r="A5" s="16">
        <v>3</v>
      </c>
      <c r="B5" s="52">
        <v>43943</v>
      </c>
      <c r="C5" s="53" t="str">
        <f t="shared" si="10"/>
        <v>1399/02/03</v>
      </c>
      <c r="D5" s="54">
        <v>1.7999999999999999E-2</v>
      </c>
      <c r="E5" s="54">
        <v>5.0399999999999976E-3</v>
      </c>
      <c r="F5" s="11" t="e">
        <f t="shared" si="11"/>
        <v>#N/A</v>
      </c>
      <c r="G5" s="38" t="str">
        <f t="shared" si="12"/>
        <v>تاریخ: 1399/02/03
درصد پیشرفت برنامه ای: 1.8%
درصد پیشرفت واقعی: 0.5%</v>
      </c>
      <c r="H5" s="55">
        <f>H4+7%</f>
        <v>0.12000000000000001</v>
      </c>
      <c r="I5" s="56">
        <v>0</v>
      </c>
      <c r="J5" s="56">
        <v>0</v>
      </c>
      <c r="K5" s="56">
        <v>0</v>
      </c>
      <c r="L5" s="56">
        <v>0</v>
      </c>
      <c r="M5" s="56">
        <v>0</v>
      </c>
      <c r="N5" s="57">
        <v>0</v>
      </c>
      <c r="O5" s="16">
        <f t="shared" ref="O5:O68" si="19">U4</f>
        <v>19</v>
      </c>
      <c r="P5" s="17">
        <v>19</v>
      </c>
      <c r="Q5" s="17">
        <v>17</v>
      </c>
      <c r="R5" s="17">
        <v>17</v>
      </c>
      <c r="S5" s="17">
        <v>19</v>
      </c>
      <c r="T5" s="17">
        <v>20</v>
      </c>
      <c r="U5" s="58">
        <v>21</v>
      </c>
      <c r="V5" s="16">
        <f t="shared" si="13"/>
        <v>22</v>
      </c>
      <c r="W5" s="17">
        <f t="shared" si="14"/>
        <v>23</v>
      </c>
      <c r="X5" s="17">
        <f t="shared" si="0"/>
        <v>21</v>
      </c>
      <c r="Y5" s="17">
        <f t="shared" si="15"/>
        <v>18</v>
      </c>
      <c r="Z5" s="17">
        <f t="shared" si="1"/>
        <v>22</v>
      </c>
      <c r="AA5" s="17">
        <f t="shared" si="16"/>
        <v>21</v>
      </c>
      <c r="AB5" s="18">
        <f t="shared" si="17"/>
        <v>26</v>
      </c>
      <c r="AC5" s="43">
        <f t="shared" ref="AC5:AC9" si="20">AC4+1</f>
        <v>44841</v>
      </c>
      <c r="AD5" s="17">
        <v>24</v>
      </c>
      <c r="AE5" s="18">
        <v>28</v>
      </c>
      <c r="AF5" s="16">
        <f t="shared" si="2"/>
        <v>15</v>
      </c>
      <c r="AG5" s="17" t="s">
        <v>36</v>
      </c>
      <c r="AH5" s="17">
        <v>3</v>
      </c>
      <c r="AI5" s="59">
        <v>47880000000</v>
      </c>
      <c r="AJ5" s="60">
        <v>47712000000</v>
      </c>
      <c r="AK5" s="61">
        <f t="shared" si="18"/>
        <v>168000000</v>
      </c>
      <c r="AL5" s="62">
        <v>0.66</v>
      </c>
      <c r="AM5" s="63">
        <v>0.7</v>
      </c>
      <c r="AN5" s="63">
        <v>0.8</v>
      </c>
      <c r="AO5" s="63">
        <v>0.55000000000000004</v>
      </c>
      <c r="AP5" s="64">
        <v>0.5</v>
      </c>
      <c r="AQ5" s="62">
        <f t="shared" si="3"/>
        <v>0.12000000000000001</v>
      </c>
      <c r="AR5" s="65">
        <v>0.15</v>
      </c>
      <c r="AS5" s="62">
        <f t="shared" si="4"/>
        <v>0</v>
      </c>
      <c r="AT5" s="65">
        <v>0.02</v>
      </c>
      <c r="AU5" s="62">
        <f t="shared" si="5"/>
        <v>0</v>
      </c>
      <c r="AV5" s="65">
        <v>0</v>
      </c>
      <c r="AW5" s="62">
        <f t="shared" si="6"/>
        <v>0</v>
      </c>
      <c r="AX5" s="65">
        <v>0</v>
      </c>
      <c r="AY5" s="62">
        <f t="shared" si="7"/>
        <v>0</v>
      </c>
      <c r="AZ5" s="65">
        <v>0</v>
      </c>
      <c r="BA5" s="62">
        <f t="shared" si="8"/>
        <v>0</v>
      </c>
      <c r="BB5" s="65">
        <v>0</v>
      </c>
      <c r="BC5" s="62">
        <f t="shared" si="9"/>
        <v>0</v>
      </c>
      <c r="BD5" s="64">
        <v>0</v>
      </c>
      <c r="BE5" s="66">
        <v>15</v>
      </c>
      <c r="BF5" s="63" t="s">
        <v>36</v>
      </c>
      <c r="BG5" s="60">
        <v>3</v>
      </c>
      <c r="BH5" s="63">
        <v>0.45</v>
      </c>
      <c r="BI5" s="63">
        <v>0.45</v>
      </c>
      <c r="BJ5" s="63">
        <v>0.45</v>
      </c>
      <c r="BK5" s="65">
        <v>0.62</v>
      </c>
      <c r="BL5" s="7"/>
      <c r="BM5" s="7"/>
      <c r="BN5" s="7"/>
      <c r="BO5" s="7"/>
      <c r="BP5" s="7"/>
      <c r="BQ5" s="7"/>
    </row>
    <row r="6" spans="1:69" ht="19.8" thickBot="1" x14ac:dyDescent="0.35">
      <c r="A6" s="16">
        <v>4</v>
      </c>
      <c r="B6" s="52">
        <v>43950</v>
      </c>
      <c r="C6" s="53" t="str">
        <f t="shared" si="10"/>
        <v>1399/02/10</v>
      </c>
      <c r="D6" s="54">
        <v>2.6999999999999996E-2</v>
      </c>
      <c r="E6" s="54">
        <v>5.0399999999999976E-3</v>
      </c>
      <c r="F6" s="11" t="e">
        <f t="shared" si="11"/>
        <v>#N/A</v>
      </c>
      <c r="G6" s="38" t="str">
        <f t="shared" si="12"/>
        <v>تاریخ: 1399/02/10
درصد پیشرفت برنامه ای: 2.7%
درصد پیشرفت واقعی: 0.5%</v>
      </c>
      <c r="H6" s="55">
        <f t="shared" ref="H6:H8" si="21">H5+7%</f>
        <v>0.19</v>
      </c>
      <c r="I6" s="56">
        <v>0</v>
      </c>
      <c r="J6" s="56">
        <v>0</v>
      </c>
      <c r="K6" s="56">
        <v>0</v>
      </c>
      <c r="L6" s="56">
        <v>0</v>
      </c>
      <c r="M6" s="56">
        <v>0</v>
      </c>
      <c r="N6" s="57">
        <v>0</v>
      </c>
      <c r="O6" s="16">
        <f t="shared" si="19"/>
        <v>21</v>
      </c>
      <c r="P6" s="17">
        <v>22</v>
      </c>
      <c r="Q6" s="17">
        <v>22</v>
      </c>
      <c r="R6" s="17">
        <v>23</v>
      </c>
      <c r="S6" s="17">
        <v>21</v>
      </c>
      <c r="T6" s="17">
        <v>22</v>
      </c>
      <c r="U6" s="58">
        <v>24</v>
      </c>
      <c r="V6" s="16">
        <f t="shared" si="13"/>
        <v>24</v>
      </c>
      <c r="W6" s="17">
        <f t="shared" si="14"/>
        <v>26</v>
      </c>
      <c r="X6" s="17">
        <f t="shared" si="0"/>
        <v>26</v>
      </c>
      <c r="Y6" s="17">
        <f t="shared" si="15"/>
        <v>24</v>
      </c>
      <c r="Z6" s="17">
        <f t="shared" si="1"/>
        <v>24</v>
      </c>
      <c r="AA6" s="17">
        <f t="shared" si="16"/>
        <v>23</v>
      </c>
      <c r="AB6" s="18">
        <f t="shared" si="17"/>
        <v>29</v>
      </c>
      <c r="AC6" s="43">
        <f t="shared" si="20"/>
        <v>44842</v>
      </c>
      <c r="AD6" s="17">
        <v>23</v>
      </c>
      <c r="AE6" s="18">
        <v>24</v>
      </c>
      <c r="AF6" s="16">
        <f t="shared" si="2"/>
        <v>19</v>
      </c>
      <c r="AG6" s="17" t="s">
        <v>37</v>
      </c>
      <c r="AH6" s="17">
        <v>4</v>
      </c>
      <c r="AI6" s="59">
        <v>71400000000</v>
      </c>
      <c r="AJ6" s="60">
        <v>71150000000</v>
      </c>
      <c r="AK6" s="61">
        <f t="shared" si="18"/>
        <v>250000000</v>
      </c>
      <c r="AL6" s="62">
        <v>0.55000000000000004</v>
      </c>
      <c r="AM6" s="63">
        <v>0.4</v>
      </c>
      <c r="AN6" s="63">
        <v>0.4</v>
      </c>
      <c r="AO6" s="63">
        <v>0.9</v>
      </c>
      <c r="AP6" s="64">
        <v>0.8</v>
      </c>
      <c r="AQ6" s="62">
        <f t="shared" si="3"/>
        <v>0.19</v>
      </c>
      <c r="AR6" s="65">
        <v>0.21</v>
      </c>
      <c r="AS6" s="62">
        <f t="shared" si="4"/>
        <v>0</v>
      </c>
      <c r="AT6" s="65">
        <v>0.05</v>
      </c>
      <c r="AU6" s="62">
        <f t="shared" si="5"/>
        <v>0</v>
      </c>
      <c r="AV6" s="65">
        <v>0</v>
      </c>
      <c r="AW6" s="62">
        <f t="shared" si="6"/>
        <v>0</v>
      </c>
      <c r="AX6" s="65">
        <v>0</v>
      </c>
      <c r="AY6" s="62">
        <f t="shared" si="7"/>
        <v>0</v>
      </c>
      <c r="AZ6" s="65">
        <v>0</v>
      </c>
      <c r="BA6" s="62">
        <f t="shared" si="8"/>
        <v>0</v>
      </c>
      <c r="BB6" s="65">
        <v>0</v>
      </c>
      <c r="BC6" s="62">
        <f t="shared" si="9"/>
        <v>0</v>
      </c>
      <c r="BD6" s="64">
        <v>0</v>
      </c>
      <c r="BE6" s="66">
        <v>19</v>
      </c>
      <c r="BF6" s="63" t="s">
        <v>37</v>
      </c>
      <c r="BG6" s="60">
        <v>4</v>
      </c>
      <c r="BH6" s="63">
        <v>0.77</v>
      </c>
      <c r="BI6" s="63">
        <v>0.52</v>
      </c>
      <c r="BJ6" s="63">
        <v>0.52</v>
      </c>
      <c r="BK6" s="65">
        <v>0.64</v>
      </c>
      <c r="BL6" s="7"/>
      <c r="BM6" s="7"/>
      <c r="BN6" s="7"/>
      <c r="BO6" s="7"/>
      <c r="BP6" s="7"/>
      <c r="BQ6" s="7"/>
    </row>
    <row r="7" spans="1:69" ht="19.8" thickBot="1" x14ac:dyDescent="0.35">
      <c r="A7" s="16">
        <v>5</v>
      </c>
      <c r="B7" s="52">
        <v>43957</v>
      </c>
      <c r="C7" s="53" t="str">
        <f t="shared" si="10"/>
        <v>1399/02/17</v>
      </c>
      <c r="D7" s="54">
        <v>3.5999999999999997E-2</v>
      </c>
      <c r="E7" s="54">
        <v>5.0399999999999976E-3</v>
      </c>
      <c r="F7" s="11" t="e">
        <f t="shared" si="11"/>
        <v>#N/A</v>
      </c>
      <c r="G7" s="38" t="str">
        <f t="shared" si="12"/>
        <v>تاریخ: 1399/02/17
درصد پیشرفت برنامه ای: 3.6%
درصد پیشرفت واقعی: 0.5%</v>
      </c>
      <c r="H7" s="55">
        <f t="shared" si="21"/>
        <v>0.26</v>
      </c>
      <c r="I7" s="56">
        <v>0.03</v>
      </c>
      <c r="J7" s="56">
        <v>0</v>
      </c>
      <c r="K7" s="56">
        <v>0</v>
      </c>
      <c r="L7" s="56">
        <v>0</v>
      </c>
      <c r="M7" s="56">
        <v>0</v>
      </c>
      <c r="N7" s="57">
        <v>0</v>
      </c>
      <c r="O7" s="16">
        <f t="shared" si="19"/>
        <v>24</v>
      </c>
      <c r="P7" s="17">
        <v>23</v>
      </c>
      <c r="Q7" s="17">
        <v>24</v>
      </c>
      <c r="R7" s="17">
        <v>23</v>
      </c>
      <c r="S7" s="17">
        <v>25</v>
      </c>
      <c r="T7" s="17">
        <v>25</v>
      </c>
      <c r="U7" s="58">
        <v>26</v>
      </c>
      <c r="V7" s="16">
        <f t="shared" si="13"/>
        <v>27</v>
      </c>
      <c r="W7" s="17">
        <f t="shared" si="14"/>
        <v>27</v>
      </c>
      <c r="X7" s="17">
        <f t="shared" si="0"/>
        <v>28</v>
      </c>
      <c r="Y7" s="17">
        <f t="shared" si="15"/>
        <v>24</v>
      </c>
      <c r="Z7" s="17">
        <f t="shared" si="1"/>
        <v>28</v>
      </c>
      <c r="AA7" s="17">
        <f t="shared" si="16"/>
        <v>26</v>
      </c>
      <c r="AB7" s="18">
        <f t="shared" si="17"/>
        <v>31</v>
      </c>
      <c r="AC7" s="43">
        <f t="shared" si="20"/>
        <v>44843</v>
      </c>
      <c r="AD7" s="17">
        <v>25</v>
      </c>
      <c r="AE7" s="18">
        <v>28</v>
      </c>
      <c r="AF7" s="16">
        <f t="shared" si="2"/>
        <v>23</v>
      </c>
      <c r="AG7" s="17" t="s">
        <v>38</v>
      </c>
      <c r="AH7" s="17">
        <v>5</v>
      </c>
      <c r="AI7" s="59">
        <v>111720000000</v>
      </c>
      <c r="AJ7" s="60">
        <v>111329000000</v>
      </c>
      <c r="AK7" s="61">
        <f t="shared" si="18"/>
        <v>391000000</v>
      </c>
      <c r="AL7" s="62">
        <v>0.7</v>
      </c>
      <c r="AM7" s="63">
        <v>0.55000000000000004</v>
      </c>
      <c r="AN7" s="63">
        <v>0.1</v>
      </c>
      <c r="AO7" s="63">
        <v>0.4</v>
      </c>
      <c r="AP7" s="64">
        <v>0.9</v>
      </c>
      <c r="AQ7" s="62">
        <f t="shared" si="3"/>
        <v>0.26</v>
      </c>
      <c r="AR7" s="65">
        <v>0.28999999999999998</v>
      </c>
      <c r="AS7" s="62">
        <f t="shared" si="4"/>
        <v>0.03</v>
      </c>
      <c r="AT7" s="65">
        <f>AT6+1.2%</f>
        <v>6.2E-2</v>
      </c>
      <c r="AU7" s="62">
        <f t="shared" si="5"/>
        <v>0</v>
      </c>
      <c r="AV7" s="65">
        <v>0</v>
      </c>
      <c r="AW7" s="62">
        <f t="shared" si="6"/>
        <v>0</v>
      </c>
      <c r="AX7" s="65">
        <v>0</v>
      </c>
      <c r="AY7" s="62">
        <f t="shared" si="7"/>
        <v>0</v>
      </c>
      <c r="AZ7" s="65">
        <v>0</v>
      </c>
      <c r="BA7" s="62">
        <f t="shared" si="8"/>
        <v>0</v>
      </c>
      <c r="BB7" s="65">
        <v>0</v>
      </c>
      <c r="BC7" s="62">
        <f t="shared" si="9"/>
        <v>0</v>
      </c>
      <c r="BD7" s="64">
        <v>0</v>
      </c>
      <c r="BE7" s="66">
        <v>23</v>
      </c>
      <c r="BF7" s="63" t="s">
        <v>38</v>
      </c>
      <c r="BG7" s="60">
        <v>5</v>
      </c>
      <c r="BH7" s="63">
        <v>0.2</v>
      </c>
      <c r="BI7" s="63">
        <v>0.62</v>
      </c>
      <c r="BJ7" s="63">
        <v>0.62</v>
      </c>
      <c r="BK7" s="65">
        <v>0.65</v>
      </c>
      <c r="BL7" s="7"/>
      <c r="BM7" s="7"/>
      <c r="BN7" s="7"/>
      <c r="BO7" s="7"/>
      <c r="BP7" s="7"/>
      <c r="BQ7" s="7"/>
    </row>
    <row r="8" spans="1:69" ht="19.8" thickBot="1" x14ac:dyDescent="0.35">
      <c r="A8" s="16">
        <v>6</v>
      </c>
      <c r="B8" s="52">
        <v>43964</v>
      </c>
      <c r="C8" s="53" t="str">
        <f t="shared" si="10"/>
        <v>1399/02/24</v>
      </c>
      <c r="D8" s="54">
        <v>4.4999999999999998E-2</v>
      </c>
      <c r="E8" s="54">
        <v>5.0399999999999976E-3</v>
      </c>
      <c r="F8" s="11" t="e">
        <f t="shared" si="11"/>
        <v>#N/A</v>
      </c>
      <c r="G8" s="38" t="str">
        <f t="shared" si="12"/>
        <v>تاریخ: 1399/02/24
درصد پیشرفت برنامه ای: 4.5%
درصد پیشرفت واقعی: 0.5%</v>
      </c>
      <c r="H8" s="55">
        <f t="shared" si="21"/>
        <v>0.33</v>
      </c>
      <c r="I8" s="56">
        <f>I7+1%</f>
        <v>0.04</v>
      </c>
      <c r="J8" s="56">
        <v>0</v>
      </c>
      <c r="K8" s="56">
        <v>0</v>
      </c>
      <c r="L8" s="56">
        <v>0</v>
      </c>
      <c r="M8" s="56">
        <v>0</v>
      </c>
      <c r="N8" s="57">
        <v>0</v>
      </c>
      <c r="O8" s="16">
        <f t="shared" si="19"/>
        <v>26</v>
      </c>
      <c r="P8" s="17">
        <v>25</v>
      </c>
      <c r="Q8" s="17">
        <v>25</v>
      </c>
      <c r="R8" s="17">
        <v>26</v>
      </c>
      <c r="S8" s="17">
        <v>26</v>
      </c>
      <c r="T8" s="17">
        <v>25</v>
      </c>
      <c r="U8" s="58">
        <v>25</v>
      </c>
      <c r="V8" s="16">
        <f t="shared" si="13"/>
        <v>29</v>
      </c>
      <c r="W8" s="17">
        <f t="shared" si="14"/>
        <v>29</v>
      </c>
      <c r="X8" s="17">
        <f t="shared" si="0"/>
        <v>29</v>
      </c>
      <c r="Y8" s="17">
        <f t="shared" si="15"/>
        <v>27</v>
      </c>
      <c r="Z8" s="17">
        <f t="shared" si="1"/>
        <v>29</v>
      </c>
      <c r="AA8" s="17">
        <f t="shared" si="16"/>
        <v>26</v>
      </c>
      <c r="AB8" s="18">
        <f t="shared" si="17"/>
        <v>30</v>
      </c>
      <c r="AC8" s="43">
        <f t="shared" si="20"/>
        <v>44844</v>
      </c>
      <c r="AD8" s="17">
        <v>25</v>
      </c>
      <c r="AE8" s="18">
        <v>26</v>
      </c>
      <c r="AF8" s="16">
        <f t="shared" si="2"/>
        <v>27</v>
      </c>
      <c r="AG8" s="17" t="s">
        <v>39</v>
      </c>
      <c r="AH8" s="17">
        <v>6</v>
      </c>
      <c r="AI8" s="59">
        <v>140828000000</v>
      </c>
      <c r="AJ8" s="60">
        <v>140335000000</v>
      </c>
      <c r="AK8" s="61">
        <f t="shared" si="18"/>
        <v>493000000</v>
      </c>
      <c r="AL8" s="62">
        <v>0.4</v>
      </c>
      <c r="AM8" s="63">
        <v>0.69</v>
      </c>
      <c r="AN8" s="63">
        <v>0.5</v>
      </c>
      <c r="AO8" s="63">
        <v>0.2</v>
      </c>
      <c r="AP8" s="64">
        <v>0.4</v>
      </c>
      <c r="AQ8" s="62">
        <f t="shared" si="3"/>
        <v>0.33</v>
      </c>
      <c r="AR8" s="65">
        <v>0.39</v>
      </c>
      <c r="AS8" s="62">
        <f t="shared" si="4"/>
        <v>0.04</v>
      </c>
      <c r="AT8" s="65">
        <f t="shared" ref="AT8:AT14" si="22">AT7+1.2%</f>
        <v>7.3999999999999996E-2</v>
      </c>
      <c r="AU8" s="62">
        <f t="shared" si="5"/>
        <v>0</v>
      </c>
      <c r="AV8" s="65">
        <v>0</v>
      </c>
      <c r="AW8" s="62">
        <f t="shared" si="6"/>
        <v>0</v>
      </c>
      <c r="AX8" s="65">
        <v>0</v>
      </c>
      <c r="AY8" s="62">
        <f t="shared" si="7"/>
        <v>0</v>
      </c>
      <c r="AZ8" s="65">
        <v>0</v>
      </c>
      <c r="BA8" s="62">
        <f t="shared" si="8"/>
        <v>0</v>
      </c>
      <c r="BB8" s="65">
        <v>0</v>
      </c>
      <c r="BC8" s="62">
        <f t="shared" si="9"/>
        <v>0</v>
      </c>
      <c r="BD8" s="64">
        <v>0</v>
      </c>
      <c r="BE8" s="66">
        <v>27</v>
      </c>
      <c r="BF8" s="63" t="s">
        <v>39</v>
      </c>
      <c r="BG8" s="60">
        <v>6</v>
      </c>
      <c r="BH8" s="63">
        <v>0.45</v>
      </c>
      <c r="BI8" s="63">
        <v>0.4</v>
      </c>
      <c r="BJ8" s="63">
        <v>0.4</v>
      </c>
      <c r="BK8" s="65">
        <v>0.62</v>
      </c>
      <c r="BL8" s="7"/>
      <c r="BM8" s="7"/>
      <c r="BN8" s="7"/>
      <c r="BO8" s="7"/>
      <c r="BP8" s="7"/>
      <c r="BQ8" s="7"/>
    </row>
    <row r="9" spans="1:69" ht="19.8" thickBot="1" x14ac:dyDescent="0.35">
      <c r="A9" s="16">
        <v>7</v>
      </c>
      <c r="B9" s="52">
        <v>43971</v>
      </c>
      <c r="C9" s="53" t="str">
        <f t="shared" si="10"/>
        <v>1399/02/31</v>
      </c>
      <c r="D9" s="54">
        <v>5.3999999999999999E-2</v>
      </c>
      <c r="E9" s="54">
        <v>1.0079999999999995E-2</v>
      </c>
      <c r="F9" s="11" t="e">
        <f t="shared" si="11"/>
        <v>#N/A</v>
      </c>
      <c r="G9" s="38" t="str">
        <f t="shared" si="12"/>
        <v>تاریخ: 1399/02/31
درصد پیشرفت برنامه ای: 5.4%
درصد پیشرفت واقعی: 1.01%</v>
      </c>
      <c r="H9" s="55">
        <f>H8+4%</f>
        <v>0.37</v>
      </c>
      <c r="I9" s="56">
        <f t="shared" ref="I9:I72" si="23">I8+1%</f>
        <v>0.05</v>
      </c>
      <c r="J9" s="56">
        <v>0</v>
      </c>
      <c r="K9" s="56">
        <v>0</v>
      </c>
      <c r="L9" s="56">
        <v>0</v>
      </c>
      <c r="M9" s="56">
        <v>0</v>
      </c>
      <c r="N9" s="57">
        <v>0</v>
      </c>
      <c r="O9" s="16">
        <f t="shared" si="19"/>
        <v>25</v>
      </c>
      <c r="P9" s="17">
        <v>26</v>
      </c>
      <c r="Q9" s="17">
        <v>26</v>
      </c>
      <c r="R9" s="17">
        <v>27</v>
      </c>
      <c r="S9" s="17">
        <v>28</v>
      </c>
      <c r="T9" s="17">
        <v>29</v>
      </c>
      <c r="U9" s="58">
        <v>29</v>
      </c>
      <c r="V9" s="16">
        <f t="shared" si="13"/>
        <v>28</v>
      </c>
      <c r="W9" s="17">
        <f t="shared" si="14"/>
        <v>30</v>
      </c>
      <c r="X9" s="17">
        <f t="shared" si="0"/>
        <v>30</v>
      </c>
      <c r="Y9" s="17">
        <f t="shared" si="15"/>
        <v>28</v>
      </c>
      <c r="Z9" s="17">
        <f t="shared" si="1"/>
        <v>31</v>
      </c>
      <c r="AA9" s="17">
        <f t="shared" si="16"/>
        <v>30</v>
      </c>
      <c r="AB9" s="18">
        <f t="shared" si="17"/>
        <v>34</v>
      </c>
      <c r="AC9" s="43">
        <f t="shared" si="20"/>
        <v>44845</v>
      </c>
      <c r="AD9" s="12">
        <v>26</v>
      </c>
      <c r="AE9" s="15">
        <v>31</v>
      </c>
      <c r="AF9" s="16">
        <f t="shared" si="2"/>
        <v>31</v>
      </c>
      <c r="AG9" s="17" t="s">
        <v>40</v>
      </c>
      <c r="AH9" s="17">
        <v>7</v>
      </c>
      <c r="AI9" s="59">
        <v>194882000000</v>
      </c>
      <c r="AJ9" s="60">
        <v>194200000000</v>
      </c>
      <c r="AK9" s="61">
        <f t="shared" si="18"/>
        <v>682000000</v>
      </c>
      <c r="AL9" s="62">
        <v>0.35</v>
      </c>
      <c r="AM9" s="63">
        <v>0.4</v>
      </c>
      <c r="AN9" s="63">
        <v>0.9</v>
      </c>
      <c r="AO9" s="63">
        <v>0.8</v>
      </c>
      <c r="AP9" s="64">
        <v>0.2</v>
      </c>
      <c r="AQ9" s="62">
        <f t="shared" si="3"/>
        <v>0.37</v>
      </c>
      <c r="AR9" s="65">
        <v>0.42</v>
      </c>
      <c r="AS9" s="62">
        <f t="shared" si="4"/>
        <v>0.05</v>
      </c>
      <c r="AT9" s="65">
        <f t="shared" si="22"/>
        <v>8.5999999999999993E-2</v>
      </c>
      <c r="AU9" s="62">
        <f t="shared" si="5"/>
        <v>0</v>
      </c>
      <c r="AV9" s="65">
        <v>0</v>
      </c>
      <c r="AW9" s="62">
        <f t="shared" si="6"/>
        <v>0</v>
      </c>
      <c r="AX9" s="65">
        <v>0</v>
      </c>
      <c r="AY9" s="62">
        <f t="shared" si="7"/>
        <v>0</v>
      </c>
      <c r="AZ9" s="65">
        <v>0</v>
      </c>
      <c r="BA9" s="62">
        <f t="shared" si="8"/>
        <v>0</v>
      </c>
      <c r="BB9" s="65">
        <v>0</v>
      </c>
      <c r="BC9" s="62">
        <f t="shared" si="9"/>
        <v>0</v>
      </c>
      <c r="BD9" s="64">
        <v>0</v>
      </c>
      <c r="BE9" s="66">
        <v>31</v>
      </c>
      <c r="BF9" s="63" t="s">
        <v>40</v>
      </c>
      <c r="BG9" s="60">
        <v>7</v>
      </c>
      <c r="BH9" s="63">
        <v>0.52</v>
      </c>
      <c r="BI9" s="63">
        <v>0.55000000000000004</v>
      </c>
      <c r="BJ9" s="63">
        <v>0.55000000000000004</v>
      </c>
      <c r="BK9" s="65">
        <v>0.4</v>
      </c>
      <c r="BL9" s="7"/>
      <c r="BM9" s="7"/>
      <c r="BN9" s="7"/>
      <c r="BO9" s="7"/>
      <c r="BP9" s="7"/>
      <c r="BQ9" s="7"/>
    </row>
    <row r="10" spans="1:69" ht="19.8" thickBot="1" x14ac:dyDescent="0.35">
      <c r="A10" s="16">
        <v>8</v>
      </c>
      <c r="B10" s="52">
        <v>43978</v>
      </c>
      <c r="C10" s="53" t="str">
        <f t="shared" si="10"/>
        <v>1399/03/07</v>
      </c>
      <c r="D10" s="54">
        <v>6.3E-2</v>
      </c>
      <c r="E10" s="54">
        <v>1.0079999999999995E-2</v>
      </c>
      <c r="F10" s="11" t="e">
        <f t="shared" si="11"/>
        <v>#N/A</v>
      </c>
      <c r="G10" s="38" t="str">
        <f t="shared" si="12"/>
        <v>تاریخ: 1399/03/07
درصد پیشرفت برنامه ای: 6.3%
درصد پیشرفت واقعی: 1.01%</v>
      </c>
      <c r="H10" s="55">
        <f t="shared" ref="H10:H15" si="24">H9+4%</f>
        <v>0.41</v>
      </c>
      <c r="I10" s="56">
        <f t="shared" si="23"/>
        <v>6.0000000000000005E-2</v>
      </c>
      <c r="J10" s="56">
        <v>0</v>
      </c>
      <c r="K10" s="56">
        <v>0</v>
      </c>
      <c r="L10" s="56">
        <v>0</v>
      </c>
      <c r="M10" s="56">
        <v>0</v>
      </c>
      <c r="N10" s="57">
        <v>0</v>
      </c>
      <c r="O10" s="16">
        <f t="shared" si="19"/>
        <v>29</v>
      </c>
      <c r="P10" s="17">
        <v>29</v>
      </c>
      <c r="Q10" s="17">
        <v>28</v>
      </c>
      <c r="R10" s="17">
        <v>29</v>
      </c>
      <c r="S10" s="17">
        <v>30</v>
      </c>
      <c r="T10" s="17">
        <v>31</v>
      </c>
      <c r="U10" s="58">
        <v>30</v>
      </c>
      <c r="V10" s="16">
        <f t="shared" si="13"/>
        <v>32</v>
      </c>
      <c r="W10" s="17">
        <f t="shared" si="14"/>
        <v>33</v>
      </c>
      <c r="X10" s="17">
        <f t="shared" si="0"/>
        <v>32</v>
      </c>
      <c r="Y10" s="17">
        <f t="shared" si="15"/>
        <v>30</v>
      </c>
      <c r="Z10" s="17">
        <f t="shared" si="1"/>
        <v>33</v>
      </c>
      <c r="AA10" s="17">
        <f t="shared" si="16"/>
        <v>32</v>
      </c>
      <c r="AB10" s="58">
        <f t="shared" si="17"/>
        <v>35</v>
      </c>
      <c r="AC10" s="67"/>
      <c r="AD10" s="67"/>
      <c r="AE10" s="67"/>
      <c r="AF10" s="16">
        <f t="shared" si="2"/>
        <v>35</v>
      </c>
      <c r="AG10" s="17" t="s">
        <v>41</v>
      </c>
      <c r="AH10" s="17">
        <v>8</v>
      </c>
      <c r="AI10" s="59">
        <v>250437000000</v>
      </c>
      <c r="AJ10" s="60">
        <v>249560000000</v>
      </c>
      <c r="AK10" s="61">
        <f t="shared" si="18"/>
        <v>877000000</v>
      </c>
      <c r="AL10" s="62">
        <v>0.85</v>
      </c>
      <c r="AM10" s="63">
        <v>0.8</v>
      </c>
      <c r="AN10" s="63">
        <v>0.5</v>
      </c>
      <c r="AO10" s="63">
        <v>0.6</v>
      </c>
      <c r="AP10" s="64">
        <v>0.6</v>
      </c>
      <c r="AQ10" s="62">
        <f t="shared" si="3"/>
        <v>0.41</v>
      </c>
      <c r="AR10" s="65">
        <v>0.48</v>
      </c>
      <c r="AS10" s="62">
        <f t="shared" si="4"/>
        <v>6.0000000000000005E-2</v>
      </c>
      <c r="AT10" s="65">
        <f t="shared" si="22"/>
        <v>9.799999999999999E-2</v>
      </c>
      <c r="AU10" s="62">
        <f t="shared" si="5"/>
        <v>0</v>
      </c>
      <c r="AV10" s="65">
        <v>0</v>
      </c>
      <c r="AW10" s="62">
        <f t="shared" si="6"/>
        <v>0</v>
      </c>
      <c r="AX10" s="65">
        <v>0</v>
      </c>
      <c r="AY10" s="62">
        <f t="shared" si="7"/>
        <v>0</v>
      </c>
      <c r="AZ10" s="65">
        <v>0</v>
      </c>
      <c r="BA10" s="62">
        <f t="shared" si="8"/>
        <v>0</v>
      </c>
      <c r="BB10" s="65">
        <v>0</v>
      </c>
      <c r="BC10" s="62">
        <f t="shared" si="9"/>
        <v>0</v>
      </c>
      <c r="BD10" s="64">
        <v>0</v>
      </c>
      <c r="BE10" s="66">
        <v>35</v>
      </c>
      <c r="BF10" s="63" t="s">
        <v>41</v>
      </c>
      <c r="BG10" s="60">
        <v>8</v>
      </c>
      <c r="BH10" s="63">
        <v>0.62</v>
      </c>
      <c r="BI10" s="63">
        <v>0.6</v>
      </c>
      <c r="BJ10" s="63">
        <v>0.6</v>
      </c>
      <c r="BK10" s="65">
        <v>0.55000000000000004</v>
      </c>
      <c r="BL10" s="7"/>
      <c r="BM10" s="7"/>
      <c r="BN10" s="7"/>
      <c r="BO10" s="7"/>
      <c r="BP10" s="7"/>
      <c r="BQ10" s="7"/>
    </row>
    <row r="11" spans="1:69" ht="19.8" thickBot="1" x14ac:dyDescent="0.35">
      <c r="A11" s="16">
        <v>9</v>
      </c>
      <c r="B11" s="52">
        <v>43985</v>
      </c>
      <c r="C11" s="53" t="str">
        <f t="shared" si="10"/>
        <v>1399/03/14</v>
      </c>
      <c r="D11" s="54">
        <v>7.1999999999999995E-2</v>
      </c>
      <c r="E11" s="54">
        <v>1.0079999999999995E-2</v>
      </c>
      <c r="F11" s="11" t="e">
        <f t="shared" si="11"/>
        <v>#N/A</v>
      </c>
      <c r="G11" s="38" t="str">
        <f t="shared" si="12"/>
        <v>تاریخ: 1399/03/14
درصد پیشرفت برنامه ای: 7.2%
درصد پیشرفت واقعی: 1.01%</v>
      </c>
      <c r="H11" s="55">
        <f t="shared" si="24"/>
        <v>0.44999999999999996</v>
      </c>
      <c r="I11" s="56">
        <f t="shared" si="23"/>
        <v>7.0000000000000007E-2</v>
      </c>
      <c r="J11" s="56">
        <v>0</v>
      </c>
      <c r="K11" s="56">
        <v>0</v>
      </c>
      <c r="L11" s="56">
        <v>0</v>
      </c>
      <c r="M11" s="56">
        <v>0</v>
      </c>
      <c r="N11" s="57">
        <v>0</v>
      </c>
      <c r="O11" s="16">
        <f t="shared" si="19"/>
        <v>30</v>
      </c>
      <c r="P11" s="17">
        <v>25</v>
      </c>
      <c r="Q11" s="17">
        <v>25</v>
      </c>
      <c r="R11" s="17">
        <v>26</v>
      </c>
      <c r="S11" s="17">
        <v>26</v>
      </c>
      <c r="T11" s="17">
        <v>25</v>
      </c>
      <c r="U11" s="58">
        <v>25</v>
      </c>
      <c r="V11" s="16">
        <f t="shared" si="13"/>
        <v>33</v>
      </c>
      <c r="W11" s="17">
        <f t="shared" si="14"/>
        <v>29</v>
      </c>
      <c r="X11" s="17">
        <f t="shared" si="0"/>
        <v>29</v>
      </c>
      <c r="Y11" s="17">
        <f t="shared" si="15"/>
        <v>27</v>
      </c>
      <c r="Z11" s="17">
        <f t="shared" si="1"/>
        <v>29</v>
      </c>
      <c r="AA11" s="17">
        <f t="shared" si="16"/>
        <v>26</v>
      </c>
      <c r="AB11" s="58">
        <f t="shared" si="17"/>
        <v>30</v>
      </c>
      <c r="AC11" s="67"/>
      <c r="AD11" s="67"/>
      <c r="AE11" s="67"/>
      <c r="AF11" s="16">
        <f t="shared" si="2"/>
        <v>39</v>
      </c>
      <c r="AG11" s="17" t="s">
        <v>42</v>
      </c>
      <c r="AH11" s="17">
        <v>9</v>
      </c>
      <c r="AI11" s="59">
        <v>310497000000</v>
      </c>
      <c r="AJ11" s="60">
        <v>309410000000</v>
      </c>
      <c r="AK11" s="61">
        <f t="shared" si="18"/>
        <v>1087000000</v>
      </c>
      <c r="AL11" s="62">
        <v>0.9</v>
      </c>
      <c r="AM11" s="63">
        <v>0.95</v>
      </c>
      <c r="AN11" s="63">
        <v>0.8</v>
      </c>
      <c r="AO11" s="63">
        <v>0.7</v>
      </c>
      <c r="AP11" s="64">
        <v>0.1</v>
      </c>
      <c r="AQ11" s="62">
        <f t="shared" si="3"/>
        <v>0.44999999999999996</v>
      </c>
      <c r="AR11" s="65">
        <v>0.49</v>
      </c>
      <c r="AS11" s="62">
        <f t="shared" si="4"/>
        <v>7.0000000000000007E-2</v>
      </c>
      <c r="AT11" s="65">
        <f t="shared" si="22"/>
        <v>0.10999999999999999</v>
      </c>
      <c r="AU11" s="62">
        <f t="shared" si="5"/>
        <v>0</v>
      </c>
      <c r="AV11" s="65">
        <v>0.03</v>
      </c>
      <c r="AW11" s="62">
        <f t="shared" si="6"/>
        <v>0</v>
      </c>
      <c r="AX11" s="65">
        <v>0</v>
      </c>
      <c r="AY11" s="62">
        <f t="shared" si="7"/>
        <v>0</v>
      </c>
      <c r="AZ11" s="65">
        <v>0</v>
      </c>
      <c r="BA11" s="62">
        <f t="shared" si="8"/>
        <v>0</v>
      </c>
      <c r="BB11" s="65">
        <v>0</v>
      </c>
      <c r="BC11" s="62">
        <f t="shared" si="9"/>
        <v>0</v>
      </c>
      <c r="BD11" s="64">
        <v>0</v>
      </c>
      <c r="BE11" s="66">
        <v>39</v>
      </c>
      <c r="BF11" s="63" t="s">
        <v>42</v>
      </c>
      <c r="BG11" s="60">
        <v>9</v>
      </c>
      <c r="BH11" s="63">
        <v>0.64</v>
      </c>
      <c r="BI11" s="63">
        <v>0.45</v>
      </c>
      <c r="BJ11" s="63">
        <v>0.45</v>
      </c>
      <c r="BK11" s="65">
        <v>0.6</v>
      </c>
      <c r="BL11" s="7"/>
      <c r="BM11" s="7"/>
      <c r="BN11" s="7"/>
      <c r="BO11" s="7"/>
      <c r="BP11" s="7"/>
      <c r="BQ11" s="7"/>
    </row>
    <row r="12" spans="1:69" ht="19.8" thickBot="1" x14ac:dyDescent="0.35">
      <c r="A12" s="16">
        <v>10</v>
      </c>
      <c r="B12" s="52">
        <v>43992</v>
      </c>
      <c r="C12" s="53" t="str">
        <f t="shared" si="10"/>
        <v>1399/03/21</v>
      </c>
      <c r="D12" s="54">
        <v>8.0999999999999989E-2</v>
      </c>
      <c r="E12" s="54">
        <v>1.3999999999999999E-2</v>
      </c>
      <c r="F12" s="11" t="e">
        <f t="shared" si="11"/>
        <v>#N/A</v>
      </c>
      <c r="G12" s="38" t="str">
        <f t="shared" si="12"/>
        <v>تاریخ: 1399/03/21
درصد پیشرفت برنامه ای: 8.1%
درصد پیشرفت واقعی: 1.4%</v>
      </c>
      <c r="H12" s="55">
        <f t="shared" si="24"/>
        <v>0.48999999999999994</v>
      </c>
      <c r="I12" s="56">
        <f t="shared" si="23"/>
        <v>0.08</v>
      </c>
      <c r="J12" s="56">
        <v>0</v>
      </c>
      <c r="K12" s="56">
        <v>0</v>
      </c>
      <c r="L12" s="56">
        <v>0</v>
      </c>
      <c r="M12" s="56">
        <v>0</v>
      </c>
      <c r="N12" s="57">
        <v>0</v>
      </c>
      <c r="O12" s="16">
        <f t="shared" si="19"/>
        <v>25</v>
      </c>
      <c r="P12" s="17">
        <v>26</v>
      </c>
      <c r="Q12" s="17">
        <v>26</v>
      </c>
      <c r="R12" s="17">
        <v>27</v>
      </c>
      <c r="S12" s="17">
        <v>28</v>
      </c>
      <c r="T12" s="17">
        <v>29</v>
      </c>
      <c r="U12" s="58">
        <v>29</v>
      </c>
      <c r="V12" s="16">
        <f t="shared" si="13"/>
        <v>28</v>
      </c>
      <c r="W12" s="17">
        <f t="shared" si="14"/>
        <v>30</v>
      </c>
      <c r="X12" s="17">
        <f t="shared" si="0"/>
        <v>30</v>
      </c>
      <c r="Y12" s="17">
        <f t="shared" si="15"/>
        <v>28</v>
      </c>
      <c r="Z12" s="17">
        <f t="shared" si="1"/>
        <v>31</v>
      </c>
      <c r="AA12" s="17">
        <f t="shared" si="16"/>
        <v>30</v>
      </c>
      <c r="AB12" s="58">
        <f t="shared" si="17"/>
        <v>34</v>
      </c>
      <c r="AC12" s="67"/>
      <c r="AD12" s="67"/>
      <c r="AE12" s="67"/>
      <c r="AF12" s="16">
        <f t="shared" si="2"/>
        <v>43</v>
      </c>
      <c r="AG12" s="17" t="s">
        <v>43</v>
      </c>
      <c r="AH12" s="17">
        <v>10</v>
      </c>
      <c r="AI12" s="59">
        <v>355542000000</v>
      </c>
      <c r="AJ12" s="60">
        <v>354298000000</v>
      </c>
      <c r="AK12" s="61">
        <f t="shared" si="18"/>
        <v>1244000000</v>
      </c>
      <c r="AL12" s="62">
        <v>0.7</v>
      </c>
      <c r="AM12" s="63">
        <v>0.68</v>
      </c>
      <c r="AN12" s="63">
        <v>0.5</v>
      </c>
      <c r="AO12" s="63">
        <v>0.9</v>
      </c>
      <c r="AP12" s="64">
        <v>0.55000000000000004</v>
      </c>
      <c r="AQ12" s="62">
        <f t="shared" si="3"/>
        <v>0.48999999999999994</v>
      </c>
      <c r="AR12" s="65">
        <v>0.52</v>
      </c>
      <c r="AS12" s="62">
        <f t="shared" si="4"/>
        <v>0.08</v>
      </c>
      <c r="AT12" s="65">
        <f t="shared" si="22"/>
        <v>0.12199999999999998</v>
      </c>
      <c r="AU12" s="62">
        <f t="shared" si="5"/>
        <v>0</v>
      </c>
      <c r="AV12" s="65">
        <v>0.05</v>
      </c>
      <c r="AW12" s="62">
        <f t="shared" si="6"/>
        <v>0</v>
      </c>
      <c r="AX12" s="65">
        <v>0</v>
      </c>
      <c r="AY12" s="62">
        <f t="shared" si="7"/>
        <v>0</v>
      </c>
      <c r="AZ12" s="65">
        <v>0</v>
      </c>
      <c r="BA12" s="62">
        <f t="shared" si="8"/>
        <v>0</v>
      </c>
      <c r="BB12" s="65">
        <v>0</v>
      </c>
      <c r="BC12" s="62">
        <f t="shared" si="9"/>
        <v>0</v>
      </c>
      <c r="BD12" s="64">
        <v>0</v>
      </c>
      <c r="BE12" s="66">
        <v>43</v>
      </c>
      <c r="BF12" s="63" t="s">
        <v>43</v>
      </c>
      <c r="BG12" s="60">
        <v>10</v>
      </c>
      <c r="BH12" s="63">
        <v>0.65</v>
      </c>
      <c r="BI12" s="63">
        <v>0.77</v>
      </c>
      <c r="BJ12" s="63">
        <v>0.77</v>
      </c>
      <c r="BK12" s="65">
        <v>0.45</v>
      </c>
      <c r="BL12" s="7"/>
      <c r="BM12" s="7"/>
      <c r="BN12" s="7"/>
      <c r="BO12" s="7"/>
      <c r="BP12" s="7"/>
      <c r="BQ12" s="7"/>
    </row>
    <row r="13" spans="1:69" ht="19.8" thickBot="1" x14ac:dyDescent="0.35">
      <c r="A13" s="16">
        <v>11</v>
      </c>
      <c r="B13" s="52">
        <v>43999</v>
      </c>
      <c r="C13" s="53" t="str">
        <f t="shared" si="10"/>
        <v>1399/03/28</v>
      </c>
      <c r="D13" s="54">
        <v>8.9999999999999983E-2</v>
      </c>
      <c r="E13" s="54">
        <v>1.3999999999999999E-2</v>
      </c>
      <c r="F13" s="11" t="e">
        <f t="shared" si="11"/>
        <v>#N/A</v>
      </c>
      <c r="G13" s="38" t="str">
        <f t="shared" si="12"/>
        <v>تاریخ: 1399/03/28
درصد پیشرفت برنامه ای: 9%
درصد پیشرفت واقعی: 1.4%</v>
      </c>
      <c r="H13" s="55">
        <f t="shared" si="24"/>
        <v>0.52999999999999992</v>
      </c>
      <c r="I13" s="56">
        <f t="shared" si="23"/>
        <v>0.09</v>
      </c>
      <c r="J13" s="56">
        <v>0</v>
      </c>
      <c r="K13" s="56">
        <v>0</v>
      </c>
      <c r="L13" s="56">
        <v>0</v>
      </c>
      <c r="M13" s="56">
        <v>0</v>
      </c>
      <c r="N13" s="57">
        <v>0</v>
      </c>
      <c r="O13" s="16">
        <f t="shared" si="19"/>
        <v>29</v>
      </c>
      <c r="P13" s="17">
        <v>29</v>
      </c>
      <c r="Q13" s="17">
        <v>28</v>
      </c>
      <c r="R13" s="17">
        <v>29</v>
      </c>
      <c r="S13" s="17">
        <v>30</v>
      </c>
      <c r="T13" s="17">
        <v>31</v>
      </c>
      <c r="U13" s="58">
        <v>30</v>
      </c>
      <c r="V13" s="16">
        <f t="shared" si="13"/>
        <v>32</v>
      </c>
      <c r="W13" s="17">
        <f t="shared" si="14"/>
        <v>33</v>
      </c>
      <c r="X13" s="17">
        <f t="shared" si="0"/>
        <v>32</v>
      </c>
      <c r="Y13" s="17">
        <f t="shared" si="15"/>
        <v>30</v>
      </c>
      <c r="Z13" s="17">
        <f t="shared" si="1"/>
        <v>33</v>
      </c>
      <c r="AA13" s="17">
        <f t="shared" si="16"/>
        <v>32</v>
      </c>
      <c r="AB13" s="58">
        <f t="shared" si="17"/>
        <v>35</v>
      </c>
      <c r="AC13" s="67"/>
      <c r="AD13" s="67"/>
      <c r="AE13" s="67"/>
      <c r="AF13" s="16">
        <f t="shared" si="2"/>
        <v>47</v>
      </c>
      <c r="AG13" s="17" t="s">
        <v>44</v>
      </c>
      <c r="AH13" s="17">
        <v>11</v>
      </c>
      <c r="AI13" s="59">
        <v>409596000000</v>
      </c>
      <c r="AJ13" s="60">
        <v>408162000000</v>
      </c>
      <c r="AK13" s="61">
        <f t="shared" si="18"/>
        <v>1434000000</v>
      </c>
      <c r="AL13" s="62">
        <v>0.6</v>
      </c>
      <c r="AM13" s="63">
        <v>0.5</v>
      </c>
      <c r="AN13" s="63">
        <v>0.66</v>
      </c>
      <c r="AO13" s="63">
        <v>0.5</v>
      </c>
      <c r="AP13" s="64">
        <v>0.9</v>
      </c>
      <c r="AQ13" s="62">
        <f t="shared" si="3"/>
        <v>0.52999999999999992</v>
      </c>
      <c r="AR13" s="65">
        <v>0.59</v>
      </c>
      <c r="AS13" s="62">
        <f t="shared" si="4"/>
        <v>0.09</v>
      </c>
      <c r="AT13" s="65">
        <f t="shared" si="22"/>
        <v>0.13399999999999998</v>
      </c>
      <c r="AU13" s="62">
        <f t="shared" si="5"/>
        <v>0</v>
      </c>
      <c r="AV13" s="65">
        <v>7.0000000000000007E-2</v>
      </c>
      <c r="AW13" s="62">
        <f t="shared" si="6"/>
        <v>0</v>
      </c>
      <c r="AX13" s="65">
        <v>0</v>
      </c>
      <c r="AY13" s="62">
        <f t="shared" si="7"/>
        <v>0</v>
      </c>
      <c r="AZ13" s="65">
        <v>0</v>
      </c>
      <c r="BA13" s="62">
        <f t="shared" si="8"/>
        <v>0</v>
      </c>
      <c r="BB13" s="65">
        <v>0</v>
      </c>
      <c r="BC13" s="62">
        <f t="shared" si="9"/>
        <v>0</v>
      </c>
      <c r="BD13" s="64">
        <v>0</v>
      </c>
      <c r="BE13" s="66">
        <v>47</v>
      </c>
      <c r="BF13" s="63" t="s">
        <v>44</v>
      </c>
      <c r="BG13" s="60">
        <v>11</v>
      </c>
      <c r="BH13" s="63">
        <v>0.62</v>
      </c>
      <c r="BI13" s="63">
        <v>0.4</v>
      </c>
      <c r="BJ13" s="63">
        <v>0.4</v>
      </c>
      <c r="BK13" s="65">
        <v>0.77</v>
      </c>
      <c r="BL13" s="7"/>
      <c r="BM13" s="7"/>
      <c r="BN13" s="7"/>
      <c r="BO13" s="7"/>
      <c r="BP13" s="7"/>
      <c r="BQ13" s="7"/>
    </row>
    <row r="14" spans="1:69" ht="19.8" thickBot="1" x14ac:dyDescent="0.35">
      <c r="A14" s="16">
        <v>12</v>
      </c>
      <c r="B14" s="52">
        <v>44006</v>
      </c>
      <c r="C14" s="53" t="str">
        <f t="shared" si="10"/>
        <v>1399/04/04</v>
      </c>
      <c r="D14" s="54">
        <v>9.8999999999999977E-2</v>
      </c>
      <c r="E14" s="54">
        <v>1.9039999999999994E-2</v>
      </c>
      <c r="F14" s="11" t="e">
        <f t="shared" si="11"/>
        <v>#N/A</v>
      </c>
      <c r="G14" s="38" t="str">
        <f t="shared" si="12"/>
        <v>تاریخ: 1399/04/04
درصد پیشرفت برنامه ای: 9.9%
درصد پیشرفت واقعی: 1.9%</v>
      </c>
      <c r="H14" s="55">
        <f t="shared" si="24"/>
        <v>0.56999999999999995</v>
      </c>
      <c r="I14" s="56">
        <f t="shared" si="23"/>
        <v>9.9999999999999992E-2</v>
      </c>
      <c r="J14" s="56">
        <v>0</v>
      </c>
      <c r="K14" s="56">
        <v>0</v>
      </c>
      <c r="L14" s="56">
        <v>0</v>
      </c>
      <c r="M14" s="56">
        <v>0</v>
      </c>
      <c r="N14" s="57">
        <v>0</v>
      </c>
      <c r="O14" s="16">
        <f t="shared" si="19"/>
        <v>30</v>
      </c>
      <c r="P14" s="17">
        <v>31</v>
      </c>
      <c r="Q14" s="17">
        <v>31</v>
      </c>
      <c r="R14" s="17">
        <v>32</v>
      </c>
      <c r="S14" s="17">
        <v>31</v>
      </c>
      <c r="T14" s="17">
        <v>33</v>
      </c>
      <c r="U14" s="58">
        <v>30</v>
      </c>
      <c r="V14" s="16">
        <f t="shared" si="13"/>
        <v>33</v>
      </c>
      <c r="W14" s="17">
        <f t="shared" si="14"/>
        <v>35</v>
      </c>
      <c r="X14" s="17">
        <f t="shared" si="0"/>
        <v>35</v>
      </c>
      <c r="Y14" s="17">
        <f t="shared" si="15"/>
        <v>33</v>
      </c>
      <c r="Z14" s="17">
        <f t="shared" si="1"/>
        <v>34</v>
      </c>
      <c r="AA14" s="17">
        <f t="shared" si="16"/>
        <v>34</v>
      </c>
      <c r="AB14" s="58">
        <f t="shared" si="17"/>
        <v>35</v>
      </c>
      <c r="AC14" s="67"/>
      <c r="AD14" s="67"/>
      <c r="AE14" s="67"/>
      <c r="AF14" s="16">
        <f t="shared" si="2"/>
        <v>51</v>
      </c>
      <c r="AG14" s="17" t="s">
        <v>45</v>
      </c>
      <c r="AH14" s="17">
        <v>12</v>
      </c>
      <c r="AI14" s="59">
        <v>446528000000</v>
      </c>
      <c r="AJ14" s="60">
        <v>444965000000</v>
      </c>
      <c r="AK14" s="61">
        <f t="shared" si="18"/>
        <v>1563000000</v>
      </c>
      <c r="AL14" s="62">
        <v>0.55000000000000004</v>
      </c>
      <c r="AM14" s="63">
        <v>0.62</v>
      </c>
      <c r="AN14" s="63">
        <v>0.78</v>
      </c>
      <c r="AO14" s="63">
        <v>0.42</v>
      </c>
      <c r="AP14" s="64">
        <v>0.8</v>
      </c>
      <c r="AQ14" s="62">
        <f t="shared" si="3"/>
        <v>0.56999999999999995</v>
      </c>
      <c r="AR14" s="65">
        <v>0.63</v>
      </c>
      <c r="AS14" s="62">
        <f t="shared" si="4"/>
        <v>9.9999999999999992E-2</v>
      </c>
      <c r="AT14" s="65">
        <f t="shared" si="22"/>
        <v>0.14599999999999999</v>
      </c>
      <c r="AU14" s="62">
        <f t="shared" si="5"/>
        <v>0</v>
      </c>
      <c r="AV14" s="65">
        <f>AV13+1.8%</f>
        <v>8.8000000000000009E-2</v>
      </c>
      <c r="AW14" s="62">
        <f t="shared" si="6"/>
        <v>0</v>
      </c>
      <c r="AX14" s="65">
        <v>0</v>
      </c>
      <c r="AY14" s="62">
        <f t="shared" si="7"/>
        <v>0</v>
      </c>
      <c r="AZ14" s="65">
        <v>0</v>
      </c>
      <c r="BA14" s="62">
        <f t="shared" si="8"/>
        <v>0</v>
      </c>
      <c r="BB14" s="65">
        <v>0</v>
      </c>
      <c r="BC14" s="62">
        <f t="shared" si="9"/>
        <v>0</v>
      </c>
      <c r="BD14" s="64">
        <v>0</v>
      </c>
      <c r="BE14" s="66">
        <v>51</v>
      </c>
      <c r="BF14" s="63" t="s">
        <v>45</v>
      </c>
      <c r="BG14" s="60">
        <v>12</v>
      </c>
      <c r="BH14" s="63">
        <v>0.4</v>
      </c>
      <c r="BI14" s="63">
        <v>0.55000000000000004</v>
      </c>
      <c r="BJ14" s="63">
        <v>0.55000000000000004</v>
      </c>
      <c r="BK14" s="65">
        <v>0.2</v>
      </c>
      <c r="BL14" s="7"/>
      <c r="BM14" s="7"/>
      <c r="BN14" s="7"/>
      <c r="BO14" s="7"/>
      <c r="BP14" s="7"/>
      <c r="BQ14" s="7"/>
    </row>
    <row r="15" spans="1:69" ht="19.8" thickBot="1" x14ac:dyDescent="0.35">
      <c r="A15" s="16">
        <v>13</v>
      </c>
      <c r="B15" s="52">
        <v>44013</v>
      </c>
      <c r="C15" s="53" t="str">
        <f t="shared" si="10"/>
        <v>1399/04/11</v>
      </c>
      <c r="D15" s="54">
        <v>0.10799999999999997</v>
      </c>
      <c r="E15" s="54">
        <v>2.407999999999999E-2</v>
      </c>
      <c r="F15" s="11" t="e">
        <f t="shared" si="11"/>
        <v>#N/A</v>
      </c>
      <c r="G15" s="38" t="str">
        <f t="shared" si="12"/>
        <v>تاریخ: 1399/04/11
درصد پیشرفت برنامه ای: 10.8%
درصد پیشرفت واقعی: 2.41%</v>
      </c>
      <c r="H15" s="55">
        <f t="shared" si="24"/>
        <v>0.61</v>
      </c>
      <c r="I15" s="56">
        <f t="shared" si="23"/>
        <v>0.10999999999999999</v>
      </c>
      <c r="J15" s="56">
        <v>0</v>
      </c>
      <c r="K15" s="56">
        <v>0</v>
      </c>
      <c r="L15" s="56">
        <v>0</v>
      </c>
      <c r="M15" s="56">
        <v>0</v>
      </c>
      <c r="N15" s="57">
        <v>0</v>
      </c>
      <c r="O15" s="16">
        <f t="shared" si="19"/>
        <v>30</v>
      </c>
      <c r="P15" s="17">
        <v>32</v>
      </c>
      <c r="Q15" s="17">
        <v>33</v>
      </c>
      <c r="R15" s="17">
        <v>34</v>
      </c>
      <c r="S15" s="17">
        <v>32</v>
      </c>
      <c r="T15" s="17">
        <v>35</v>
      </c>
      <c r="U15" s="58">
        <v>34</v>
      </c>
      <c r="V15" s="16">
        <f t="shared" si="13"/>
        <v>33</v>
      </c>
      <c r="W15" s="17">
        <f t="shared" si="14"/>
        <v>36</v>
      </c>
      <c r="X15" s="17">
        <f t="shared" si="0"/>
        <v>37</v>
      </c>
      <c r="Y15" s="17">
        <f t="shared" si="15"/>
        <v>35</v>
      </c>
      <c r="Z15" s="17">
        <f t="shared" si="1"/>
        <v>35</v>
      </c>
      <c r="AA15" s="17">
        <f t="shared" si="16"/>
        <v>36</v>
      </c>
      <c r="AB15" s="58">
        <f t="shared" si="17"/>
        <v>39</v>
      </c>
      <c r="AC15" s="67"/>
      <c r="AD15" s="67"/>
      <c r="AE15" s="67"/>
      <c r="AF15" s="16">
        <f t="shared" si="2"/>
        <v>55</v>
      </c>
      <c r="AG15" s="17" t="s">
        <v>46</v>
      </c>
      <c r="AH15" s="17">
        <v>13</v>
      </c>
      <c r="AI15" s="59">
        <v>441140000000</v>
      </c>
      <c r="AJ15" s="60">
        <v>439596000000</v>
      </c>
      <c r="AK15" s="61">
        <f t="shared" si="18"/>
        <v>1544000000</v>
      </c>
      <c r="AL15" s="62">
        <v>0.6</v>
      </c>
      <c r="AM15" s="63">
        <v>0.9</v>
      </c>
      <c r="AN15" s="63">
        <v>0.5</v>
      </c>
      <c r="AO15" s="63">
        <v>0.5</v>
      </c>
      <c r="AP15" s="64">
        <v>0.62</v>
      </c>
      <c r="AQ15" s="62">
        <f t="shared" si="3"/>
        <v>0.61</v>
      </c>
      <c r="AR15" s="65">
        <v>0.67</v>
      </c>
      <c r="AS15" s="62">
        <f t="shared" si="4"/>
        <v>0.10999999999999999</v>
      </c>
      <c r="AT15" s="65">
        <f>AT14+1.6%</f>
        <v>0.16199999999999998</v>
      </c>
      <c r="AU15" s="62">
        <f t="shared" si="5"/>
        <v>0</v>
      </c>
      <c r="AV15" s="65">
        <f t="shared" ref="AV15:AV17" si="25">AV14+1.8%</f>
        <v>0.10600000000000001</v>
      </c>
      <c r="AW15" s="62">
        <f t="shared" si="6"/>
        <v>0</v>
      </c>
      <c r="AX15" s="65">
        <v>0</v>
      </c>
      <c r="AY15" s="62">
        <f t="shared" si="7"/>
        <v>0</v>
      </c>
      <c r="AZ15" s="65">
        <v>0</v>
      </c>
      <c r="BA15" s="62">
        <f t="shared" si="8"/>
        <v>0</v>
      </c>
      <c r="BB15" s="65">
        <v>0</v>
      </c>
      <c r="BC15" s="62">
        <f t="shared" si="9"/>
        <v>0</v>
      </c>
      <c r="BD15" s="64">
        <v>0</v>
      </c>
      <c r="BE15" s="66">
        <v>55</v>
      </c>
      <c r="BF15" s="63" t="s">
        <v>46</v>
      </c>
      <c r="BG15" s="60">
        <v>13</v>
      </c>
      <c r="BH15" s="63">
        <v>0.55000000000000004</v>
      </c>
      <c r="BI15" s="63">
        <v>0.6</v>
      </c>
      <c r="BJ15" s="63">
        <v>0.6</v>
      </c>
      <c r="BK15" s="65">
        <v>0.45</v>
      </c>
      <c r="BL15" s="7"/>
      <c r="BM15" s="7"/>
      <c r="BN15" s="7"/>
      <c r="BO15" s="7"/>
      <c r="BP15" s="7"/>
      <c r="BQ15" s="7"/>
    </row>
    <row r="16" spans="1:69" ht="19.8" thickBot="1" x14ac:dyDescent="0.35">
      <c r="A16" s="16">
        <v>14</v>
      </c>
      <c r="B16" s="52">
        <v>44020</v>
      </c>
      <c r="C16" s="53" t="str">
        <f t="shared" si="10"/>
        <v>1399/04/18</v>
      </c>
      <c r="D16" s="54">
        <v>0.11499999999999998</v>
      </c>
      <c r="E16" s="54">
        <v>2.7999999999999994E-2</v>
      </c>
      <c r="F16" s="11" t="e">
        <f t="shared" si="11"/>
        <v>#N/A</v>
      </c>
      <c r="G16" s="38" t="str">
        <f t="shared" si="12"/>
        <v>تاریخ: 1399/04/18
درصد پیشرفت برنامه ای: 11.5%
درصد پیشرفت واقعی: 2.8%</v>
      </c>
      <c r="H16" s="55">
        <f>H15+2%</f>
        <v>0.63</v>
      </c>
      <c r="I16" s="56">
        <v>0.10999999999999999</v>
      </c>
      <c r="J16" s="56">
        <v>0</v>
      </c>
      <c r="K16" s="56">
        <v>0</v>
      </c>
      <c r="L16" s="56">
        <v>0</v>
      </c>
      <c r="M16" s="56">
        <v>0</v>
      </c>
      <c r="N16" s="57">
        <v>0</v>
      </c>
      <c r="O16" s="16">
        <f t="shared" si="19"/>
        <v>34</v>
      </c>
      <c r="P16" s="17">
        <v>36</v>
      </c>
      <c r="Q16" s="17">
        <v>37</v>
      </c>
      <c r="R16" s="17">
        <v>36</v>
      </c>
      <c r="S16" s="17">
        <v>38</v>
      </c>
      <c r="T16" s="17">
        <v>36</v>
      </c>
      <c r="U16" s="58">
        <v>36</v>
      </c>
      <c r="V16" s="16">
        <f t="shared" si="13"/>
        <v>37</v>
      </c>
      <c r="W16" s="17">
        <f t="shared" si="14"/>
        <v>40</v>
      </c>
      <c r="X16" s="17">
        <f t="shared" si="0"/>
        <v>41</v>
      </c>
      <c r="Y16" s="17">
        <f t="shared" si="15"/>
        <v>37</v>
      </c>
      <c r="Z16" s="17">
        <f t="shared" si="1"/>
        <v>41</v>
      </c>
      <c r="AA16" s="17">
        <f t="shared" si="16"/>
        <v>37</v>
      </c>
      <c r="AB16" s="58">
        <f t="shared" si="17"/>
        <v>41</v>
      </c>
      <c r="AC16" s="67"/>
      <c r="AD16" s="67"/>
      <c r="AE16" s="67"/>
      <c r="AF16" s="16">
        <f t="shared" si="2"/>
        <v>59</v>
      </c>
      <c r="AG16" s="17" t="s">
        <v>47</v>
      </c>
      <c r="AH16" s="17">
        <v>14</v>
      </c>
      <c r="AI16" s="59">
        <v>472364000000</v>
      </c>
      <c r="AJ16" s="60">
        <v>470711000000</v>
      </c>
      <c r="AK16" s="61">
        <f t="shared" si="18"/>
        <v>1653000000</v>
      </c>
      <c r="AL16" s="62">
        <v>0.66</v>
      </c>
      <c r="AM16" s="63">
        <v>0.7</v>
      </c>
      <c r="AN16" s="63">
        <v>0.8</v>
      </c>
      <c r="AO16" s="63">
        <v>0.55000000000000004</v>
      </c>
      <c r="AP16" s="64">
        <v>0.5</v>
      </c>
      <c r="AQ16" s="62">
        <f t="shared" si="3"/>
        <v>0.63</v>
      </c>
      <c r="AR16" s="65">
        <v>0.7</v>
      </c>
      <c r="AS16" s="62">
        <f t="shared" si="4"/>
        <v>0.10999999999999999</v>
      </c>
      <c r="AT16" s="65">
        <f t="shared" ref="AT16:AT18" si="26">AT15+1.6%</f>
        <v>0.17799999999999999</v>
      </c>
      <c r="AU16" s="62">
        <f t="shared" si="5"/>
        <v>0</v>
      </c>
      <c r="AV16" s="65">
        <f t="shared" si="25"/>
        <v>0.12400000000000001</v>
      </c>
      <c r="AW16" s="62">
        <f t="shared" si="6"/>
        <v>0</v>
      </c>
      <c r="AX16" s="65">
        <v>0</v>
      </c>
      <c r="AY16" s="62">
        <f t="shared" si="7"/>
        <v>0</v>
      </c>
      <c r="AZ16" s="65">
        <v>0</v>
      </c>
      <c r="BA16" s="62">
        <f t="shared" si="8"/>
        <v>0</v>
      </c>
      <c r="BB16" s="65">
        <v>0</v>
      </c>
      <c r="BC16" s="62">
        <f t="shared" si="9"/>
        <v>0</v>
      </c>
      <c r="BD16" s="64">
        <v>0</v>
      </c>
      <c r="BE16" s="66">
        <v>59</v>
      </c>
      <c r="BF16" s="63" t="s">
        <v>47</v>
      </c>
      <c r="BG16" s="60">
        <v>14</v>
      </c>
      <c r="BH16" s="63">
        <v>0.6</v>
      </c>
      <c r="BI16" s="63">
        <v>0.45</v>
      </c>
      <c r="BJ16" s="63">
        <v>0.45</v>
      </c>
      <c r="BK16" s="65">
        <v>0.52</v>
      </c>
      <c r="BL16" s="7"/>
      <c r="BM16" s="7"/>
      <c r="BN16" s="7"/>
      <c r="BO16" s="7"/>
      <c r="BP16" s="7"/>
      <c r="BQ16" s="7"/>
    </row>
    <row r="17" spans="1:69" ht="19.8" thickBot="1" x14ac:dyDescent="0.35">
      <c r="A17" s="16">
        <v>15</v>
      </c>
      <c r="B17" s="52">
        <v>44027</v>
      </c>
      <c r="C17" s="53" t="str">
        <f t="shared" si="10"/>
        <v>1399/04/25</v>
      </c>
      <c r="D17" s="54">
        <v>0.12199999999999998</v>
      </c>
      <c r="E17" s="54">
        <v>3.1919999999999997E-2</v>
      </c>
      <c r="F17" s="11" t="e">
        <f t="shared" si="11"/>
        <v>#N/A</v>
      </c>
      <c r="G17" s="38" t="str">
        <f t="shared" si="12"/>
        <v>تاریخ: 1399/04/25
درصد پیشرفت برنامه ای: 12.2%
درصد پیشرفت واقعی: 3.19%</v>
      </c>
      <c r="H17" s="55">
        <f t="shared" ref="H17:H34" si="27">H16+2%</f>
        <v>0.65</v>
      </c>
      <c r="I17" s="56">
        <v>0.10999999999999999</v>
      </c>
      <c r="J17" s="56">
        <f>I7</f>
        <v>0.03</v>
      </c>
      <c r="K17" s="56">
        <v>0</v>
      </c>
      <c r="L17" s="56">
        <v>0</v>
      </c>
      <c r="M17" s="56">
        <v>0</v>
      </c>
      <c r="N17" s="57">
        <v>0</v>
      </c>
      <c r="O17" s="16">
        <f t="shared" si="19"/>
        <v>36</v>
      </c>
      <c r="P17" s="17">
        <v>38</v>
      </c>
      <c r="Q17" s="17">
        <v>39</v>
      </c>
      <c r="R17" s="17">
        <v>40</v>
      </c>
      <c r="S17" s="17">
        <v>39</v>
      </c>
      <c r="T17" s="17">
        <v>40</v>
      </c>
      <c r="U17" s="58">
        <v>39</v>
      </c>
      <c r="V17" s="16">
        <f t="shared" si="13"/>
        <v>39</v>
      </c>
      <c r="W17" s="17">
        <f t="shared" si="14"/>
        <v>42</v>
      </c>
      <c r="X17" s="17">
        <f t="shared" si="0"/>
        <v>43</v>
      </c>
      <c r="Y17" s="17">
        <f t="shared" si="15"/>
        <v>41</v>
      </c>
      <c r="Z17" s="17">
        <f t="shared" si="1"/>
        <v>42</v>
      </c>
      <c r="AA17" s="17">
        <f t="shared" si="16"/>
        <v>41</v>
      </c>
      <c r="AB17" s="58">
        <f t="shared" si="17"/>
        <v>44</v>
      </c>
      <c r="AC17" s="67"/>
      <c r="AD17" s="67"/>
      <c r="AE17" s="67"/>
      <c r="AF17" s="16">
        <f t="shared" si="2"/>
        <v>63</v>
      </c>
      <c r="AG17" s="17" t="s">
        <v>48</v>
      </c>
      <c r="AH17" s="17">
        <v>15</v>
      </c>
      <c r="AI17" s="59">
        <v>549253000000</v>
      </c>
      <c r="AJ17" s="60">
        <v>547331000000</v>
      </c>
      <c r="AK17" s="61">
        <f t="shared" si="18"/>
        <v>1922000000</v>
      </c>
      <c r="AL17" s="62">
        <v>0.55000000000000004</v>
      </c>
      <c r="AM17" s="63">
        <v>0.4</v>
      </c>
      <c r="AN17" s="63">
        <v>0.4</v>
      </c>
      <c r="AO17" s="63">
        <v>0.9</v>
      </c>
      <c r="AP17" s="64">
        <v>0.8</v>
      </c>
      <c r="AQ17" s="62">
        <f t="shared" si="3"/>
        <v>0.65</v>
      </c>
      <c r="AR17" s="65">
        <v>0.74</v>
      </c>
      <c r="AS17" s="62">
        <f t="shared" si="4"/>
        <v>0.10999999999999999</v>
      </c>
      <c r="AT17" s="65">
        <f t="shared" si="26"/>
        <v>0.19400000000000001</v>
      </c>
      <c r="AU17" s="62">
        <f t="shared" si="5"/>
        <v>0.03</v>
      </c>
      <c r="AV17" s="65">
        <f t="shared" si="25"/>
        <v>0.14200000000000002</v>
      </c>
      <c r="AW17" s="62">
        <f t="shared" si="6"/>
        <v>0</v>
      </c>
      <c r="AX17" s="65">
        <v>0</v>
      </c>
      <c r="AY17" s="62">
        <f t="shared" si="7"/>
        <v>0</v>
      </c>
      <c r="AZ17" s="65">
        <v>0</v>
      </c>
      <c r="BA17" s="62">
        <f t="shared" si="8"/>
        <v>0</v>
      </c>
      <c r="BB17" s="65">
        <v>0</v>
      </c>
      <c r="BC17" s="62">
        <f t="shared" si="9"/>
        <v>0</v>
      </c>
      <c r="BD17" s="64">
        <v>0</v>
      </c>
      <c r="BE17" s="66">
        <v>63</v>
      </c>
      <c r="BF17" s="63" t="s">
        <v>48</v>
      </c>
      <c r="BG17" s="60">
        <v>15</v>
      </c>
      <c r="BH17" s="63">
        <v>0.45</v>
      </c>
      <c r="BI17" s="63">
        <v>0.4</v>
      </c>
      <c r="BJ17" s="63">
        <v>0.52</v>
      </c>
      <c r="BK17" s="65">
        <v>0.62</v>
      </c>
      <c r="BL17" s="7"/>
      <c r="BM17" s="7"/>
      <c r="BN17" s="7"/>
      <c r="BO17" s="7"/>
      <c r="BP17" s="7"/>
      <c r="BQ17" s="7"/>
    </row>
    <row r="18" spans="1:69" ht="19.8" thickBot="1" x14ac:dyDescent="0.35">
      <c r="A18" s="16">
        <v>16</v>
      </c>
      <c r="B18" s="52">
        <v>44034</v>
      </c>
      <c r="C18" s="53" t="str">
        <f t="shared" si="10"/>
        <v>1399/05/01</v>
      </c>
      <c r="D18" s="54">
        <v>0.12899999999999998</v>
      </c>
      <c r="E18" s="54">
        <v>3.5839999999999997E-2</v>
      </c>
      <c r="F18" s="11" t="e">
        <f t="shared" si="11"/>
        <v>#N/A</v>
      </c>
      <c r="G18" s="38" t="str">
        <f t="shared" si="12"/>
        <v>تاریخ: 1399/05/01
درصد پیشرفت برنامه ای: 12.9%
درصد پیشرفت واقعی: 3.58%</v>
      </c>
      <c r="H18" s="55">
        <f t="shared" si="27"/>
        <v>0.67</v>
      </c>
      <c r="I18" s="56">
        <v>0.10999999999999999</v>
      </c>
      <c r="J18" s="56">
        <f t="shared" ref="J18" si="28">I8</f>
        <v>0.04</v>
      </c>
      <c r="K18" s="56">
        <v>0</v>
      </c>
      <c r="L18" s="56">
        <v>0</v>
      </c>
      <c r="M18" s="56">
        <v>0</v>
      </c>
      <c r="N18" s="57">
        <v>0</v>
      </c>
      <c r="O18" s="16">
        <f t="shared" si="19"/>
        <v>39</v>
      </c>
      <c r="P18" s="17">
        <v>40</v>
      </c>
      <c r="Q18" s="17">
        <v>41</v>
      </c>
      <c r="R18" s="17">
        <v>40</v>
      </c>
      <c r="S18" s="17">
        <v>42</v>
      </c>
      <c r="T18" s="17">
        <v>43</v>
      </c>
      <c r="U18" s="58">
        <v>42</v>
      </c>
      <c r="V18" s="16">
        <f t="shared" si="13"/>
        <v>42</v>
      </c>
      <c r="W18" s="17">
        <f t="shared" si="14"/>
        <v>44</v>
      </c>
      <c r="X18" s="17">
        <f t="shared" si="0"/>
        <v>45</v>
      </c>
      <c r="Y18" s="17">
        <f t="shared" si="15"/>
        <v>41</v>
      </c>
      <c r="Z18" s="17">
        <f t="shared" si="1"/>
        <v>45</v>
      </c>
      <c r="AA18" s="17">
        <f t="shared" si="16"/>
        <v>44</v>
      </c>
      <c r="AB18" s="58">
        <f t="shared" si="17"/>
        <v>47</v>
      </c>
      <c r="AC18" s="67"/>
      <c r="AD18" s="67"/>
      <c r="AE18" s="67"/>
      <c r="AF18" s="16">
        <f t="shared" si="2"/>
        <v>67</v>
      </c>
      <c r="AG18" s="17" t="s">
        <v>49</v>
      </c>
      <c r="AH18" s="17">
        <v>16</v>
      </c>
      <c r="AI18" s="59">
        <v>594918000000</v>
      </c>
      <c r="AJ18" s="60">
        <v>592836000000</v>
      </c>
      <c r="AK18" s="61">
        <f t="shared" si="18"/>
        <v>2082000000</v>
      </c>
      <c r="AL18" s="62">
        <v>0.7</v>
      </c>
      <c r="AM18" s="63">
        <v>0.55000000000000004</v>
      </c>
      <c r="AN18" s="63">
        <v>0.1</v>
      </c>
      <c r="AO18" s="63">
        <v>0.4</v>
      </c>
      <c r="AP18" s="64">
        <v>0.9</v>
      </c>
      <c r="AQ18" s="62">
        <f t="shared" si="3"/>
        <v>0.67</v>
      </c>
      <c r="AR18" s="65">
        <v>0.79</v>
      </c>
      <c r="AS18" s="62">
        <f t="shared" si="4"/>
        <v>0.10999999999999999</v>
      </c>
      <c r="AT18" s="65">
        <f t="shared" si="26"/>
        <v>0.21000000000000002</v>
      </c>
      <c r="AU18" s="62">
        <f t="shared" si="5"/>
        <v>0.04</v>
      </c>
      <c r="AV18" s="65">
        <f>AV17+2.8%</f>
        <v>0.17</v>
      </c>
      <c r="AW18" s="62">
        <f t="shared" si="6"/>
        <v>0</v>
      </c>
      <c r="AX18" s="65">
        <v>0</v>
      </c>
      <c r="AY18" s="62">
        <f t="shared" si="7"/>
        <v>0</v>
      </c>
      <c r="AZ18" s="65">
        <v>0</v>
      </c>
      <c r="BA18" s="62">
        <f t="shared" si="8"/>
        <v>0</v>
      </c>
      <c r="BB18" s="65">
        <v>0</v>
      </c>
      <c r="BC18" s="62">
        <f t="shared" si="9"/>
        <v>0</v>
      </c>
      <c r="BD18" s="64">
        <v>0</v>
      </c>
      <c r="BE18" s="66">
        <v>67</v>
      </c>
      <c r="BF18" s="63" t="s">
        <v>49</v>
      </c>
      <c r="BG18" s="60">
        <v>16</v>
      </c>
      <c r="BH18" s="63">
        <v>0.77</v>
      </c>
      <c r="BI18" s="63">
        <v>0.55000000000000004</v>
      </c>
      <c r="BJ18" s="63">
        <v>0.62</v>
      </c>
      <c r="BK18" s="65">
        <v>0.64</v>
      </c>
      <c r="BL18" s="7"/>
      <c r="BM18" s="7"/>
      <c r="BN18" s="7"/>
      <c r="BO18" s="7"/>
      <c r="BP18" s="7"/>
      <c r="BQ18" s="7"/>
    </row>
    <row r="19" spans="1:69" ht="19.8" thickBot="1" x14ac:dyDescent="0.35">
      <c r="A19" s="16">
        <v>17</v>
      </c>
      <c r="B19" s="52">
        <v>44041</v>
      </c>
      <c r="C19" s="53" t="str">
        <f t="shared" si="10"/>
        <v>1399/05/08</v>
      </c>
      <c r="D19" s="54">
        <v>0.13599999999999998</v>
      </c>
      <c r="E19" s="54">
        <v>3.9760000000000004E-2</v>
      </c>
      <c r="F19" s="11" t="e">
        <f t="shared" si="11"/>
        <v>#N/A</v>
      </c>
      <c r="G19" s="38" t="str">
        <f t="shared" si="12"/>
        <v>تاریخ: 1399/05/08
درصد پیشرفت برنامه ای: 13.6%
درصد پیشرفت واقعی: 3.98%</v>
      </c>
      <c r="H19" s="55">
        <f t="shared" si="27"/>
        <v>0.69000000000000006</v>
      </c>
      <c r="I19" s="56">
        <v>0.10999999999999999</v>
      </c>
      <c r="J19" s="56">
        <f>J18+3.2%</f>
        <v>7.2000000000000008E-2</v>
      </c>
      <c r="K19" s="56">
        <v>0</v>
      </c>
      <c r="L19" s="56">
        <v>0</v>
      </c>
      <c r="M19" s="56">
        <v>0</v>
      </c>
      <c r="N19" s="57">
        <v>0</v>
      </c>
      <c r="O19" s="16">
        <f t="shared" si="19"/>
        <v>42</v>
      </c>
      <c r="P19" s="17">
        <v>43</v>
      </c>
      <c r="Q19" s="17">
        <v>44</v>
      </c>
      <c r="R19" s="17">
        <v>42</v>
      </c>
      <c r="S19" s="17">
        <v>43</v>
      </c>
      <c r="T19" s="17">
        <v>45</v>
      </c>
      <c r="U19" s="58">
        <v>45</v>
      </c>
      <c r="V19" s="16">
        <f t="shared" si="13"/>
        <v>45</v>
      </c>
      <c r="W19" s="17">
        <f t="shared" si="14"/>
        <v>47</v>
      </c>
      <c r="X19" s="17">
        <f t="shared" si="0"/>
        <v>48</v>
      </c>
      <c r="Y19" s="17">
        <f t="shared" si="15"/>
        <v>43</v>
      </c>
      <c r="Z19" s="17">
        <f t="shared" si="1"/>
        <v>46</v>
      </c>
      <c r="AA19" s="17">
        <f t="shared" si="16"/>
        <v>46</v>
      </c>
      <c r="AB19" s="58">
        <f t="shared" si="17"/>
        <v>50</v>
      </c>
      <c r="AC19" s="67"/>
      <c r="AD19" s="67"/>
      <c r="AE19" s="67"/>
      <c r="AF19" s="16">
        <f t="shared" si="2"/>
        <v>71</v>
      </c>
      <c r="AG19" s="17" t="s">
        <v>50</v>
      </c>
      <c r="AH19" s="17">
        <v>17</v>
      </c>
      <c r="AI19" s="59">
        <v>675718000000</v>
      </c>
      <c r="AJ19" s="60">
        <v>673353000000</v>
      </c>
      <c r="AK19" s="61">
        <f t="shared" si="18"/>
        <v>2365000000</v>
      </c>
      <c r="AL19" s="62">
        <v>0.4</v>
      </c>
      <c r="AM19" s="63">
        <v>0.69</v>
      </c>
      <c r="AN19" s="63">
        <v>0.5</v>
      </c>
      <c r="AO19" s="63">
        <v>0.2</v>
      </c>
      <c r="AP19" s="64">
        <v>0.4</v>
      </c>
      <c r="AQ19" s="62">
        <f t="shared" si="3"/>
        <v>0.69000000000000006</v>
      </c>
      <c r="AR19" s="65">
        <v>0.83</v>
      </c>
      <c r="AS19" s="62">
        <f t="shared" si="4"/>
        <v>0.10999999999999999</v>
      </c>
      <c r="AT19" s="65">
        <f>AT18+1%</f>
        <v>0.22000000000000003</v>
      </c>
      <c r="AU19" s="62">
        <f t="shared" si="5"/>
        <v>7.2000000000000008E-2</v>
      </c>
      <c r="AV19" s="65">
        <f t="shared" ref="AV19:AV22" si="29">AV18+2.8%</f>
        <v>0.19800000000000001</v>
      </c>
      <c r="AW19" s="62">
        <f t="shared" si="6"/>
        <v>0</v>
      </c>
      <c r="AX19" s="65">
        <v>0</v>
      </c>
      <c r="AY19" s="62">
        <f t="shared" si="7"/>
        <v>0</v>
      </c>
      <c r="AZ19" s="65">
        <v>0</v>
      </c>
      <c r="BA19" s="62">
        <f t="shared" si="8"/>
        <v>0</v>
      </c>
      <c r="BB19" s="65">
        <v>0</v>
      </c>
      <c r="BC19" s="62">
        <f t="shared" si="9"/>
        <v>0</v>
      </c>
      <c r="BD19" s="64">
        <v>0</v>
      </c>
      <c r="BE19" s="66">
        <v>71</v>
      </c>
      <c r="BF19" s="63" t="s">
        <v>50</v>
      </c>
      <c r="BG19" s="60">
        <v>17</v>
      </c>
      <c r="BH19" s="63">
        <v>0.2</v>
      </c>
      <c r="BI19" s="63">
        <v>0.6</v>
      </c>
      <c r="BJ19" s="63">
        <v>0.4</v>
      </c>
      <c r="BK19" s="65">
        <v>0.65</v>
      </c>
      <c r="BL19" s="7"/>
      <c r="BM19" s="7"/>
      <c r="BN19" s="7"/>
      <c r="BO19" s="7"/>
      <c r="BP19" s="7"/>
      <c r="BQ19" s="7"/>
    </row>
    <row r="20" spans="1:69" ht="19.8" thickBot="1" x14ac:dyDescent="0.35">
      <c r="A20" s="16">
        <v>18</v>
      </c>
      <c r="B20" s="52">
        <v>44048</v>
      </c>
      <c r="C20" s="53" t="str">
        <f t="shared" si="10"/>
        <v>1399/05/15</v>
      </c>
      <c r="D20" s="54">
        <v>0.14299999999999999</v>
      </c>
      <c r="E20" s="54">
        <v>4.368000000000001E-2</v>
      </c>
      <c r="F20" s="11" t="e">
        <f t="shared" si="11"/>
        <v>#N/A</v>
      </c>
      <c r="G20" s="38" t="str">
        <f t="shared" si="12"/>
        <v>تاریخ: 1399/05/15
درصد پیشرفت برنامه ای: 14.3%
درصد پیشرفت واقعی: 4.37%</v>
      </c>
      <c r="H20" s="55">
        <f t="shared" si="27"/>
        <v>0.71000000000000008</v>
      </c>
      <c r="I20" s="56">
        <v>0.10999999999999999</v>
      </c>
      <c r="J20" s="56">
        <f t="shared" ref="J20:J47" si="30">J19+3.2%</f>
        <v>0.10400000000000001</v>
      </c>
      <c r="K20" s="56">
        <v>0</v>
      </c>
      <c r="L20" s="56">
        <v>0</v>
      </c>
      <c r="M20" s="56">
        <v>0</v>
      </c>
      <c r="N20" s="57">
        <v>0</v>
      </c>
      <c r="O20" s="16">
        <f t="shared" si="19"/>
        <v>45</v>
      </c>
      <c r="P20" s="17">
        <v>46</v>
      </c>
      <c r="Q20" s="17">
        <v>45</v>
      </c>
      <c r="R20" s="17">
        <v>46</v>
      </c>
      <c r="S20" s="17">
        <v>47</v>
      </c>
      <c r="T20" s="17">
        <v>47</v>
      </c>
      <c r="U20" s="58">
        <v>46</v>
      </c>
      <c r="V20" s="16">
        <f t="shared" si="13"/>
        <v>48</v>
      </c>
      <c r="W20" s="17">
        <f t="shared" si="14"/>
        <v>50</v>
      </c>
      <c r="X20" s="17">
        <f t="shared" si="0"/>
        <v>49</v>
      </c>
      <c r="Y20" s="17">
        <f t="shared" si="15"/>
        <v>47</v>
      </c>
      <c r="Z20" s="17">
        <f t="shared" si="1"/>
        <v>50</v>
      </c>
      <c r="AA20" s="17">
        <f t="shared" si="16"/>
        <v>48</v>
      </c>
      <c r="AB20" s="58">
        <f t="shared" si="17"/>
        <v>51</v>
      </c>
      <c r="AC20" s="67"/>
      <c r="AD20" s="67"/>
      <c r="AE20" s="67"/>
      <c r="AF20" s="16">
        <f t="shared" si="2"/>
        <v>75</v>
      </c>
      <c r="AG20" s="17" t="s">
        <v>51</v>
      </c>
      <c r="AH20" s="17">
        <v>18</v>
      </c>
      <c r="AI20" s="59">
        <v>719860000000</v>
      </c>
      <c r="AJ20" s="60">
        <v>717340000000</v>
      </c>
      <c r="AK20" s="61">
        <f t="shared" si="18"/>
        <v>2520000000</v>
      </c>
      <c r="AL20" s="62">
        <v>0.35</v>
      </c>
      <c r="AM20" s="63">
        <v>0.4</v>
      </c>
      <c r="AN20" s="63">
        <v>0.9</v>
      </c>
      <c r="AO20" s="63">
        <v>0.8</v>
      </c>
      <c r="AP20" s="64">
        <v>0.2</v>
      </c>
      <c r="AQ20" s="62">
        <f t="shared" si="3"/>
        <v>0.71000000000000008</v>
      </c>
      <c r="AR20" s="65">
        <v>0.85</v>
      </c>
      <c r="AS20" s="62">
        <f t="shared" si="4"/>
        <v>0.10999999999999999</v>
      </c>
      <c r="AT20" s="65">
        <f t="shared" ref="AT20:AT49" si="31">AT19+1%</f>
        <v>0.23000000000000004</v>
      </c>
      <c r="AU20" s="62">
        <f t="shared" si="5"/>
        <v>0.10400000000000001</v>
      </c>
      <c r="AV20" s="65">
        <f t="shared" si="29"/>
        <v>0.22600000000000001</v>
      </c>
      <c r="AW20" s="62">
        <f t="shared" si="6"/>
        <v>0</v>
      </c>
      <c r="AX20" s="65">
        <v>0</v>
      </c>
      <c r="AY20" s="62">
        <f t="shared" si="7"/>
        <v>0</v>
      </c>
      <c r="AZ20" s="65">
        <v>0</v>
      </c>
      <c r="BA20" s="62">
        <f t="shared" si="8"/>
        <v>0</v>
      </c>
      <c r="BB20" s="65">
        <v>0</v>
      </c>
      <c r="BC20" s="62">
        <f t="shared" si="9"/>
        <v>0</v>
      </c>
      <c r="BD20" s="64">
        <v>0</v>
      </c>
      <c r="BE20" s="66">
        <v>75</v>
      </c>
      <c r="BF20" s="63" t="s">
        <v>51</v>
      </c>
      <c r="BG20" s="60">
        <v>18</v>
      </c>
      <c r="BH20" s="63">
        <v>0.45</v>
      </c>
      <c r="BI20" s="63">
        <v>0.45</v>
      </c>
      <c r="BJ20" s="63">
        <v>0.55000000000000004</v>
      </c>
      <c r="BK20" s="65">
        <v>0.62</v>
      </c>
      <c r="BL20" s="7"/>
      <c r="BM20" s="7"/>
      <c r="BN20" s="7"/>
      <c r="BO20" s="7"/>
      <c r="BP20" s="7"/>
      <c r="BQ20" s="7"/>
    </row>
    <row r="21" spans="1:69" ht="19.8" thickBot="1" x14ac:dyDescent="0.35">
      <c r="A21" s="16">
        <v>19</v>
      </c>
      <c r="B21" s="52">
        <v>44055</v>
      </c>
      <c r="C21" s="53" t="str">
        <f t="shared" si="10"/>
        <v>1399/05/22</v>
      </c>
      <c r="D21" s="54">
        <v>0.15</v>
      </c>
      <c r="E21" s="54">
        <v>4.7600000000000017E-2</v>
      </c>
      <c r="F21" s="11" t="e">
        <f t="shared" si="11"/>
        <v>#N/A</v>
      </c>
      <c r="G21" s="38" t="str">
        <f t="shared" si="12"/>
        <v>تاریخ: 1399/05/22
درصد پیشرفت برنامه ای: 15%
درصد پیشرفت واقعی: 4.76%</v>
      </c>
      <c r="H21" s="55">
        <f t="shared" si="27"/>
        <v>0.73000000000000009</v>
      </c>
      <c r="I21" s="56">
        <v>0.10999999999999999</v>
      </c>
      <c r="J21" s="56">
        <f t="shared" si="30"/>
        <v>0.13600000000000001</v>
      </c>
      <c r="K21" s="56">
        <v>0</v>
      </c>
      <c r="L21" s="56">
        <v>0</v>
      </c>
      <c r="M21" s="56">
        <v>0</v>
      </c>
      <c r="N21" s="57">
        <v>0</v>
      </c>
      <c r="O21" s="16">
        <f t="shared" si="19"/>
        <v>46</v>
      </c>
      <c r="P21" s="17">
        <v>47</v>
      </c>
      <c r="Q21" s="17">
        <v>47</v>
      </c>
      <c r="R21" s="17">
        <v>46</v>
      </c>
      <c r="S21" s="17">
        <v>45</v>
      </c>
      <c r="T21" s="17">
        <v>46</v>
      </c>
      <c r="U21" s="58">
        <v>47</v>
      </c>
      <c r="V21" s="16">
        <f t="shared" si="13"/>
        <v>49</v>
      </c>
      <c r="W21" s="17">
        <f t="shared" si="14"/>
        <v>51</v>
      </c>
      <c r="X21" s="17">
        <f t="shared" si="0"/>
        <v>51</v>
      </c>
      <c r="Y21" s="17">
        <f t="shared" si="15"/>
        <v>47</v>
      </c>
      <c r="Z21" s="17">
        <f t="shared" si="1"/>
        <v>48</v>
      </c>
      <c r="AA21" s="17">
        <f t="shared" si="16"/>
        <v>47</v>
      </c>
      <c r="AB21" s="58">
        <f t="shared" si="17"/>
        <v>52</v>
      </c>
      <c r="AC21" s="67"/>
      <c r="AD21" s="67"/>
      <c r="AE21" s="67"/>
      <c r="AF21" s="16">
        <f t="shared" si="2"/>
        <v>79</v>
      </c>
      <c r="AG21" s="17" t="s">
        <v>52</v>
      </c>
      <c r="AH21" s="17">
        <v>19</v>
      </c>
      <c r="AI21" s="59">
        <v>765525000000</v>
      </c>
      <c r="AJ21" s="60">
        <v>762846000000</v>
      </c>
      <c r="AK21" s="61">
        <f t="shared" si="18"/>
        <v>2679000000</v>
      </c>
      <c r="AL21" s="62">
        <v>0.85</v>
      </c>
      <c r="AM21" s="63">
        <v>0.8</v>
      </c>
      <c r="AN21" s="63">
        <v>0.5</v>
      </c>
      <c r="AO21" s="63">
        <v>0.6</v>
      </c>
      <c r="AP21" s="64">
        <v>0.6</v>
      </c>
      <c r="AQ21" s="62">
        <f t="shared" si="3"/>
        <v>0.73000000000000009</v>
      </c>
      <c r="AR21" s="65">
        <v>0.89</v>
      </c>
      <c r="AS21" s="62">
        <f t="shared" si="4"/>
        <v>0.10999999999999999</v>
      </c>
      <c r="AT21" s="65">
        <f t="shared" si="31"/>
        <v>0.24000000000000005</v>
      </c>
      <c r="AU21" s="62">
        <f t="shared" si="5"/>
        <v>0.13600000000000001</v>
      </c>
      <c r="AV21" s="65">
        <f t="shared" si="29"/>
        <v>0.254</v>
      </c>
      <c r="AW21" s="62">
        <f t="shared" si="6"/>
        <v>0</v>
      </c>
      <c r="AX21" s="65">
        <v>0</v>
      </c>
      <c r="AY21" s="62">
        <f t="shared" si="7"/>
        <v>0</v>
      </c>
      <c r="AZ21" s="65">
        <v>0</v>
      </c>
      <c r="BA21" s="62">
        <f t="shared" si="8"/>
        <v>0</v>
      </c>
      <c r="BB21" s="65">
        <v>0</v>
      </c>
      <c r="BC21" s="62">
        <f t="shared" si="9"/>
        <v>0</v>
      </c>
      <c r="BD21" s="64">
        <v>0</v>
      </c>
      <c r="BE21" s="66">
        <v>79</v>
      </c>
      <c r="BF21" s="63" t="s">
        <v>52</v>
      </c>
      <c r="BG21" s="60">
        <v>19</v>
      </c>
      <c r="BH21" s="63">
        <v>0.52</v>
      </c>
      <c r="BI21" s="63">
        <v>0.77</v>
      </c>
      <c r="BJ21" s="63">
        <v>0.6</v>
      </c>
      <c r="BK21" s="65">
        <v>0.4</v>
      </c>
      <c r="BL21" s="7"/>
      <c r="BM21" s="7"/>
      <c r="BN21" s="7"/>
      <c r="BO21" s="7"/>
      <c r="BP21" s="7"/>
      <c r="BQ21" s="7"/>
    </row>
    <row r="22" spans="1:69" ht="19.8" thickBot="1" x14ac:dyDescent="0.35">
      <c r="A22" s="16">
        <v>20</v>
      </c>
      <c r="B22" s="52">
        <v>44062</v>
      </c>
      <c r="C22" s="53" t="str">
        <f t="shared" si="10"/>
        <v>1399/05/29</v>
      </c>
      <c r="D22" s="54">
        <v>0.157</v>
      </c>
      <c r="E22" s="54">
        <v>5.4320000000000021E-2</v>
      </c>
      <c r="F22" s="11" t="e">
        <f t="shared" si="11"/>
        <v>#N/A</v>
      </c>
      <c r="G22" s="38" t="str">
        <f t="shared" si="12"/>
        <v>تاریخ: 1399/05/29
درصد پیشرفت برنامه ای: 15.7%
درصد پیشرفت واقعی: 5.43%</v>
      </c>
      <c r="H22" s="55">
        <f t="shared" si="27"/>
        <v>0.75000000000000011</v>
      </c>
      <c r="I22" s="56">
        <v>0.10999999999999999</v>
      </c>
      <c r="J22" s="56">
        <f t="shared" si="30"/>
        <v>0.16800000000000001</v>
      </c>
      <c r="K22" s="56">
        <v>0</v>
      </c>
      <c r="L22" s="56">
        <v>0</v>
      </c>
      <c r="M22" s="56">
        <v>0</v>
      </c>
      <c r="N22" s="57">
        <v>0</v>
      </c>
      <c r="O22" s="16">
        <f t="shared" si="19"/>
        <v>47</v>
      </c>
      <c r="P22" s="17">
        <v>43</v>
      </c>
      <c r="Q22" s="17">
        <v>44</v>
      </c>
      <c r="R22" s="17">
        <v>42</v>
      </c>
      <c r="S22" s="17">
        <v>43</v>
      </c>
      <c r="T22" s="17">
        <v>45</v>
      </c>
      <c r="U22" s="58">
        <v>45</v>
      </c>
      <c r="V22" s="16">
        <f t="shared" si="13"/>
        <v>50</v>
      </c>
      <c r="W22" s="17">
        <f t="shared" si="14"/>
        <v>47</v>
      </c>
      <c r="X22" s="17">
        <f t="shared" si="0"/>
        <v>48</v>
      </c>
      <c r="Y22" s="17">
        <f t="shared" si="15"/>
        <v>43</v>
      </c>
      <c r="Z22" s="17">
        <f t="shared" si="1"/>
        <v>46</v>
      </c>
      <c r="AA22" s="17">
        <f t="shared" si="16"/>
        <v>46</v>
      </c>
      <c r="AB22" s="58">
        <f t="shared" si="17"/>
        <v>50</v>
      </c>
      <c r="AC22" s="67"/>
      <c r="AD22" s="67"/>
      <c r="AE22" s="67"/>
      <c r="AF22" s="16">
        <f t="shared" si="2"/>
        <v>83</v>
      </c>
      <c r="AG22" s="17" t="s">
        <v>53</v>
      </c>
      <c r="AH22" s="17">
        <v>20</v>
      </c>
      <c r="AI22" s="59">
        <v>765525000000</v>
      </c>
      <c r="AJ22" s="60">
        <v>762846000000</v>
      </c>
      <c r="AK22" s="61">
        <f t="shared" si="18"/>
        <v>2679000000</v>
      </c>
      <c r="AL22" s="62">
        <v>0.9</v>
      </c>
      <c r="AM22" s="63">
        <v>0.95</v>
      </c>
      <c r="AN22" s="63">
        <v>0.8</v>
      </c>
      <c r="AO22" s="63">
        <v>0.7</v>
      </c>
      <c r="AP22" s="64">
        <v>0.1</v>
      </c>
      <c r="AQ22" s="62">
        <f t="shared" si="3"/>
        <v>0.75000000000000011</v>
      </c>
      <c r="AR22" s="65">
        <v>0.92</v>
      </c>
      <c r="AS22" s="62">
        <f t="shared" si="4"/>
        <v>0.10999999999999999</v>
      </c>
      <c r="AT22" s="65">
        <f t="shared" si="31"/>
        <v>0.25000000000000006</v>
      </c>
      <c r="AU22" s="62">
        <f t="shared" si="5"/>
        <v>0.16800000000000001</v>
      </c>
      <c r="AV22" s="65">
        <f t="shared" si="29"/>
        <v>0.28200000000000003</v>
      </c>
      <c r="AW22" s="62">
        <f t="shared" si="6"/>
        <v>0</v>
      </c>
      <c r="AX22" s="65">
        <v>0</v>
      </c>
      <c r="AY22" s="62">
        <f t="shared" si="7"/>
        <v>0</v>
      </c>
      <c r="AZ22" s="65">
        <v>0</v>
      </c>
      <c r="BA22" s="62">
        <f t="shared" si="8"/>
        <v>0</v>
      </c>
      <c r="BB22" s="65">
        <v>0</v>
      </c>
      <c r="BC22" s="62">
        <f t="shared" si="9"/>
        <v>0</v>
      </c>
      <c r="BD22" s="64">
        <v>0</v>
      </c>
      <c r="BE22" s="66">
        <v>83</v>
      </c>
      <c r="BF22" s="63" t="s">
        <v>53</v>
      </c>
      <c r="BG22" s="60">
        <v>20</v>
      </c>
      <c r="BH22" s="63">
        <v>0.62</v>
      </c>
      <c r="BI22" s="63">
        <v>0.4</v>
      </c>
      <c r="BJ22" s="63">
        <v>0.45</v>
      </c>
      <c r="BK22" s="65">
        <v>0.55000000000000004</v>
      </c>
      <c r="BL22" s="7"/>
      <c r="BM22" s="7"/>
      <c r="BN22" s="7"/>
      <c r="BO22" s="7"/>
      <c r="BP22" s="7"/>
      <c r="BQ22" s="7"/>
    </row>
    <row r="23" spans="1:69" ht="19.8" thickBot="1" x14ac:dyDescent="0.35">
      <c r="A23" s="16">
        <v>21</v>
      </c>
      <c r="B23" s="52">
        <v>44069</v>
      </c>
      <c r="C23" s="53" t="str">
        <f t="shared" si="10"/>
        <v>1399/06/05</v>
      </c>
      <c r="D23" s="54">
        <v>0.16400000000000001</v>
      </c>
      <c r="E23" s="54">
        <v>6.1040000000000025E-2</v>
      </c>
      <c r="F23" s="11" t="e">
        <f t="shared" si="11"/>
        <v>#N/A</v>
      </c>
      <c r="G23" s="38" t="str">
        <f t="shared" si="12"/>
        <v>تاریخ: 1399/06/05
درصد پیشرفت برنامه ای: 16.4%
درصد پیشرفت واقعی: 6.1%</v>
      </c>
      <c r="H23" s="55">
        <f t="shared" si="27"/>
        <v>0.77000000000000013</v>
      </c>
      <c r="I23" s="56">
        <v>0.10999999999999999</v>
      </c>
      <c r="J23" s="56">
        <f t="shared" si="30"/>
        <v>0.2</v>
      </c>
      <c r="K23" s="56">
        <v>0</v>
      </c>
      <c r="L23" s="56">
        <v>0</v>
      </c>
      <c r="M23" s="56">
        <v>0</v>
      </c>
      <c r="N23" s="57">
        <v>0</v>
      </c>
      <c r="O23" s="16">
        <f t="shared" si="19"/>
        <v>45</v>
      </c>
      <c r="P23" s="17">
        <v>46</v>
      </c>
      <c r="Q23" s="17">
        <v>45</v>
      </c>
      <c r="R23" s="17">
        <v>46</v>
      </c>
      <c r="S23" s="17">
        <v>47</v>
      </c>
      <c r="T23" s="17">
        <v>47</v>
      </c>
      <c r="U23" s="58">
        <v>46</v>
      </c>
      <c r="V23" s="16">
        <f t="shared" si="13"/>
        <v>48</v>
      </c>
      <c r="W23" s="17">
        <f t="shared" si="14"/>
        <v>50</v>
      </c>
      <c r="X23" s="17">
        <f t="shared" si="0"/>
        <v>49</v>
      </c>
      <c r="Y23" s="17">
        <f t="shared" si="15"/>
        <v>47</v>
      </c>
      <c r="Z23" s="17">
        <f t="shared" si="1"/>
        <v>50</v>
      </c>
      <c r="AA23" s="17">
        <f t="shared" si="16"/>
        <v>48</v>
      </c>
      <c r="AB23" s="58">
        <f t="shared" si="17"/>
        <v>51</v>
      </c>
      <c r="AC23" s="67"/>
      <c r="AD23" s="67"/>
      <c r="AE23" s="67"/>
      <c r="AF23" s="16">
        <f t="shared" si="2"/>
        <v>87</v>
      </c>
      <c r="AG23" s="17" t="s">
        <v>54</v>
      </c>
      <c r="AH23" s="17">
        <v>21</v>
      </c>
      <c r="AI23" s="59">
        <v>765525000000</v>
      </c>
      <c r="AJ23" s="60">
        <v>762846000000</v>
      </c>
      <c r="AK23" s="61">
        <f t="shared" si="18"/>
        <v>2679000000</v>
      </c>
      <c r="AL23" s="62">
        <v>0.7</v>
      </c>
      <c r="AM23" s="63">
        <v>0.68</v>
      </c>
      <c r="AN23" s="63">
        <v>0.5</v>
      </c>
      <c r="AO23" s="63">
        <v>0.9</v>
      </c>
      <c r="AP23" s="64">
        <v>0.55000000000000004</v>
      </c>
      <c r="AQ23" s="62">
        <f t="shared" si="3"/>
        <v>0.77000000000000013</v>
      </c>
      <c r="AR23" s="65">
        <v>0.95</v>
      </c>
      <c r="AS23" s="62">
        <f t="shared" si="4"/>
        <v>0.10999999999999999</v>
      </c>
      <c r="AT23" s="65">
        <f t="shared" si="31"/>
        <v>0.26000000000000006</v>
      </c>
      <c r="AU23" s="62">
        <f t="shared" si="5"/>
        <v>0.2</v>
      </c>
      <c r="AV23" s="65">
        <f t="shared" ref="AV23:AV24" si="32">AV22+1.4%</f>
        <v>0.29600000000000004</v>
      </c>
      <c r="AW23" s="62">
        <f t="shared" si="6"/>
        <v>0</v>
      </c>
      <c r="AX23" s="65">
        <v>0</v>
      </c>
      <c r="AY23" s="62">
        <f t="shared" si="7"/>
        <v>0</v>
      </c>
      <c r="AZ23" s="65">
        <v>0</v>
      </c>
      <c r="BA23" s="62">
        <f t="shared" si="8"/>
        <v>0</v>
      </c>
      <c r="BB23" s="65">
        <v>0</v>
      </c>
      <c r="BC23" s="62">
        <f t="shared" si="9"/>
        <v>0</v>
      </c>
      <c r="BD23" s="64">
        <v>0</v>
      </c>
      <c r="BE23" s="66">
        <v>87</v>
      </c>
      <c r="BF23" s="63" t="s">
        <v>54</v>
      </c>
      <c r="BG23" s="60">
        <v>21</v>
      </c>
      <c r="BH23" s="63">
        <v>0.64</v>
      </c>
      <c r="BI23" s="63">
        <v>0.55000000000000004</v>
      </c>
      <c r="BJ23" s="63">
        <v>0.77</v>
      </c>
      <c r="BK23" s="65">
        <v>0.6</v>
      </c>
      <c r="BL23" s="7"/>
      <c r="BM23" s="7"/>
      <c r="BN23" s="7"/>
      <c r="BO23" s="7"/>
      <c r="BP23" s="7"/>
      <c r="BQ23" s="7"/>
    </row>
    <row r="24" spans="1:69" ht="19.8" thickBot="1" x14ac:dyDescent="0.35">
      <c r="A24" s="16">
        <v>22</v>
      </c>
      <c r="B24" s="52">
        <v>44076</v>
      </c>
      <c r="C24" s="53" t="str">
        <f t="shared" si="10"/>
        <v>1399/06/12</v>
      </c>
      <c r="D24" s="54">
        <v>0.17100000000000001</v>
      </c>
      <c r="E24" s="54">
        <v>6.7760000000000029E-2</v>
      </c>
      <c r="F24" s="11" t="e">
        <f t="shared" si="11"/>
        <v>#N/A</v>
      </c>
      <c r="G24" s="38" t="str">
        <f t="shared" si="12"/>
        <v>تاریخ: 1399/06/12
درصد پیشرفت برنامه ای: 17.1%
درصد پیشرفت واقعی: 6.78%</v>
      </c>
      <c r="H24" s="55">
        <f t="shared" si="27"/>
        <v>0.79000000000000015</v>
      </c>
      <c r="I24" s="56">
        <v>0.10999999999999999</v>
      </c>
      <c r="J24" s="56">
        <f t="shared" si="30"/>
        <v>0.23200000000000001</v>
      </c>
      <c r="K24" s="56">
        <v>0</v>
      </c>
      <c r="L24" s="56">
        <v>0</v>
      </c>
      <c r="M24" s="56">
        <v>0</v>
      </c>
      <c r="N24" s="57">
        <v>0</v>
      </c>
      <c r="O24" s="16">
        <f t="shared" si="19"/>
        <v>46</v>
      </c>
      <c r="P24" s="17">
        <v>47</v>
      </c>
      <c r="Q24" s="17">
        <v>47</v>
      </c>
      <c r="R24" s="17">
        <v>46</v>
      </c>
      <c r="S24" s="17">
        <v>45</v>
      </c>
      <c r="T24" s="17">
        <v>46</v>
      </c>
      <c r="U24" s="58">
        <v>47</v>
      </c>
      <c r="V24" s="16">
        <f t="shared" si="13"/>
        <v>49</v>
      </c>
      <c r="W24" s="17">
        <f t="shared" si="14"/>
        <v>51</v>
      </c>
      <c r="X24" s="17">
        <f t="shared" si="0"/>
        <v>51</v>
      </c>
      <c r="Y24" s="17">
        <f t="shared" si="15"/>
        <v>47</v>
      </c>
      <c r="Z24" s="17">
        <f t="shared" si="1"/>
        <v>48</v>
      </c>
      <c r="AA24" s="17">
        <f t="shared" si="16"/>
        <v>47</v>
      </c>
      <c r="AB24" s="58">
        <f t="shared" si="17"/>
        <v>52</v>
      </c>
      <c r="AC24" s="67"/>
      <c r="AD24" s="67"/>
      <c r="AE24" s="67"/>
      <c r="AF24" s="16">
        <f t="shared" si="2"/>
        <v>91</v>
      </c>
      <c r="AG24" s="17" t="s">
        <v>55</v>
      </c>
      <c r="AH24" s="17">
        <v>22</v>
      </c>
      <c r="AI24" s="59">
        <v>796437000000</v>
      </c>
      <c r="AJ24" s="60">
        <v>793649000000</v>
      </c>
      <c r="AK24" s="61">
        <f t="shared" si="18"/>
        <v>2788000000</v>
      </c>
      <c r="AL24" s="62">
        <v>0.6</v>
      </c>
      <c r="AM24" s="63">
        <v>0.5</v>
      </c>
      <c r="AN24" s="63">
        <v>0.66</v>
      </c>
      <c r="AO24" s="63">
        <v>0.5</v>
      </c>
      <c r="AP24" s="64">
        <v>0.9</v>
      </c>
      <c r="AQ24" s="62">
        <f t="shared" si="3"/>
        <v>0.79000000000000015</v>
      </c>
      <c r="AR24" s="65">
        <v>0.99</v>
      </c>
      <c r="AS24" s="62">
        <f t="shared" si="4"/>
        <v>0.10999999999999999</v>
      </c>
      <c r="AT24" s="65">
        <f t="shared" si="31"/>
        <v>0.27000000000000007</v>
      </c>
      <c r="AU24" s="62">
        <f t="shared" si="5"/>
        <v>0.23200000000000001</v>
      </c>
      <c r="AV24" s="65">
        <f t="shared" si="32"/>
        <v>0.31000000000000005</v>
      </c>
      <c r="AW24" s="62">
        <f t="shared" si="6"/>
        <v>0</v>
      </c>
      <c r="AX24" s="65">
        <v>0</v>
      </c>
      <c r="AY24" s="62">
        <f t="shared" si="7"/>
        <v>0</v>
      </c>
      <c r="AZ24" s="65">
        <v>0</v>
      </c>
      <c r="BA24" s="62">
        <f t="shared" si="8"/>
        <v>0</v>
      </c>
      <c r="BB24" s="65">
        <v>0</v>
      </c>
      <c r="BC24" s="62">
        <f t="shared" si="9"/>
        <v>0</v>
      </c>
      <c r="BD24" s="64">
        <v>0</v>
      </c>
      <c r="BE24" s="66">
        <v>91</v>
      </c>
      <c r="BF24" s="63" t="s">
        <v>55</v>
      </c>
      <c r="BG24" s="60">
        <v>22</v>
      </c>
      <c r="BH24" s="63">
        <v>0.65</v>
      </c>
      <c r="BI24" s="63">
        <v>0.6</v>
      </c>
      <c r="BJ24" s="63">
        <v>0.4</v>
      </c>
      <c r="BK24" s="65">
        <v>0.45</v>
      </c>
      <c r="BL24" s="7"/>
      <c r="BM24" s="7"/>
      <c r="BN24" s="7"/>
      <c r="BO24" s="7"/>
      <c r="BP24" s="7"/>
      <c r="BQ24" s="7"/>
    </row>
    <row r="25" spans="1:69" ht="19.8" thickBot="1" x14ac:dyDescent="0.35">
      <c r="A25" s="16">
        <v>23</v>
      </c>
      <c r="B25" s="52">
        <v>44083</v>
      </c>
      <c r="C25" s="53" t="str">
        <f t="shared" si="10"/>
        <v>1399/06/19</v>
      </c>
      <c r="D25" s="54">
        <v>0.17800000000000002</v>
      </c>
      <c r="E25" s="54">
        <v>7.4480000000000032E-2</v>
      </c>
      <c r="F25" s="11" t="e">
        <f t="shared" si="11"/>
        <v>#N/A</v>
      </c>
      <c r="G25" s="38" t="str">
        <f t="shared" si="12"/>
        <v>تاریخ: 1399/06/19
درصد پیشرفت برنامه ای: 17.8%
درصد پیشرفت واقعی: 7.45%</v>
      </c>
      <c r="H25" s="55">
        <f t="shared" si="27"/>
        <v>0.81000000000000016</v>
      </c>
      <c r="I25" s="56">
        <v>0.10999999999999999</v>
      </c>
      <c r="J25" s="56">
        <f t="shared" si="30"/>
        <v>0.26400000000000001</v>
      </c>
      <c r="K25" s="56">
        <v>0</v>
      </c>
      <c r="L25" s="56">
        <v>0</v>
      </c>
      <c r="M25" s="56">
        <v>0</v>
      </c>
      <c r="N25" s="57">
        <v>0</v>
      </c>
      <c r="O25" s="16">
        <f t="shared" si="19"/>
        <v>47</v>
      </c>
      <c r="P25" s="17">
        <v>43</v>
      </c>
      <c r="Q25" s="17">
        <v>44</v>
      </c>
      <c r="R25" s="17">
        <v>42</v>
      </c>
      <c r="S25" s="17">
        <v>43</v>
      </c>
      <c r="T25" s="17">
        <v>45</v>
      </c>
      <c r="U25" s="58">
        <v>45</v>
      </c>
      <c r="V25" s="16">
        <f t="shared" si="13"/>
        <v>50</v>
      </c>
      <c r="W25" s="17">
        <f t="shared" si="14"/>
        <v>47</v>
      </c>
      <c r="X25" s="17">
        <f t="shared" si="0"/>
        <v>48</v>
      </c>
      <c r="Y25" s="17">
        <f t="shared" si="15"/>
        <v>43</v>
      </c>
      <c r="Z25" s="17">
        <f t="shared" si="1"/>
        <v>46</v>
      </c>
      <c r="AA25" s="17">
        <f t="shared" si="16"/>
        <v>46</v>
      </c>
      <c r="AB25" s="58">
        <f t="shared" si="17"/>
        <v>50</v>
      </c>
      <c r="AC25" s="67"/>
      <c r="AD25" s="67"/>
      <c r="AE25" s="67"/>
      <c r="AF25" s="16">
        <f t="shared" si="2"/>
        <v>95</v>
      </c>
      <c r="AG25" s="17" t="s">
        <v>56</v>
      </c>
      <c r="AH25" s="17">
        <v>23</v>
      </c>
      <c r="AI25" s="59">
        <v>824199000000</v>
      </c>
      <c r="AJ25" s="60">
        <v>821314000000</v>
      </c>
      <c r="AK25" s="61">
        <f t="shared" si="18"/>
        <v>2885000000</v>
      </c>
      <c r="AL25" s="62">
        <v>0.55000000000000004</v>
      </c>
      <c r="AM25" s="63">
        <v>0.62</v>
      </c>
      <c r="AN25" s="63">
        <v>0.78</v>
      </c>
      <c r="AO25" s="63">
        <v>0.42</v>
      </c>
      <c r="AP25" s="64">
        <v>0.8</v>
      </c>
      <c r="AQ25" s="62">
        <f t="shared" si="3"/>
        <v>0.81000000000000016</v>
      </c>
      <c r="AR25" s="65">
        <v>0.99</v>
      </c>
      <c r="AS25" s="62">
        <f t="shared" si="4"/>
        <v>0.10999999999999999</v>
      </c>
      <c r="AT25" s="65">
        <f t="shared" si="31"/>
        <v>0.28000000000000008</v>
      </c>
      <c r="AU25" s="62">
        <f t="shared" si="5"/>
        <v>0.26400000000000001</v>
      </c>
      <c r="AV25" s="65">
        <f>AV24+1.9%</f>
        <v>0.32900000000000007</v>
      </c>
      <c r="AW25" s="62">
        <f t="shared" si="6"/>
        <v>0</v>
      </c>
      <c r="AX25" s="65">
        <v>0</v>
      </c>
      <c r="AY25" s="62">
        <f t="shared" si="7"/>
        <v>0</v>
      </c>
      <c r="AZ25" s="65">
        <v>0</v>
      </c>
      <c r="BA25" s="62">
        <f t="shared" si="8"/>
        <v>0</v>
      </c>
      <c r="BB25" s="65">
        <v>0</v>
      </c>
      <c r="BC25" s="62">
        <f t="shared" si="9"/>
        <v>0</v>
      </c>
      <c r="BD25" s="64">
        <v>0</v>
      </c>
      <c r="BE25" s="66">
        <v>95</v>
      </c>
      <c r="BF25" s="63" t="s">
        <v>56</v>
      </c>
      <c r="BG25" s="60">
        <v>23</v>
      </c>
      <c r="BH25" s="63">
        <v>0.62</v>
      </c>
      <c r="BI25" s="63">
        <v>0.45</v>
      </c>
      <c r="BJ25" s="63">
        <v>0.55000000000000004</v>
      </c>
      <c r="BK25" s="65">
        <v>0.77</v>
      </c>
      <c r="BL25" s="7"/>
      <c r="BM25" s="7"/>
      <c r="BN25" s="7"/>
      <c r="BO25" s="7"/>
      <c r="BP25" s="7"/>
      <c r="BQ25" s="7"/>
    </row>
    <row r="26" spans="1:69" ht="19.8" thickBot="1" x14ac:dyDescent="0.35">
      <c r="A26" s="16">
        <v>24</v>
      </c>
      <c r="B26" s="52">
        <v>44090</v>
      </c>
      <c r="C26" s="53" t="str">
        <f t="shared" si="10"/>
        <v>1399/06/26</v>
      </c>
      <c r="D26" s="54">
        <v>0.18300000000000002</v>
      </c>
      <c r="E26" s="54">
        <v>7.9280000000000031E-2</v>
      </c>
      <c r="F26" s="11" t="e">
        <f t="shared" si="11"/>
        <v>#N/A</v>
      </c>
      <c r="G26" s="38" t="str">
        <f t="shared" si="12"/>
        <v>تاریخ: 1399/06/26
درصد پیشرفت برنامه ای: 18.3%
درصد پیشرفت واقعی: 7.93%</v>
      </c>
      <c r="H26" s="55">
        <f t="shared" si="27"/>
        <v>0.83000000000000018</v>
      </c>
      <c r="I26" s="56">
        <v>0.10999999999999999</v>
      </c>
      <c r="J26" s="56">
        <f t="shared" si="30"/>
        <v>0.29600000000000004</v>
      </c>
      <c r="K26" s="56">
        <v>0</v>
      </c>
      <c r="L26" s="56">
        <v>0</v>
      </c>
      <c r="M26" s="56">
        <v>0</v>
      </c>
      <c r="N26" s="57">
        <v>0</v>
      </c>
      <c r="O26" s="16">
        <f t="shared" si="19"/>
        <v>45</v>
      </c>
      <c r="P26" s="17">
        <v>46</v>
      </c>
      <c r="Q26" s="17">
        <v>45</v>
      </c>
      <c r="R26" s="17">
        <v>46</v>
      </c>
      <c r="S26" s="17">
        <v>47</v>
      </c>
      <c r="T26" s="17">
        <v>47</v>
      </c>
      <c r="U26" s="58">
        <v>46</v>
      </c>
      <c r="V26" s="16">
        <f t="shared" si="13"/>
        <v>48</v>
      </c>
      <c r="W26" s="17">
        <f t="shared" si="14"/>
        <v>50</v>
      </c>
      <c r="X26" s="17">
        <f t="shared" si="0"/>
        <v>49</v>
      </c>
      <c r="Y26" s="17">
        <f t="shared" si="15"/>
        <v>47</v>
      </c>
      <c r="Z26" s="17">
        <f t="shared" si="1"/>
        <v>50</v>
      </c>
      <c r="AA26" s="17">
        <f t="shared" si="16"/>
        <v>48</v>
      </c>
      <c r="AB26" s="58">
        <f t="shared" si="17"/>
        <v>51</v>
      </c>
      <c r="AC26" s="67"/>
      <c r="AD26" s="67"/>
      <c r="AE26" s="67"/>
      <c r="AF26" s="16">
        <f t="shared" si="2"/>
        <v>99</v>
      </c>
      <c r="AG26" s="17" t="s">
        <v>57</v>
      </c>
      <c r="AH26" s="17">
        <v>24</v>
      </c>
      <c r="AI26" s="59">
        <v>875429000000</v>
      </c>
      <c r="AJ26" s="60">
        <v>872365000000</v>
      </c>
      <c r="AK26" s="61">
        <f t="shared" si="18"/>
        <v>3064000000</v>
      </c>
      <c r="AL26" s="62">
        <v>0.6</v>
      </c>
      <c r="AM26" s="63">
        <v>0.9</v>
      </c>
      <c r="AN26" s="63">
        <v>0.5</v>
      </c>
      <c r="AO26" s="63">
        <v>0.5</v>
      </c>
      <c r="AP26" s="64">
        <v>0.62</v>
      </c>
      <c r="AQ26" s="62">
        <f t="shared" si="3"/>
        <v>0.83000000000000018</v>
      </c>
      <c r="AR26" s="65">
        <v>1</v>
      </c>
      <c r="AS26" s="62">
        <f t="shared" si="4"/>
        <v>0.10999999999999999</v>
      </c>
      <c r="AT26" s="65">
        <f t="shared" si="31"/>
        <v>0.29000000000000009</v>
      </c>
      <c r="AU26" s="62">
        <f t="shared" si="5"/>
        <v>0.29600000000000004</v>
      </c>
      <c r="AV26" s="65">
        <f t="shared" ref="AV26:AV30" si="33">AV25+1.9%</f>
        <v>0.34800000000000009</v>
      </c>
      <c r="AW26" s="62">
        <f t="shared" si="6"/>
        <v>0</v>
      </c>
      <c r="AX26" s="65">
        <v>0.03</v>
      </c>
      <c r="AY26" s="62">
        <f t="shared" si="7"/>
        <v>0</v>
      </c>
      <c r="AZ26" s="65">
        <v>0</v>
      </c>
      <c r="BA26" s="62">
        <f t="shared" si="8"/>
        <v>0</v>
      </c>
      <c r="BB26" s="65">
        <v>0</v>
      </c>
      <c r="BC26" s="62">
        <f t="shared" si="9"/>
        <v>0</v>
      </c>
      <c r="BD26" s="64">
        <v>0</v>
      </c>
      <c r="BE26" s="66">
        <v>99</v>
      </c>
      <c r="BF26" s="63" t="s">
        <v>57</v>
      </c>
      <c r="BG26" s="60">
        <v>24</v>
      </c>
      <c r="BH26" s="63">
        <v>0.4</v>
      </c>
      <c r="BI26" s="63">
        <v>0.52</v>
      </c>
      <c r="BJ26" s="63">
        <v>0.6</v>
      </c>
      <c r="BK26" s="65">
        <v>0.4</v>
      </c>
      <c r="BL26" s="7"/>
      <c r="BM26" s="7"/>
      <c r="BN26" s="7"/>
      <c r="BO26" s="7"/>
      <c r="BP26" s="7"/>
      <c r="BQ26" s="7"/>
    </row>
    <row r="27" spans="1:69" ht="19.8" thickBot="1" x14ac:dyDescent="0.35">
      <c r="A27" s="16">
        <v>25</v>
      </c>
      <c r="B27" s="52">
        <v>44097</v>
      </c>
      <c r="C27" s="53" t="str">
        <f t="shared" si="10"/>
        <v>1399/07/02</v>
      </c>
      <c r="D27" s="54">
        <v>0.18800000000000003</v>
      </c>
      <c r="E27" s="54">
        <v>8.408000000000003E-2</v>
      </c>
      <c r="F27" s="11" t="e">
        <f t="shared" si="11"/>
        <v>#N/A</v>
      </c>
      <c r="G27" s="38" t="str">
        <f t="shared" si="12"/>
        <v>تاریخ: 1399/07/02
درصد پیشرفت برنامه ای: 18.8%
درصد پیشرفت واقعی: 8.41%</v>
      </c>
      <c r="H27" s="55">
        <f t="shared" si="27"/>
        <v>0.8500000000000002</v>
      </c>
      <c r="I27" s="56">
        <v>0.15</v>
      </c>
      <c r="J27" s="56">
        <f t="shared" si="30"/>
        <v>0.32800000000000007</v>
      </c>
      <c r="K27" s="56">
        <v>0</v>
      </c>
      <c r="L27" s="56">
        <v>0</v>
      </c>
      <c r="M27" s="56">
        <v>0</v>
      </c>
      <c r="N27" s="57">
        <v>0</v>
      </c>
      <c r="O27" s="16">
        <f t="shared" si="19"/>
        <v>46</v>
      </c>
      <c r="P27" s="17">
        <v>43</v>
      </c>
      <c r="Q27" s="17">
        <v>44</v>
      </c>
      <c r="R27" s="17">
        <v>42</v>
      </c>
      <c r="S27" s="17">
        <v>43</v>
      </c>
      <c r="T27" s="17">
        <v>45</v>
      </c>
      <c r="U27" s="58">
        <v>45</v>
      </c>
      <c r="V27" s="16">
        <f t="shared" si="13"/>
        <v>49</v>
      </c>
      <c r="W27" s="17">
        <f t="shared" si="14"/>
        <v>47</v>
      </c>
      <c r="X27" s="17">
        <f t="shared" si="0"/>
        <v>48</v>
      </c>
      <c r="Y27" s="17">
        <f t="shared" si="15"/>
        <v>43</v>
      </c>
      <c r="Z27" s="17">
        <f t="shared" si="1"/>
        <v>46</v>
      </c>
      <c r="AA27" s="17">
        <f t="shared" si="16"/>
        <v>46</v>
      </c>
      <c r="AB27" s="58">
        <f t="shared" si="17"/>
        <v>50</v>
      </c>
      <c r="AC27" s="67"/>
      <c r="AD27" s="67"/>
      <c r="AE27" s="67"/>
      <c r="AF27" s="16">
        <f t="shared" si="2"/>
        <v>103</v>
      </c>
      <c r="AG27" s="17" t="s">
        <v>58</v>
      </c>
      <c r="AH27" s="17">
        <v>25</v>
      </c>
      <c r="AI27" s="59">
        <v>878795000000</v>
      </c>
      <c r="AJ27" s="60">
        <v>875719000000</v>
      </c>
      <c r="AK27" s="61">
        <f t="shared" si="18"/>
        <v>3076000000</v>
      </c>
      <c r="AL27" s="62">
        <v>0.66</v>
      </c>
      <c r="AM27" s="63">
        <v>0.7</v>
      </c>
      <c r="AN27" s="63">
        <v>0.8</v>
      </c>
      <c r="AO27" s="63">
        <v>0.55000000000000004</v>
      </c>
      <c r="AP27" s="64">
        <v>0.5</v>
      </c>
      <c r="AQ27" s="62">
        <f t="shared" si="3"/>
        <v>0.8500000000000002</v>
      </c>
      <c r="AR27" s="65">
        <v>1</v>
      </c>
      <c r="AS27" s="62">
        <f t="shared" si="4"/>
        <v>0.15</v>
      </c>
      <c r="AT27" s="65">
        <f t="shared" si="31"/>
        <v>0.3000000000000001</v>
      </c>
      <c r="AU27" s="62">
        <f t="shared" si="5"/>
        <v>0.32800000000000007</v>
      </c>
      <c r="AV27" s="65">
        <f t="shared" si="33"/>
        <v>0.3670000000000001</v>
      </c>
      <c r="AW27" s="62">
        <f t="shared" si="6"/>
        <v>0</v>
      </c>
      <c r="AX27" s="65">
        <f>AX26+3%</f>
        <v>0.06</v>
      </c>
      <c r="AY27" s="62">
        <f t="shared" si="7"/>
        <v>0</v>
      </c>
      <c r="AZ27" s="65">
        <v>0</v>
      </c>
      <c r="BA27" s="62">
        <f t="shared" si="8"/>
        <v>0</v>
      </c>
      <c r="BB27" s="65">
        <v>0</v>
      </c>
      <c r="BC27" s="62">
        <f t="shared" si="9"/>
        <v>0</v>
      </c>
      <c r="BD27" s="64">
        <v>0</v>
      </c>
      <c r="BE27" s="66">
        <v>103</v>
      </c>
      <c r="BF27" s="63" t="s">
        <v>58</v>
      </c>
      <c r="BG27" s="60">
        <v>25</v>
      </c>
      <c r="BH27" s="63">
        <v>0.55000000000000004</v>
      </c>
      <c r="BI27" s="63">
        <v>0.62</v>
      </c>
      <c r="BJ27" s="63">
        <v>0.45</v>
      </c>
      <c r="BK27" s="65">
        <v>0.55000000000000004</v>
      </c>
      <c r="BL27" s="7"/>
      <c r="BM27" s="7"/>
      <c r="BN27" s="7"/>
      <c r="BO27" s="7"/>
      <c r="BP27" s="7"/>
      <c r="BQ27" s="7"/>
    </row>
    <row r="28" spans="1:69" ht="19.8" thickBot="1" x14ac:dyDescent="0.35">
      <c r="A28" s="16">
        <v>26</v>
      </c>
      <c r="B28" s="52">
        <v>44104</v>
      </c>
      <c r="C28" s="53" t="str">
        <f t="shared" si="10"/>
        <v>1399/07/09</v>
      </c>
      <c r="D28" s="54">
        <v>0.19300000000000003</v>
      </c>
      <c r="E28" s="54">
        <v>8.8880000000000028E-2</v>
      </c>
      <c r="F28" s="11" t="e">
        <f t="shared" si="11"/>
        <v>#N/A</v>
      </c>
      <c r="G28" s="38" t="str">
        <f t="shared" si="12"/>
        <v>تاریخ: 1399/07/09
درصد پیشرفت برنامه ای: 19.3%
درصد پیشرفت واقعی: 8.89%</v>
      </c>
      <c r="H28" s="55">
        <f t="shared" si="27"/>
        <v>0.87000000000000022</v>
      </c>
      <c r="I28" s="56">
        <v>0.15</v>
      </c>
      <c r="J28" s="56">
        <f t="shared" si="30"/>
        <v>0.3600000000000001</v>
      </c>
      <c r="K28" s="56">
        <v>0</v>
      </c>
      <c r="L28" s="56">
        <v>0</v>
      </c>
      <c r="M28" s="56">
        <v>0</v>
      </c>
      <c r="N28" s="57">
        <v>0</v>
      </c>
      <c r="O28" s="16">
        <f t="shared" si="19"/>
        <v>45</v>
      </c>
      <c r="P28" s="17">
        <v>40</v>
      </c>
      <c r="Q28" s="17">
        <v>41</v>
      </c>
      <c r="R28" s="17">
        <v>40</v>
      </c>
      <c r="S28" s="17">
        <v>42</v>
      </c>
      <c r="T28" s="17">
        <v>43</v>
      </c>
      <c r="U28" s="58">
        <v>42</v>
      </c>
      <c r="V28" s="16">
        <f t="shared" si="13"/>
        <v>48</v>
      </c>
      <c r="W28" s="17">
        <f t="shared" si="14"/>
        <v>44</v>
      </c>
      <c r="X28" s="17">
        <f t="shared" si="0"/>
        <v>45</v>
      </c>
      <c r="Y28" s="17">
        <f t="shared" si="15"/>
        <v>41</v>
      </c>
      <c r="Z28" s="17">
        <f t="shared" si="1"/>
        <v>45</v>
      </c>
      <c r="AA28" s="17">
        <f t="shared" si="16"/>
        <v>44</v>
      </c>
      <c r="AB28" s="58">
        <f t="shared" si="17"/>
        <v>47</v>
      </c>
      <c r="AC28" s="67"/>
      <c r="AD28" s="67"/>
      <c r="AE28" s="67"/>
      <c r="AF28" s="16">
        <f t="shared" si="2"/>
        <v>107</v>
      </c>
      <c r="AG28" s="17" t="s">
        <v>59</v>
      </c>
      <c r="AH28" s="17">
        <v>26</v>
      </c>
      <c r="AI28" s="59">
        <v>884327000000</v>
      </c>
      <c r="AJ28" s="60">
        <v>881232000000</v>
      </c>
      <c r="AK28" s="61">
        <f t="shared" si="18"/>
        <v>3095000000</v>
      </c>
      <c r="AL28" s="62">
        <v>0.55000000000000004</v>
      </c>
      <c r="AM28" s="63">
        <v>0.4</v>
      </c>
      <c r="AN28" s="63">
        <v>0.4</v>
      </c>
      <c r="AO28" s="63">
        <v>0.9</v>
      </c>
      <c r="AP28" s="64">
        <v>0.8</v>
      </c>
      <c r="AQ28" s="62">
        <f t="shared" si="3"/>
        <v>0.87000000000000022</v>
      </c>
      <c r="AR28" s="65">
        <v>1</v>
      </c>
      <c r="AS28" s="62">
        <f t="shared" si="4"/>
        <v>0.15</v>
      </c>
      <c r="AT28" s="65">
        <f t="shared" si="31"/>
        <v>0.31000000000000011</v>
      </c>
      <c r="AU28" s="62">
        <f t="shared" si="5"/>
        <v>0.3600000000000001</v>
      </c>
      <c r="AV28" s="65">
        <f t="shared" si="33"/>
        <v>0.38600000000000012</v>
      </c>
      <c r="AW28" s="62">
        <f t="shared" si="6"/>
        <v>0</v>
      </c>
      <c r="AX28" s="65">
        <f t="shared" ref="AX28:AX38" si="34">AX27+3%</f>
        <v>0.09</v>
      </c>
      <c r="AY28" s="62">
        <f t="shared" si="7"/>
        <v>0</v>
      </c>
      <c r="AZ28" s="65">
        <v>0</v>
      </c>
      <c r="BA28" s="62">
        <f t="shared" si="8"/>
        <v>0</v>
      </c>
      <c r="BB28" s="65">
        <v>0</v>
      </c>
      <c r="BC28" s="62">
        <f t="shared" si="9"/>
        <v>0</v>
      </c>
      <c r="BD28" s="64">
        <v>0</v>
      </c>
      <c r="BE28" s="66">
        <v>107</v>
      </c>
      <c r="BF28" s="63" t="s">
        <v>59</v>
      </c>
      <c r="BG28" s="60">
        <v>26</v>
      </c>
      <c r="BH28" s="63">
        <v>0.6</v>
      </c>
      <c r="BI28" s="63">
        <v>0.4</v>
      </c>
      <c r="BJ28" s="63">
        <v>0.6</v>
      </c>
      <c r="BK28" s="65">
        <v>0.6</v>
      </c>
      <c r="BL28" s="7"/>
      <c r="BM28" s="7"/>
      <c r="BN28" s="7"/>
      <c r="BO28" s="7"/>
      <c r="BP28" s="7"/>
      <c r="BQ28" s="7"/>
    </row>
    <row r="29" spans="1:69" ht="19.8" thickBot="1" x14ac:dyDescent="0.35">
      <c r="A29" s="16">
        <v>27</v>
      </c>
      <c r="B29" s="52">
        <v>44111</v>
      </c>
      <c r="C29" s="53" t="str">
        <f t="shared" si="10"/>
        <v>1399/07/16</v>
      </c>
      <c r="D29" s="54">
        <v>0.19800000000000004</v>
      </c>
      <c r="E29" s="54">
        <v>9.3885000000000038E-2</v>
      </c>
      <c r="F29" s="11" t="e">
        <f t="shared" si="11"/>
        <v>#N/A</v>
      </c>
      <c r="G29" s="38" t="str">
        <f t="shared" si="12"/>
        <v>تاریخ: 1399/07/16
درصد پیشرفت برنامه ای: 19.8%
درصد پیشرفت واقعی: 9.39%</v>
      </c>
      <c r="H29" s="55">
        <f t="shared" si="27"/>
        <v>0.89000000000000024</v>
      </c>
      <c r="I29" s="56">
        <v>0.15</v>
      </c>
      <c r="J29" s="56">
        <f t="shared" si="30"/>
        <v>0.39200000000000013</v>
      </c>
      <c r="K29" s="56">
        <v>0</v>
      </c>
      <c r="L29" s="56">
        <v>0</v>
      </c>
      <c r="M29" s="56">
        <v>0</v>
      </c>
      <c r="N29" s="57">
        <v>0</v>
      </c>
      <c r="O29" s="16">
        <f t="shared" si="19"/>
        <v>42</v>
      </c>
      <c r="P29" s="17">
        <v>36</v>
      </c>
      <c r="Q29" s="17">
        <v>37</v>
      </c>
      <c r="R29" s="17">
        <v>36</v>
      </c>
      <c r="S29" s="17">
        <v>38</v>
      </c>
      <c r="T29" s="17">
        <v>36</v>
      </c>
      <c r="U29" s="58">
        <v>36</v>
      </c>
      <c r="V29" s="16">
        <f t="shared" si="13"/>
        <v>45</v>
      </c>
      <c r="W29" s="17">
        <f t="shared" si="14"/>
        <v>40</v>
      </c>
      <c r="X29" s="17">
        <f t="shared" si="0"/>
        <v>41</v>
      </c>
      <c r="Y29" s="17">
        <f t="shared" si="15"/>
        <v>37</v>
      </c>
      <c r="Z29" s="17">
        <f t="shared" si="1"/>
        <v>41</v>
      </c>
      <c r="AA29" s="17">
        <f t="shared" si="16"/>
        <v>37</v>
      </c>
      <c r="AB29" s="58">
        <f t="shared" si="17"/>
        <v>41</v>
      </c>
      <c r="AC29" s="67"/>
      <c r="AD29" s="67"/>
      <c r="AE29" s="67"/>
      <c r="AF29" s="16">
        <f t="shared" si="2"/>
        <v>111</v>
      </c>
      <c r="AG29" s="17" t="s">
        <v>60</v>
      </c>
      <c r="AH29" s="17">
        <v>27</v>
      </c>
      <c r="AI29" s="59">
        <v>896133000000</v>
      </c>
      <c r="AJ29" s="60">
        <v>892997000000</v>
      </c>
      <c r="AK29" s="61">
        <f t="shared" si="18"/>
        <v>3136000000</v>
      </c>
      <c r="AL29" s="62">
        <v>0.7</v>
      </c>
      <c r="AM29" s="63">
        <v>0.55000000000000004</v>
      </c>
      <c r="AN29" s="63">
        <v>0.1</v>
      </c>
      <c r="AO29" s="63">
        <v>0.4</v>
      </c>
      <c r="AP29" s="64">
        <v>0.9</v>
      </c>
      <c r="AQ29" s="62">
        <f t="shared" si="3"/>
        <v>0.89000000000000024</v>
      </c>
      <c r="AR29" s="65">
        <v>1</v>
      </c>
      <c r="AS29" s="62">
        <f t="shared" si="4"/>
        <v>0.15</v>
      </c>
      <c r="AT29" s="65">
        <f t="shared" si="31"/>
        <v>0.32000000000000012</v>
      </c>
      <c r="AU29" s="62">
        <f t="shared" si="5"/>
        <v>0.39200000000000013</v>
      </c>
      <c r="AV29" s="65">
        <f t="shared" si="33"/>
        <v>0.40500000000000014</v>
      </c>
      <c r="AW29" s="62">
        <f t="shared" si="6"/>
        <v>0</v>
      </c>
      <c r="AX29" s="65">
        <f t="shared" si="34"/>
        <v>0.12</v>
      </c>
      <c r="AY29" s="62">
        <f t="shared" si="7"/>
        <v>0</v>
      </c>
      <c r="AZ29" s="65">
        <v>0</v>
      </c>
      <c r="BA29" s="62">
        <f t="shared" si="8"/>
        <v>0</v>
      </c>
      <c r="BB29" s="65">
        <v>0</v>
      </c>
      <c r="BC29" s="62">
        <f t="shared" si="9"/>
        <v>0</v>
      </c>
      <c r="BD29" s="64">
        <v>0</v>
      </c>
      <c r="BE29" s="66">
        <v>111</v>
      </c>
      <c r="BF29" s="63" t="s">
        <v>60</v>
      </c>
      <c r="BG29" s="60">
        <v>27</v>
      </c>
      <c r="BH29" s="63">
        <v>0.45</v>
      </c>
      <c r="BI29" s="63">
        <v>0.55000000000000004</v>
      </c>
      <c r="BJ29" s="63">
        <v>0.45</v>
      </c>
      <c r="BK29" s="65">
        <v>0.45</v>
      </c>
      <c r="BL29" s="7"/>
      <c r="BM29" s="7"/>
      <c r="BN29" s="7"/>
      <c r="BO29" s="7"/>
      <c r="BP29" s="7"/>
      <c r="BQ29" s="7"/>
    </row>
    <row r="30" spans="1:69" ht="19.8" thickBot="1" x14ac:dyDescent="0.35">
      <c r="A30" s="16">
        <v>28</v>
      </c>
      <c r="B30" s="52">
        <v>44118</v>
      </c>
      <c r="C30" s="53" t="str">
        <f t="shared" si="10"/>
        <v>1399/07/23</v>
      </c>
      <c r="D30" s="54">
        <v>0.20700000000000005</v>
      </c>
      <c r="E30" s="54">
        <v>0.10289400000000004</v>
      </c>
      <c r="F30" s="11" t="e">
        <f t="shared" si="11"/>
        <v>#N/A</v>
      </c>
      <c r="G30" s="38" t="str">
        <f t="shared" si="12"/>
        <v>تاریخ: 1399/07/23
درصد پیشرفت برنامه ای: 20.7%
درصد پیشرفت واقعی: 10.29%</v>
      </c>
      <c r="H30" s="55">
        <f t="shared" si="27"/>
        <v>0.91000000000000025</v>
      </c>
      <c r="I30" s="56">
        <v>0.15</v>
      </c>
      <c r="J30" s="56">
        <f t="shared" si="30"/>
        <v>0.42400000000000015</v>
      </c>
      <c r="K30" s="56">
        <v>0</v>
      </c>
      <c r="L30" s="56">
        <v>0</v>
      </c>
      <c r="M30" s="56">
        <v>0</v>
      </c>
      <c r="N30" s="57">
        <v>0</v>
      </c>
      <c r="O30" s="16">
        <f t="shared" si="19"/>
        <v>36</v>
      </c>
      <c r="P30" s="17">
        <v>22</v>
      </c>
      <c r="Q30" s="17">
        <v>22</v>
      </c>
      <c r="R30" s="17">
        <v>23</v>
      </c>
      <c r="S30" s="17">
        <v>21</v>
      </c>
      <c r="T30" s="17">
        <v>22</v>
      </c>
      <c r="U30" s="58">
        <v>24</v>
      </c>
      <c r="V30" s="16">
        <f t="shared" si="13"/>
        <v>39</v>
      </c>
      <c r="W30" s="17">
        <f t="shared" si="14"/>
        <v>26</v>
      </c>
      <c r="X30" s="17">
        <f t="shared" si="0"/>
        <v>26</v>
      </c>
      <c r="Y30" s="17">
        <f t="shared" si="15"/>
        <v>24</v>
      </c>
      <c r="Z30" s="17">
        <f t="shared" si="1"/>
        <v>24</v>
      </c>
      <c r="AA30" s="17">
        <f t="shared" si="16"/>
        <v>23</v>
      </c>
      <c r="AB30" s="58">
        <f t="shared" si="17"/>
        <v>29</v>
      </c>
      <c r="AC30" s="67"/>
      <c r="AD30" s="67"/>
      <c r="AE30" s="67"/>
      <c r="AF30" s="16">
        <f t="shared" si="2"/>
        <v>115</v>
      </c>
      <c r="AG30" s="17" t="s">
        <v>61</v>
      </c>
      <c r="AH30" s="17">
        <v>28</v>
      </c>
      <c r="AI30" s="59">
        <v>921963000000</v>
      </c>
      <c r="AJ30" s="60">
        <v>918736000000</v>
      </c>
      <c r="AK30" s="61">
        <f t="shared" si="18"/>
        <v>3227000000</v>
      </c>
      <c r="AL30" s="62">
        <v>0.4</v>
      </c>
      <c r="AM30" s="63">
        <v>0.69</v>
      </c>
      <c r="AN30" s="63">
        <v>0.5</v>
      </c>
      <c r="AO30" s="63">
        <v>0.2</v>
      </c>
      <c r="AP30" s="64">
        <v>0.4</v>
      </c>
      <c r="AQ30" s="62">
        <f t="shared" si="3"/>
        <v>0.91000000000000025</v>
      </c>
      <c r="AR30" s="65">
        <v>1</v>
      </c>
      <c r="AS30" s="62">
        <f t="shared" si="4"/>
        <v>0.15</v>
      </c>
      <c r="AT30" s="65">
        <f t="shared" si="31"/>
        <v>0.33000000000000013</v>
      </c>
      <c r="AU30" s="62">
        <f t="shared" si="5"/>
        <v>0.42400000000000015</v>
      </c>
      <c r="AV30" s="65">
        <f t="shared" si="33"/>
        <v>0.42400000000000015</v>
      </c>
      <c r="AW30" s="62">
        <f t="shared" si="6"/>
        <v>0</v>
      </c>
      <c r="AX30" s="65">
        <f t="shared" si="34"/>
        <v>0.15</v>
      </c>
      <c r="AY30" s="62">
        <f t="shared" si="7"/>
        <v>0</v>
      </c>
      <c r="AZ30" s="65">
        <v>0</v>
      </c>
      <c r="BA30" s="62">
        <f t="shared" si="8"/>
        <v>0</v>
      </c>
      <c r="BB30" s="65">
        <v>0</v>
      </c>
      <c r="BC30" s="62">
        <f t="shared" si="9"/>
        <v>0</v>
      </c>
      <c r="BD30" s="64">
        <v>0</v>
      </c>
      <c r="BE30" s="66">
        <v>115</v>
      </c>
      <c r="BF30" s="63" t="s">
        <v>61</v>
      </c>
      <c r="BG30" s="60">
        <v>28</v>
      </c>
      <c r="BH30" s="63">
        <v>0.77</v>
      </c>
      <c r="BI30" s="63">
        <v>0.6</v>
      </c>
      <c r="BJ30" s="63">
        <v>0.77</v>
      </c>
      <c r="BK30" s="65">
        <v>0.77</v>
      </c>
      <c r="BL30" s="7"/>
      <c r="BM30" s="7"/>
      <c r="BN30" s="7"/>
      <c r="BO30" s="7"/>
      <c r="BP30" s="7"/>
      <c r="BQ30" s="7"/>
    </row>
    <row r="31" spans="1:69" ht="19.8" thickBot="1" x14ac:dyDescent="0.35">
      <c r="A31" s="16">
        <v>29</v>
      </c>
      <c r="B31" s="52">
        <v>44125</v>
      </c>
      <c r="C31" s="53" t="str">
        <f t="shared" si="10"/>
        <v>1399/07/30</v>
      </c>
      <c r="D31" s="54">
        <v>0.21600000000000005</v>
      </c>
      <c r="E31" s="54">
        <v>0.11190300000000004</v>
      </c>
      <c r="F31" s="11" t="e">
        <f t="shared" si="11"/>
        <v>#N/A</v>
      </c>
      <c r="G31" s="38" t="str">
        <f t="shared" si="12"/>
        <v>تاریخ: 1399/07/30
درصد پیشرفت برنامه ای: 21.6%
درصد پیشرفت واقعی: 11.19%</v>
      </c>
      <c r="H31" s="55">
        <f t="shared" si="27"/>
        <v>0.93000000000000027</v>
      </c>
      <c r="I31" s="56">
        <v>0.15</v>
      </c>
      <c r="J31" s="56">
        <f t="shared" si="30"/>
        <v>0.45600000000000018</v>
      </c>
      <c r="K31" s="56">
        <v>0</v>
      </c>
      <c r="L31" s="56">
        <v>0</v>
      </c>
      <c r="M31" s="56">
        <v>0</v>
      </c>
      <c r="N31" s="57">
        <v>0</v>
      </c>
      <c r="O31" s="16">
        <f t="shared" si="19"/>
        <v>24</v>
      </c>
      <c r="P31" s="17">
        <v>23</v>
      </c>
      <c r="Q31" s="17">
        <v>24</v>
      </c>
      <c r="R31" s="17">
        <v>23</v>
      </c>
      <c r="S31" s="17">
        <v>25</v>
      </c>
      <c r="T31" s="17">
        <v>25</v>
      </c>
      <c r="U31" s="58">
        <v>26</v>
      </c>
      <c r="V31" s="16">
        <f t="shared" si="13"/>
        <v>27</v>
      </c>
      <c r="W31" s="17">
        <f t="shared" si="14"/>
        <v>27</v>
      </c>
      <c r="X31" s="17">
        <f t="shared" si="0"/>
        <v>28</v>
      </c>
      <c r="Y31" s="17">
        <f t="shared" si="15"/>
        <v>24</v>
      </c>
      <c r="Z31" s="17">
        <f t="shared" si="1"/>
        <v>28</v>
      </c>
      <c r="AA31" s="17">
        <f t="shared" si="16"/>
        <v>26</v>
      </c>
      <c r="AB31" s="58">
        <f t="shared" si="17"/>
        <v>31</v>
      </c>
      <c r="AC31" s="67"/>
      <c r="AD31" s="67"/>
      <c r="AE31" s="67"/>
      <c r="AF31" s="16">
        <f t="shared" si="2"/>
        <v>119</v>
      </c>
      <c r="AG31" s="17" t="s">
        <v>62</v>
      </c>
      <c r="AH31" s="17">
        <v>29</v>
      </c>
      <c r="AI31" s="59">
        <v>936828000000</v>
      </c>
      <c r="AJ31" s="60">
        <v>933549000000</v>
      </c>
      <c r="AK31" s="61">
        <f t="shared" si="18"/>
        <v>3279000000</v>
      </c>
      <c r="AL31" s="62">
        <v>0.35</v>
      </c>
      <c r="AM31" s="63">
        <v>0.4</v>
      </c>
      <c r="AN31" s="63">
        <v>0.9</v>
      </c>
      <c r="AO31" s="63">
        <v>0.8</v>
      </c>
      <c r="AP31" s="64">
        <v>0.2</v>
      </c>
      <c r="AQ31" s="62">
        <f t="shared" si="3"/>
        <v>0.93000000000000027</v>
      </c>
      <c r="AR31" s="65">
        <v>1</v>
      </c>
      <c r="AS31" s="62">
        <f t="shared" si="4"/>
        <v>0.15</v>
      </c>
      <c r="AT31" s="65">
        <f t="shared" si="31"/>
        <v>0.34000000000000014</v>
      </c>
      <c r="AU31" s="62">
        <f t="shared" si="5"/>
        <v>0.45600000000000018</v>
      </c>
      <c r="AV31" s="65">
        <f>AV30+2.9%</f>
        <v>0.45300000000000018</v>
      </c>
      <c r="AW31" s="62">
        <f t="shared" si="6"/>
        <v>0</v>
      </c>
      <c r="AX31" s="65">
        <f t="shared" si="34"/>
        <v>0.18</v>
      </c>
      <c r="AY31" s="62">
        <f t="shared" si="7"/>
        <v>0</v>
      </c>
      <c r="AZ31" s="65">
        <v>0</v>
      </c>
      <c r="BA31" s="62">
        <f t="shared" si="8"/>
        <v>0</v>
      </c>
      <c r="BB31" s="65">
        <v>0</v>
      </c>
      <c r="BC31" s="62">
        <f t="shared" si="9"/>
        <v>0</v>
      </c>
      <c r="BD31" s="64">
        <v>0</v>
      </c>
      <c r="BE31" s="66">
        <v>119</v>
      </c>
      <c r="BF31" s="63" t="s">
        <v>62</v>
      </c>
      <c r="BG31" s="60">
        <v>29</v>
      </c>
      <c r="BH31" s="63">
        <v>0.2</v>
      </c>
      <c r="BI31" s="63">
        <v>0.45</v>
      </c>
      <c r="BJ31" s="63">
        <v>0.4</v>
      </c>
      <c r="BK31" s="65">
        <v>0.2</v>
      </c>
      <c r="BL31" s="7"/>
      <c r="BM31" s="7"/>
      <c r="BN31" s="7"/>
      <c r="BO31" s="7"/>
      <c r="BP31" s="7"/>
      <c r="BQ31" s="7"/>
    </row>
    <row r="32" spans="1:69" ht="19.8" thickBot="1" x14ac:dyDescent="0.35">
      <c r="A32" s="16">
        <v>30</v>
      </c>
      <c r="B32" s="52">
        <v>44132</v>
      </c>
      <c r="C32" s="53" t="str">
        <f t="shared" si="10"/>
        <v>1399/08/07</v>
      </c>
      <c r="D32" s="54">
        <v>0.22500000000000006</v>
      </c>
      <c r="E32" s="54">
        <v>0.12091200000000005</v>
      </c>
      <c r="F32" s="11" t="e">
        <f t="shared" si="11"/>
        <v>#N/A</v>
      </c>
      <c r="G32" s="38" t="str">
        <f t="shared" si="12"/>
        <v>تاریخ: 1399/08/07
درصد پیشرفت برنامه ای: 22.5%
درصد پیشرفت واقعی: 12.09%</v>
      </c>
      <c r="H32" s="55">
        <f t="shared" si="27"/>
        <v>0.95000000000000029</v>
      </c>
      <c r="I32" s="56">
        <v>0.15</v>
      </c>
      <c r="J32" s="56">
        <f t="shared" si="30"/>
        <v>0.48800000000000021</v>
      </c>
      <c r="K32" s="56">
        <v>0</v>
      </c>
      <c r="L32" s="56">
        <v>0</v>
      </c>
      <c r="M32" s="56">
        <v>0</v>
      </c>
      <c r="N32" s="57">
        <v>0</v>
      </c>
      <c r="O32" s="16">
        <f t="shared" si="19"/>
        <v>26</v>
      </c>
      <c r="P32" s="17">
        <v>25</v>
      </c>
      <c r="Q32" s="17">
        <v>25</v>
      </c>
      <c r="R32" s="17">
        <v>26</v>
      </c>
      <c r="S32" s="17">
        <v>26</v>
      </c>
      <c r="T32" s="17">
        <v>25</v>
      </c>
      <c r="U32" s="58">
        <v>25</v>
      </c>
      <c r="V32" s="16">
        <f t="shared" si="13"/>
        <v>29</v>
      </c>
      <c r="W32" s="17">
        <f t="shared" si="14"/>
        <v>29</v>
      </c>
      <c r="X32" s="17">
        <f t="shared" si="0"/>
        <v>29</v>
      </c>
      <c r="Y32" s="17">
        <f t="shared" si="15"/>
        <v>27</v>
      </c>
      <c r="Z32" s="17">
        <f t="shared" si="1"/>
        <v>29</v>
      </c>
      <c r="AA32" s="17">
        <f t="shared" si="16"/>
        <v>26</v>
      </c>
      <c r="AB32" s="58">
        <f t="shared" si="17"/>
        <v>30</v>
      </c>
      <c r="AC32" s="67"/>
      <c r="AD32" s="67"/>
      <c r="AE32" s="67"/>
      <c r="AF32" s="16">
        <f t="shared" si="2"/>
        <v>123</v>
      </c>
      <c r="AG32" s="17" t="s">
        <v>63</v>
      </c>
      <c r="AH32" s="17">
        <v>30</v>
      </c>
      <c r="AI32" s="59">
        <v>968045000000</v>
      </c>
      <c r="AJ32" s="60">
        <v>964657000000</v>
      </c>
      <c r="AK32" s="61">
        <f t="shared" si="18"/>
        <v>3388000000</v>
      </c>
      <c r="AL32" s="62">
        <v>0.85</v>
      </c>
      <c r="AM32" s="63">
        <v>0.8</v>
      </c>
      <c r="AN32" s="63">
        <v>0.5</v>
      </c>
      <c r="AO32" s="63">
        <v>0.6</v>
      </c>
      <c r="AP32" s="64">
        <v>0.6</v>
      </c>
      <c r="AQ32" s="62">
        <f t="shared" si="3"/>
        <v>0.95000000000000029</v>
      </c>
      <c r="AR32" s="65">
        <v>1</v>
      </c>
      <c r="AS32" s="62">
        <f t="shared" si="4"/>
        <v>0.15</v>
      </c>
      <c r="AT32" s="65">
        <f t="shared" si="31"/>
        <v>0.35000000000000014</v>
      </c>
      <c r="AU32" s="62">
        <f t="shared" si="5"/>
        <v>0.48800000000000021</v>
      </c>
      <c r="AV32" s="65">
        <f t="shared" ref="AV32:AV33" si="35">AV31+2.9%</f>
        <v>0.48200000000000021</v>
      </c>
      <c r="AW32" s="62">
        <f t="shared" si="6"/>
        <v>0</v>
      </c>
      <c r="AX32" s="65">
        <f t="shared" si="34"/>
        <v>0.21</v>
      </c>
      <c r="AY32" s="62">
        <f t="shared" si="7"/>
        <v>0</v>
      </c>
      <c r="AZ32" s="65">
        <v>0</v>
      </c>
      <c r="BA32" s="62">
        <f t="shared" si="8"/>
        <v>0</v>
      </c>
      <c r="BB32" s="65">
        <v>0</v>
      </c>
      <c r="BC32" s="62">
        <f t="shared" si="9"/>
        <v>0</v>
      </c>
      <c r="BD32" s="64">
        <v>0</v>
      </c>
      <c r="BE32" s="66">
        <v>123</v>
      </c>
      <c r="BF32" s="63" t="s">
        <v>63</v>
      </c>
      <c r="BG32" s="60">
        <v>30</v>
      </c>
      <c r="BH32" s="63">
        <v>0.45</v>
      </c>
      <c r="BI32" s="63">
        <v>0.77</v>
      </c>
      <c r="BJ32" s="63">
        <v>0.55000000000000004</v>
      </c>
      <c r="BK32" s="65">
        <v>0.45</v>
      </c>
      <c r="BL32" s="7"/>
      <c r="BM32" s="7"/>
      <c r="BN32" s="7"/>
      <c r="BO32" s="7"/>
      <c r="BP32" s="7"/>
      <c r="BQ32" s="7"/>
    </row>
    <row r="33" spans="1:69" ht="19.8" thickBot="1" x14ac:dyDescent="0.35">
      <c r="A33" s="16">
        <v>31</v>
      </c>
      <c r="B33" s="52">
        <v>44139</v>
      </c>
      <c r="C33" s="53" t="str">
        <f t="shared" si="10"/>
        <v>1399/08/14</v>
      </c>
      <c r="D33" s="54">
        <v>0.23400000000000007</v>
      </c>
      <c r="E33" s="54">
        <v>0.12992100000000006</v>
      </c>
      <c r="F33" s="11" t="e">
        <f t="shared" si="11"/>
        <v>#N/A</v>
      </c>
      <c r="G33" s="38" t="str">
        <f t="shared" si="12"/>
        <v>تاریخ: 1399/08/14
درصد پیشرفت برنامه ای: 23.4%
درصد پیشرفت واقعی: 12.99%</v>
      </c>
      <c r="H33" s="55">
        <f t="shared" si="27"/>
        <v>0.97000000000000031</v>
      </c>
      <c r="I33" s="56">
        <v>0.15</v>
      </c>
      <c r="J33" s="56">
        <f t="shared" si="30"/>
        <v>0.52000000000000024</v>
      </c>
      <c r="K33" s="56">
        <v>0</v>
      </c>
      <c r="L33" s="56">
        <v>0</v>
      </c>
      <c r="M33" s="56">
        <v>0</v>
      </c>
      <c r="N33" s="57">
        <v>0</v>
      </c>
      <c r="O33" s="16">
        <f t="shared" si="19"/>
        <v>25</v>
      </c>
      <c r="P33" s="17">
        <v>15</v>
      </c>
      <c r="Q33" s="17">
        <v>15</v>
      </c>
      <c r="R33" s="17">
        <v>18</v>
      </c>
      <c r="S33" s="17">
        <v>17</v>
      </c>
      <c r="T33" s="17">
        <v>18</v>
      </c>
      <c r="U33" s="58">
        <v>19</v>
      </c>
      <c r="V33" s="16">
        <f t="shared" si="13"/>
        <v>28</v>
      </c>
      <c r="W33" s="17">
        <f t="shared" si="14"/>
        <v>19</v>
      </c>
      <c r="X33" s="17">
        <f t="shared" si="0"/>
        <v>19</v>
      </c>
      <c r="Y33" s="17">
        <f t="shared" si="15"/>
        <v>19</v>
      </c>
      <c r="Z33" s="17">
        <f t="shared" si="1"/>
        <v>20</v>
      </c>
      <c r="AA33" s="17">
        <f t="shared" si="16"/>
        <v>19</v>
      </c>
      <c r="AB33" s="58">
        <f t="shared" si="17"/>
        <v>24</v>
      </c>
      <c r="AC33" s="67"/>
      <c r="AD33" s="67"/>
      <c r="AE33" s="67"/>
      <c r="AF33" s="16">
        <f t="shared" si="2"/>
        <v>127</v>
      </c>
      <c r="AG33" s="17" t="s">
        <v>64</v>
      </c>
      <c r="AH33" s="17">
        <v>31</v>
      </c>
      <c r="AI33" s="59">
        <v>994802000000</v>
      </c>
      <c r="AJ33" s="60">
        <v>991320000000</v>
      </c>
      <c r="AK33" s="61">
        <f t="shared" si="18"/>
        <v>3482000000</v>
      </c>
      <c r="AL33" s="62">
        <v>0.9</v>
      </c>
      <c r="AM33" s="63">
        <v>0.95</v>
      </c>
      <c r="AN33" s="63">
        <v>0.8</v>
      </c>
      <c r="AO33" s="63">
        <v>0.7</v>
      </c>
      <c r="AP33" s="64">
        <v>0.1</v>
      </c>
      <c r="AQ33" s="62">
        <f t="shared" si="3"/>
        <v>0.97000000000000031</v>
      </c>
      <c r="AR33" s="65">
        <v>1</v>
      </c>
      <c r="AS33" s="62">
        <f t="shared" si="4"/>
        <v>0.15</v>
      </c>
      <c r="AT33" s="65">
        <v>0.35000000000000014</v>
      </c>
      <c r="AU33" s="62">
        <f t="shared" si="5"/>
        <v>0.52000000000000024</v>
      </c>
      <c r="AV33" s="65">
        <f t="shared" si="35"/>
        <v>0.51100000000000023</v>
      </c>
      <c r="AW33" s="62">
        <f t="shared" si="6"/>
        <v>0</v>
      </c>
      <c r="AX33" s="65">
        <f t="shared" si="34"/>
        <v>0.24</v>
      </c>
      <c r="AY33" s="62">
        <f t="shared" si="7"/>
        <v>0</v>
      </c>
      <c r="AZ33" s="65">
        <v>0</v>
      </c>
      <c r="BA33" s="62">
        <f t="shared" si="8"/>
        <v>0</v>
      </c>
      <c r="BB33" s="65">
        <v>0</v>
      </c>
      <c r="BC33" s="62">
        <f t="shared" si="9"/>
        <v>0</v>
      </c>
      <c r="BD33" s="64">
        <v>0</v>
      </c>
      <c r="BE33" s="66">
        <v>127</v>
      </c>
      <c r="BF33" s="63" t="s">
        <v>64</v>
      </c>
      <c r="BG33" s="60">
        <v>31</v>
      </c>
      <c r="BH33" s="63">
        <v>0.52</v>
      </c>
      <c r="BI33" s="63">
        <v>0.4</v>
      </c>
      <c r="BJ33" s="63">
        <v>0.6</v>
      </c>
      <c r="BK33" s="65">
        <v>0.52</v>
      </c>
      <c r="BL33" s="7"/>
      <c r="BM33" s="7"/>
      <c r="BN33" s="7"/>
      <c r="BO33" s="7"/>
      <c r="BP33" s="7"/>
      <c r="BQ33" s="7"/>
    </row>
    <row r="34" spans="1:69" ht="19.8" thickBot="1" x14ac:dyDescent="0.35">
      <c r="A34" s="16">
        <v>32</v>
      </c>
      <c r="B34" s="52">
        <v>44146</v>
      </c>
      <c r="C34" s="53" t="str">
        <f t="shared" si="10"/>
        <v>1399/08/21</v>
      </c>
      <c r="D34" s="54">
        <v>0.24300000000000008</v>
      </c>
      <c r="E34" s="54">
        <v>0.13893000000000008</v>
      </c>
      <c r="F34" s="11" t="e">
        <f t="shared" si="11"/>
        <v>#N/A</v>
      </c>
      <c r="G34" s="38" t="str">
        <f t="shared" si="12"/>
        <v>تاریخ: 1399/08/21
درصد پیشرفت برنامه ای: 24.3%
درصد پیشرفت واقعی: 13.89%</v>
      </c>
      <c r="H34" s="55">
        <f t="shared" si="27"/>
        <v>0.99000000000000032</v>
      </c>
      <c r="I34" s="56">
        <f t="shared" si="23"/>
        <v>0.16</v>
      </c>
      <c r="J34" s="56">
        <f t="shared" si="30"/>
        <v>0.55200000000000027</v>
      </c>
      <c r="K34" s="56">
        <f>J17</f>
        <v>0.03</v>
      </c>
      <c r="L34" s="56">
        <v>0</v>
      </c>
      <c r="M34" s="56">
        <v>0</v>
      </c>
      <c r="N34" s="57">
        <v>0</v>
      </c>
      <c r="O34" s="16">
        <f t="shared" si="19"/>
        <v>19</v>
      </c>
      <c r="P34" s="17">
        <v>19</v>
      </c>
      <c r="Q34" s="17">
        <v>17</v>
      </c>
      <c r="R34" s="17">
        <v>17</v>
      </c>
      <c r="S34" s="17">
        <v>19</v>
      </c>
      <c r="T34" s="17">
        <v>20</v>
      </c>
      <c r="U34" s="58">
        <v>21</v>
      </c>
      <c r="V34" s="16">
        <f t="shared" si="13"/>
        <v>22</v>
      </c>
      <c r="W34" s="17">
        <f t="shared" si="14"/>
        <v>23</v>
      </c>
      <c r="X34" s="17">
        <f t="shared" si="0"/>
        <v>21</v>
      </c>
      <c r="Y34" s="17">
        <f t="shared" si="15"/>
        <v>18</v>
      </c>
      <c r="Z34" s="17">
        <f t="shared" si="1"/>
        <v>22</v>
      </c>
      <c r="AA34" s="17">
        <f t="shared" si="16"/>
        <v>21</v>
      </c>
      <c r="AB34" s="58">
        <f t="shared" si="17"/>
        <v>26</v>
      </c>
      <c r="AC34" s="67"/>
      <c r="AD34" s="67"/>
      <c r="AE34" s="67"/>
      <c r="AF34" s="16">
        <f t="shared" si="2"/>
        <v>131</v>
      </c>
      <c r="AG34" s="17" t="s">
        <v>65</v>
      </c>
      <c r="AH34" s="17">
        <v>32</v>
      </c>
      <c r="AI34" s="59">
        <v>1003991000000</v>
      </c>
      <c r="AJ34" s="60">
        <v>1000477000000</v>
      </c>
      <c r="AK34" s="61">
        <f t="shared" si="18"/>
        <v>3514000000</v>
      </c>
      <c r="AL34" s="62">
        <v>0.7</v>
      </c>
      <c r="AM34" s="63">
        <v>0.68</v>
      </c>
      <c r="AN34" s="63">
        <v>0.5</v>
      </c>
      <c r="AO34" s="63">
        <v>0.9</v>
      </c>
      <c r="AP34" s="64">
        <v>0.55000000000000004</v>
      </c>
      <c r="AQ34" s="62">
        <f t="shared" si="3"/>
        <v>0.99000000000000032</v>
      </c>
      <c r="AR34" s="65">
        <v>1</v>
      </c>
      <c r="AS34" s="62">
        <f t="shared" si="4"/>
        <v>0.16</v>
      </c>
      <c r="AT34" s="65">
        <v>0.35000000000000014</v>
      </c>
      <c r="AU34" s="62">
        <f t="shared" si="5"/>
        <v>0.55200000000000027</v>
      </c>
      <c r="AV34" s="65">
        <f>AV33+3.4%</f>
        <v>0.54500000000000026</v>
      </c>
      <c r="AW34" s="62">
        <f t="shared" si="6"/>
        <v>0.03</v>
      </c>
      <c r="AX34" s="65">
        <f t="shared" si="34"/>
        <v>0.27</v>
      </c>
      <c r="AY34" s="62">
        <f t="shared" si="7"/>
        <v>0</v>
      </c>
      <c r="AZ34" s="65">
        <v>0</v>
      </c>
      <c r="BA34" s="62">
        <f t="shared" si="8"/>
        <v>0</v>
      </c>
      <c r="BB34" s="65">
        <v>0</v>
      </c>
      <c r="BC34" s="62">
        <f t="shared" si="9"/>
        <v>0</v>
      </c>
      <c r="BD34" s="64">
        <v>0</v>
      </c>
      <c r="BE34" s="66">
        <v>131</v>
      </c>
      <c r="BF34" s="63" t="s">
        <v>65</v>
      </c>
      <c r="BG34" s="60">
        <v>32</v>
      </c>
      <c r="BH34" s="63">
        <v>0.62</v>
      </c>
      <c r="BI34" s="63">
        <v>0.55000000000000004</v>
      </c>
      <c r="BJ34" s="63">
        <v>0.45</v>
      </c>
      <c r="BK34" s="65">
        <v>0.62</v>
      </c>
      <c r="BL34" s="7"/>
      <c r="BM34" s="7"/>
      <c r="BN34" s="7"/>
      <c r="BO34" s="7"/>
      <c r="BP34" s="7"/>
      <c r="BQ34" s="7"/>
    </row>
    <row r="35" spans="1:69" ht="19.8" thickBot="1" x14ac:dyDescent="0.35">
      <c r="A35" s="16">
        <v>33</v>
      </c>
      <c r="B35" s="52">
        <v>44153</v>
      </c>
      <c r="C35" s="53" t="str">
        <f t="shared" si="10"/>
        <v>1399/08/28</v>
      </c>
      <c r="D35" s="54">
        <v>0.25200000000000006</v>
      </c>
      <c r="E35" s="54">
        <v>0.14793900000000007</v>
      </c>
      <c r="F35" s="11" t="e">
        <f t="shared" si="11"/>
        <v>#N/A</v>
      </c>
      <c r="G35" s="38" t="str">
        <f t="shared" si="12"/>
        <v>تاریخ: 1399/08/28
درصد پیشرفت برنامه ای: 25.2%
درصد پیشرفت واقعی: 14.79%</v>
      </c>
      <c r="H35" s="55">
        <v>1</v>
      </c>
      <c r="I35" s="56">
        <v>0.16</v>
      </c>
      <c r="J35" s="56">
        <f t="shared" si="30"/>
        <v>0.5840000000000003</v>
      </c>
      <c r="K35" s="56">
        <f t="shared" ref="K35:K98" si="36">J18</f>
        <v>0.04</v>
      </c>
      <c r="L35" s="56">
        <v>0</v>
      </c>
      <c r="M35" s="56">
        <v>0</v>
      </c>
      <c r="N35" s="57">
        <v>0</v>
      </c>
      <c r="O35" s="16">
        <f t="shared" si="19"/>
        <v>21</v>
      </c>
      <c r="P35" s="17">
        <v>22</v>
      </c>
      <c r="Q35" s="17">
        <v>22</v>
      </c>
      <c r="R35" s="17">
        <v>23</v>
      </c>
      <c r="S35" s="17">
        <v>21</v>
      </c>
      <c r="T35" s="17">
        <v>22</v>
      </c>
      <c r="U35" s="58">
        <v>24</v>
      </c>
      <c r="V35" s="16">
        <f t="shared" si="13"/>
        <v>24</v>
      </c>
      <c r="W35" s="17">
        <f t="shared" si="14"/>
        <v>26</v>
      </c>
      <c r="X35" s="17">
        <f t="shared" si="0"/>
        <v>26</v>
      </c>
      <c r="Y35" s="17">
        <f t="shared" si="15"/>
        <v>24</v>
      </c>
      <c r="Z35" s="17">
        <f t="shared" si="1"/>
        <v>24</v>
      </c>
      <c r="AA35" s="17">
        <f t="shared" si="16"/>
        <v>23</v>
      </c>
      <c r="AB35" s="58">
        <f t="shared" si="17"/>
        <v>29</v>
      </c>
      <c r="AC35" s="67"/>
      <c r="AD35" s="67"/>
      <c r="AE35" s="67"/>
      <c r="AF35" s="16">
        <f t="shared" ref="AF35:AF66" si="37">INDEX(A:G,MATCH(AG35,C:C,0),1)</f>
        <v>135</v>
      </c>
      <c r="AG35" s="17" t="s">
        <v>66</v>
      </c>
      <c r="AH35" s="17">
        <v>33</v>
      </c>
      <c r="AI35" s="59">
        <v>1040747000000</v>
      </c>
      <c r="AJ35" s="60">
        <v>1037104000000</v>
      </c>
      <c r="AK35" s="61">
        <f t="shared" si="18"/>
        <v>3643000000</v>
      </c>
      <c r="AL35" s="62">
        <v>0.6</v>
      </c>
      <c r="AM35" s="63">
        <v>0.5</v>
      </c>
      <c r="AN35" s="63">
        <v>0.66</v>
      </c>
      <c r="AO35" s="63">
        <v>0.5</v>
      </c>
      <c r="AP35" s="64">
        <v>0.9</v>
      </c>
      <c r="AQ35" s="62">
        <f t="shared" si="3"/>
        <v>1</v>
      </c>
      <c r="AR35" s="65">
        <v>1</v>
      </c>
      <c r="AS35" s="62">
        <f t="shared" si="4"/>
        <v>0.16</v>
      </c>
      <c r="AT35" s="65">
        <v>0.35000000000000014</v>
      </c>
      <c r="AU35" s="62">
        <f t="shared" si="5"/>
        <v>0.5840000000000003</v>
      </c>
      <c r="AV35" s="65">
        <f t="shared" ref="AV35:AV38" si="38">AV34+3.4%</f>
        <v>0.57900000000000029</v>
      </c>
      <c r="AW35" s="62">
        <f t="shared" si="6"/>
        <v>0.04</v>
      </c>
      <c r="AX35" s="65">
        <f t="shared" si="34"/>
        <v>0.30000000000000004</v>
      </c>
      <c r="AY35" s="62">
        <f t="shared" si="7"/>
        <v>0</v>
      </c>
      <c r="AZ35" s="65">
        <v>0</v>
      </c>
      <c r="BA35" s="62">
        <f t="shared" si="8"/>
        <v>0</v>
      </c>
      <c r="BB35" s="65">
        <v>0</v>
      </c>
      <c r="BC35" s="62">
        <f t="shared" si="9"/>
        <v>0</v>
      </c>
      <c r="BD35" s="64">
        <v>0</v>
      </c>
      <c r="BE35" s="66">
        <v>135</v>
      </c>
      <c r="BF35" s="63" t="s">
        <v>66</v>
      </c>
      <c r="BG35" s="60">
        <v>33</v>
      </c>
      <c r="BH35" s="63">
        <v>0.64</v>
      </c>
      <c r="BI35" s="63">
        <v>0.6</v>
      </c>
      <c r="BJ35" s="63">
        <v>0.52</v>
      </c>
      <c r="BK35" s="65">
        <v>0.4</v>
      </c>
      <c r="BL35" s="7"/>
      <c r="BM35" s="7"/>
      <c r="BN35" s="7"/>
      <c r="BO35" s="7"/>
      <c r="BP35" s="7"/>
      <c r="BQ35" s="7"/>
    </row>
    <row r="36" spans="1:69" ht="19.8" thickBot="1" x14ac:dyDescent="0.35">
      <c r="A36" s="16">
        <v>34</v>
      </c>
      <c r="B36" s="52">
        <v>44160</v>
      </c>
      <c r="C36" s="53" t="str">
        <f t="shared" si="10"/>
        <v>1399/09/05</v>
      </c>
      <c r="D36" s="54">
        <v>0.26100000000000007</v>
      </c>
      <c r="E36" s="54">
        <v>0.15694800000000009</v>
      </c>
      <c r="F36" s="11" t="e">
        <f t="shared" si="11"/>
        <v>#N/A</v>
      </c>
      <c r="G36" s="38" t="str">
        <f t="shared" si="12"/>
        <v>تاریخ: 1399/09/05
درصد پیشرفت برنامه ای: 26.1%
درصد پیشرفت واقعی: 15.69%</v>
      </c>
      <c r="H36" s="55">
        <v>1</v>
      </c>
      <c r="I36" s="56">
        <v>0.16</v>
      </c>
      <c r="J36" s="56">
        <f t="shared" si="30"/>
        <v>0.61600000000000033</v>
      </c>
      <c r="K36" s="56">
        <f t="shared" si="36"/>
        <v>7.2000000000000008E-2</v>
      </c>
      <c r="L36" s="56">
        <v>0</v>
      </c>
      <c r="M36" s="56">
        <v>0</v>
      </c>
      <c r="N36" s="57">
        <v>0</v>
      </c>
      <c r="O36" s="16">
        <f t="shared" si="19"/>
        <v>24</v>
      </c>
      <c r="P36" s="17">
        <v>15</v>
      </c>
      <c r="Q36" s="17">
        <v>15</v>
      </c>
      <c r="R36" s="17">
        <v>18</v>
      </c>
      <c r="S36" s="17">
        <v>17</v>
      </c>
      <c r="T36" s="17">
        <v>18</v>
      </c>
      <c r="U36" s="58">
        <v>19</v>
      </c>
      <c r="V36" s="16">
        <f t="shared" si="13"/>
        <v>27</v>
      </c>
      <c r="W36" s="17">
        <f t="shared" si="14"/>
        <v>19</v>
      </c>
      <c r="X36" s="17">
        <f t="shared" si="0"/>
        <v>19</v>
      </c>
      <c r="Y36" s="17">
        <f t="shared" si="15"/>
        <v>19</v>
      </c>
      <c r="Z36" s="17">
        <f t="shared" si="1"/>
        <v>20</v>
      </c>
      <c r="AA36" s="17">
        <f t="shared" si="16"/>
        <v>19</v>
      </c>
      <c r="AB36" s="58">
        <f t="shared" si="17"/>
        <v>24</v>
      </c>
      <c r="AC36" s="67"/>
      <c r="AD36" s="67"/>
      <c r="AE36" s="67"/>
      <c r="AF36" s="16">
        <f t="shared" si="37"/>
        <v>139</v>
      </c>
      <c r="AG36" s="17" t="s">
        <v>67</v>
      </c>
      <c r="AH36" s="17">
        <v>34</v>
      </c>
      <c r="AI36" s="59">
        <v>1083629000000</v>
      </c>
      <c r="AJ36" s="60">
        <v>1079836000000</v>
      </c>
      <c r="AK36" s="61">
        <f t="shared" si="18"/>
        <v>3793000000</v>
      </c>
      <c r="AL36" s="62">
        <v>0.55000000000000004</v>
      </c>
      <c r="AM36" s="63">
        <v>0.62</v>
      </c>
      <c r="AN36" s="63">
        <v>0.78</v>
      </c>
      <c r="AO36" s="63">
        <v>0.42</v>
      </c>
      <c r="AP36" s="64">
        <v>0.8</v>
      </c>
      <c r="AQ36" s="62">
        <f t="shared" si="3"/>
        <v>1</v>
      </c>
      <c r="AR36" s="65">
        <v>1</v>
      </c>
      <c r="AS36" s="62">
        <f t="shared" si="4"/>
        <v>0.16</v>
      </c>
      <c r="AT36" s="65">
        <v>0.35000000000000014</v>
      </c>
      <c r="AU36" s="62">
        <f t="shared" si="5"/>
        <v>0.61600000000000033</v>
      </c>
      <c r="AV36" s="65">
        <f t="shared" si="38"/>
        <v>0.61300000000000032</v>
      </c>
      <c r="AW36" s="62">
        <f t="shared" si="6"/>
        <v>7.2000000000000008E-2</v>
      </c>
      <c r="AX36" s="65">
        <f t="shared" si="34"/>
        <v>0.33000000000000007</v>
      </c>
      <c r="AY36" s="62">
        <f t="shared" si="7"/>
        <v>0</v>
      </c>
      <c r="AZ36" s="65">
        <v>0</v>
      </c>
      <c r="BA36" s="62">
        <f t="shared" si="8"/>
        <v>0</v>
      </c>
      <c r="BB36" s="65">
        <v>0</v>
      </c>
      <c r="BC36" s="62">
        <f t="shared" si="9"/>
        <v>0</v>
      </c>
      <c r="BD36" s="64">
        <v>0</v>
      </c>
      <c r="BE36" s="66">
        <v>139</v>
      </c>
      <c r="BF36" s="63" t="s">
        <v>67</v>
      </c>
      <c r="BG36" s="60">
        <v>34</v>
      </c>
      <c r="BH36" s="63">
        <v>0.65</v>
      </c>
      <c r="BI36" s="63">
        <v>0.45</v>
      </c>
      <c r="BJ36" s="63">
        <v>0.62</v>
      </c>
      <c r="BK36" s="65">
        <v>0.55000000000000004</v>
      </c>
      <c r="BL36" s="7"/>
      <c r="BM36" s="7"/>
      <c r="BN36" s="7"/>
      <c r="BO36" s="7"/>
      <c r="BP36" s="7"/>
      <c r="BQ36" s="7"/>
    </row>
    <row r="37" spans="1:69" ht="19.8" thickBot="1" x14ac:dyDescent="0.35">
      <c r="A37" s="16">
        <v>35</v>
      </c>
      <c r="B37" s="52">
        <v>44167</v>
      </c>
      <c r="C37" s="53" t="str">
        <f t="shared" si="10"/>
        <v>1399/09/12</v>
      </c>
      <c r="D37" s="54">
        <v>0.27100000000000007</v>
      </c>
      <c r="E37" s="54">
        <v>0.16695800000000011</v>
      </c>
      <c r="F37" s="11" t="e">
        <f t="shared" si="11"/>
        <v>#N/A</v>
      </c>
      <c r="G37" s="38" t="str">
        <f t="shared" si="12"/>
        <v>تاریخ: 1399/09/12
درصد پیشرفت برنامه ای: 27.1%
درصد پیشرفت واقعی: 16.7%</v>
      </c>
      <c r="H37" s="55">
        <v>1</v>
      </c>
      <c r="I37" s="56">
        <v>0.16</v>
      </c>
      <c r="J37" s="56">
        <f t="shared" si="30"/>
        <v>0.64800000000000035</v>
      </c>
      <c r="K37" s="56">
        <f t="shared" si="36"/>
        <v>0.10400000000000001</v>
      </c>
      <c r="L37" s="56">
        <v>0</v>
      </c>
      <c r="M37" s="56">
        <v>0</v>
      </c>
      <c r="N37" s="57">
        <v>0</v>
      </c>
      <c r="O37" s="16">
        <f t="shared" si="19"/>
        <v>19</v>
      </c>
      <c r="P37" s="17">
        <v>19</v>
      </c>
      <c r="Q37" s="17">
        <v>17</v>
      </c>
      <c r="R37" s="17">
        <v>17</v>
      </c>
      <c r="S37" s="17">
        <v>19</v>
      </c>
      <c r="T37" s="17">
        <v>20</v>
      </c>
      <c r="U37" s="58">
        <v>21</v>
      </c>
      <c r="V37" s="16">
        <f t="shared" si="13"/>
        <v>22</v>
      </c>
      <c r="W37" s="17">
        <f t="shared" si="14"/>
        <v>23</v>
      </c>
      <c r="X37" s="17">
        <f t="shared" si="0"/>
        <v>21</v>
      </c>
      <c r="Y37" s="17">
        <f t="shared" si="15"/>
        <v>18</v>
      </c>
      <c r="Z37" s="17">
        <f t="shared" si="1"/>
        <v>22</v>
      </c>
      <c r="AA37" s="17">
        <f t="shared" si="16"/>
        <v>21</v>
      </c>
      <c r="AB37" s="58">
        <f t="shared" si="17"/>
        <v>26</v>
      </c>
      <c r="AC37" s="67"/>
      <c r="AD37" s="67"/>
      <c r="AE37" s="67"/>
      <c r="AF37" s="16">
        <f t="shared" si="37"/>
        <v>143</v>
      </c>
      <c r="AG37" s="17" t="s">
        <v>68</v>
      </c>
      <c r="AH37" s="17">
        <v>35</v>
      </c>
      <c r="AI37" s="59">
        <v>1113896000000</v>
      </c>
      <c r="AJ37" s="60">
        <v>1109997000000</v>
      </c>
      <c r="AK37" s="61">
        <f t="shared" si="18"/>
        <v>3899000000</v>
      </c>
      <c r="AL37" s="62">
        <v>0.6</v>
      </c>
      <c r="AM37" s="63">
        <v>0.9</v>
      </c>
      <c r="AN37" s="63">
        <v>0.5</v>
      </c>
      <c r="AO37" s="63">
        <v>0.5</v>
      </c>
      <c r="AP37" s="64">
        <v>0.62</v>
      </c>
      <c r="AQ37" s="62">
        <f t="shared" si="3"/>
        <v>1</v>
      </c>
      <c r="AR37" s="65">
        <v>1</v>
      </c>
      <c r="AS37" s="62">
        <f t="shared" si="4"/>
        <v>0.16</v>
      </c>
      <c r="AT37" s="65">
        <v>0.35000000000000014</v>
      </c>
      <c r="AU37" s="62">
        <f t="shared" si="5"/>
        <v>0.64800000000000035</v>
      </c>
      <c r="AV37" s="65">
        <f t="shared" si="38"/>
        <v>0.64700000000000035</v>
      </c>
      <c r="AW37" s="62">
        <f t="shared" si="6"/>
        <v>0.10400000000000001</v>
      </c>
      <c r="AX37" s="65">
        <f t="shared" si="34"/>
        <v>0.3600000000000001</v>
      </c>
      <c r="AY37" s="62">
        <f t="shared" si="7"/>
        <v>0</v>
      </c>
      <c r="AZ37" s="65">
        <v>0</v>
      </c>
      <c r="BA37" s="62">
        <f t="shared" si="8"/>
        <v>0</v>
      </c>
      <c r="BB37" s="65">
        <v>0</v>
      </c>
      <c r="BC37" s="62">
        <f t="shared" si="9"/>
        <v>0</v>
      </c>
      <c r="BD37" s="64">
        <v>0</v>
      </c>
      <c r="BE37" s="66">
        <v>143</v>
      </c>
      <c r="BF37" s="63" t="s">
        <v>68</v>
      </c>
      <c r="BG37" s="60">
        <v>35</v>
      </c>
      <c r="BH37" s="63">
        <v>0.62</v>
      </c>
      <c r="BI37" s="63">
        <v>0.52</v>
      </c>
      <c r="BJ37" s="63">
        <v>0.4</v>
      </c>
      <c r="BK37" s="65">
        <v>0.6</v>
      </c>
      <c r="BL37" s="7"/>
      <c r="BM37" s="7"/>
      <c r="BN37" s="7"/>
      <c r="BO37" s="7"/>
      <c r="BP37" s="7"/>
      <c r="BQ37" s="7"/>
    </row>
    <row r="38" spans="1:69" ht="19.8" thickBot="1" x14ac:dyDescent="0.35">
      <c r="A38" s="16">
        <v>36</v>
      </c>
      <c r="B38" s="52">
        <v>44174</v>
      </c>
      <c r="C38" s="53" t="str">
        <f t="shared" si="10"/>
        <v>1399/09/19</v>
      </c>
      <c r="D38" s="54">
        <v>0.28100000000000008</v>
      </c>
      <c r="E38" s="54">
        <v>0.17696800000000013</v>
      </c>
      <c r="F38" s="11" t="e">
        <f t="shared" si="11"/>
        <v>#N/A</v>
      </c>
      <c r="G38" s="38" t="str">
        <f t="shared" si="12"/>
        <v>تاریخ: 1399/09/19
درصد پیشرفت برنامه ای: 28.1%
درصد پیشرفت واقعی: 17.7%</v>
      </c>
      <c r="H38" s="55">
        <v>1</v>
      </c>
      <c r="I38" s="56">
        <v>0.17</v>
      </c>
      <c r="J38" s="56">
        <f t="shared" si="30"/>
        <v>0.68000000000000038</v>
      </c>
      <c r="K38" s="56">
        <f t="shared" si="36"/>
        <v>0.13600000000000001</v>
      </c>
      <c r="L38" s="56">
        <v>0</v>
      </c>
      <c r="M38" s="56">
        <v>0</v>
      </c>
      <c r="N38" s="57">
        <v>0</v>
      </c>
      <c r="O38" s="16">
        <f t="shared" si="19"/>
        <v>21</v>
      </c>
      <c r="P38" s="17">
        <v>15</v>
      </c>
      <c r="Q38" s="17">
        <v>15</v>
      </c>
      <c r="R38" s="17">
        <v>18</v>
      </c>
      <c r="S38" s="17">
        <v>17</v>
      </c>
      <c r="T38" s="17">
        <v>18</v>
      </c>
      <c r="U38" s="58">
        <v>19</v>
      </c>
      <c r="V38" s="16">
        <f t="shared" si="13"/>
        <v>24</v>
      </c>
      <c r="W38" s="17">
        <f t="shared" si="14"/>
        <v>19</v>
      </c>
      <c r="X38" s="17">
        <f t="shared" si="0"/>
        <v>19</v>
      </c>
      <c r="Y38" s="17">
        <f t="shared" si="15"/>
        <v>19</v>
      </c>
      <c r="Z38" s="17">
        <f t="shared" si="1"/>
        <v>20</v>
      </c>
      <c r="AA38" s="17">
        <f t="shared" si="16"/>
        <v>19</v>
      </c>
      <c r="AB38" s="58">
        <f t="shared" si="17"/>
        <v>24</v>
      </c>
      <c r="AC38" s="67"/>
      <c r="AD38" s="67"/>
      <c r="AE38" s="67"/>
      <c r="AF38" s="16">
        <f t="shared" si="37"/>
        <v>147</v>
      </c>
      <c r="AG38" s="17" t="s">
        <v>69</v>
      </c>
      <c r="AH38" s="17">
        <v>36</v>
      </c>
      <c r="AI38" s="59">
        <v>1127948000000</v>
      </c>
      <c r="AJ38" s="60">
        <v>1124000000000</v>
      </c>
      <c r="AK38" s="61">
        <f t="shared" si="18"/>
        <v>3948000000</v>
      </c>
      <c r="AL38" s="62">
        <v>0.66</v>
      </c>
      <c r="AM38" s="63">
        <v>0.7</v>
      </c>
      <c r="AN38" s="63">
        <v>0.8</v>
      </c>
      <c r="AO38" s="63">
        <v>0.55000000000000004</v>
      </c>
      <c r="AP38" s="64">
        <v>0.5</v>
      </c>
      <c r="AQ38" s="62">
        <f t="shared" si="3"/>
        <v>1</v>
      </c>
      <c r="AR38" s="65">
        <v>1</v>
      </c>
      <c r="AS38" s="62">
        <f t="shared" si="4"/>
        <v>0.17</v>
      </c>
      <c r="AT38" s="65">
        <v>0.35000000000000014</v>
      </c>
      <c r="AU38" s="62">
        <f t="shared" si="5"/>
        <v>0.68000000000000038</v>
      </c>
      <c r="AV38" s="65">
        <f t="shared" si="38"/>
        <v>0.68100000000000038</v>
      </c>
      <c r="AW38" s="62">
        <f t="shared" si="6"/>
        <v>0.13600000000000001</v>
      </c>
      <c r="AX38" s="65">
        <f t="shared" si="34"/>
        <v>0.39000000000000012</v>
      </c>
      <c r="AY38" s="62">
        <f t="shared" si="7"/>
        <v>0</v>
      </c>
      <c r="AZ38" s="65">
        <v>0</v>
      </c>
      <c r="BA38" s="62">
        <f t="shared" si="8"/>
        <v>0</v>
      </c>
      <c r="BB38" s="65">
        <v>0</v>
      </c>
      <c r="BC38" s="62">
        <f t="shared" si="9"/>
        <v>0</v>
      </c>
      <c r="BD38" s="64">
        <v>0</v>
      </c>
      <c r="BE38" s="66">
        <v>147</v>
      </c>
      <c r="BF38" s="63" t="s">
        <v>69</v>
      </c>
      <c r="BG38" s="60">
        <v>36</v>
      </c>
      <c r="BH38" s="63">
        <v>0.4</v>
      </c>
      <c r="BI38" s="63">
        <v>0.62</v>
      </c>
      <c r="BJ38" s="63">
        <v>0.55000000000000004</v>
      </c>
      <c r="BK38" s="65">
        <v>0.45</v>
      </c>
      <c r="BL38" s="7"/>
      <c r="BM38" s="7"/>
      <c r="BN38" s="7"/>
      <c r="BO38" s="7"/>
      <c r="BP38" s="7"/>
      <c r="BQ38" s="7"/>
    </row>
    <row r="39" spans="1:69" ht="19.8" thickBot="1" x14ac:dyDescent="0.35">
      <c r="A39" s="16">
        <v>37</v>
      </c>
      <c r="B39" s="52">
        <v>44181</v>
      </c>
      <c r="C39" s="53" t="str">
        <f t="shared" si="10"/>
        <v>1399/09/26</v>
      </c>
      <c r="D39" s="54">
        <v>0.29100000000000009</v>
      </c>
      <c r="E39" s="54">
        <v>0.18697800000000014</v>
      </c>
      <c r="F39" s="11" t="e">
        <f t="shared" si="11"/>
        <v>#N/A</v>
      </c>
      <c r="G39" s="38" t="str">
        <f t="shared" si="12"/>
        <v>تاریخ: 1399/09/26
درصد پیشرفت برنامه ای: 29.1%
درصد پیشرفت واقعی: 18.7%</v>
      </c>
      <c r="H39" s="55">
        <v>1</v>
      </c>
      <c r="I39" s="56">
        <v>0.17</v>
      </c>
      <c r="J39" s="56">
        <f t="shared" si="30"/>
        <v>0.71200000000000041</v>
      </c>
      <c r="K39" s="56">
        <f t="shared" si="36"/>
        <v>0.16800000000000001</v>
      </c>
      <c r="L39" s="56">
        <v>0</v>
      </c>
      <c r="M39" s="56">
        <v>0</v>
      </c>
      <c r="N39" s="57">
        <v>0</v>
      </c>
      <c r="O39" s="16">
        <f t="shared" si="19"/>
        <v>19</v>
      </c>
      <c r="P39" s="17">
        <v>19</v>
      </c>
      <c r="Q39" s="17">
        <v>17</v>
      </c>
      <c r="R39" s="17">
        <v>17</v>
      </c>
      <c r="S39" s="17">
        <v>19</v>
      </c>
      <c r="T39" s="17">
        <v>20</v>
      </c>
      <c r="U39" s="58">
        <v>21</v>
      </c>
      <c r="V39" s="16">
        <f t="shared" si="13"/>
        <v>22</v>
      </c>
      <c r="W39" s="17">
        <f t="shared" si="14"/>
        <v>23</v>
      </c>
      <c r="X39" s="17">
        <f t="shared" si="0"/>
        <v>21</v>
      </c>
      <c r="Y39" s="17">
        <f t="shared" si="15"/>
        <v>18</v>
      </c>
      <c r="Z39" s="17">
        <f t="shared" si="1"/>
        <v>22</v>
      </c>
      <c r="AA39" s="17">
        <f t="shared" si="16"/>
        <v>21</v>
      </c>
      <c r="AB39" s="58">
        <f t="shared" si="17"/>
        <v>26</v>
      </c>
      <c r="AC39" s="67"/>
      <c r="AD39" s="67"/>
      <c r="AE39" s="67"/>
      <c r="AF39" s="16">
        <f t="shared" si="37"/>
        <v>151</v>
      </c>
      <c r="AG39" s="17" t="s">
        <v>70</v>
      </c>
      <c r="AH39" s="17">
        <v>37</v>
      </c>
      <c r="AI39" s="59">
        <v>1135274000000</v>
      </c>
      <c r="AJ39" s="60">
        <v>1131301000000</v>
      </c>
      <c r="AK39" s="61">
        <f t="shared" si="18"/>
        <v>3973000000</v>
      </c>
      <c r="AL39" s="62">
        <v>0.55000000000000004</v>
      </c>
      <c r="AM39" s="63">
        <v>0.4</v>
      </c>
      <c r="AN39" s="63">
        <v>0.4</v>
      </c>
      <c r="AO39" s="63">
        <v>0.9</v>
      </c>
      <c r="AP39" s="64">
        <v>0.8</v>
      </c>
      <c r="AQ39" s="62">
        <f t="shared" si="3"/>
        <v>1</v>
      </c>
      <c r="AR39" s="65">
        <v>1</v>
      </c>
      <c r="AS39" s="62">
        <f t="shared" si="4"/>
        <v>0.17</v>
      </c>
      <c r="AT39" s="65">
        <v>0.35000000000000014</v>
      </c>
      <c r="AU39" s="62">
        <f t="shared" si="5"/>
        <v>0.71200000000000041</v>
      </c>
      <c r="AV39" s="65">
        <f>AV38+3.9%</f>
        <v>0.72000000000000042</v>
      </c>
      <c r="AW39" s="62">
        <f t="shared" si="6"/>
        <v>0.16800000000000001</v>
      </c>
      <c r="AX39" s="65">
        <f>AX38+2%</f>
        <v>0.41000000000000014</v>
      </c>
      <c r="AY39" s="62">
        <f t="shared" si="7"/>
        <v>0</v>
      </c>
      <c r="AZ39" s="65">
        <v>0</v>
      </c>
      <c r="BA39" s="62">
        <f t="shared" si="8"/>
        <v>0</v>
      </c>
      <c r="BB39" s="65">
        <v>0</v>
      </c>
      <c r="BC39" s="62">
        <f t="shared" si="9"/>
        <v>0</v>
      </c>
      <c r="BD39" s="64">
        <v>0</v>
      </c>
      <c r="BE39" s="66">
        <v>151</v>
      </c>
      <c r="BF39" s="63" t="s">
        <v>70</v>
      </c>
      <c r="BG39" s="60">
        <v>37</v>
      </c>
      <c r="BH39" s="63">
        <v>0.55000000000000004</v>
      </c>
      <c r="BI39" s="63">
        <v>0.4</v>
      </c>
      <c r="BJ39" s="63">
        <v>0.6</v>
      </c>
      <c r="BK39" s="65">
        <v>0.77</v>
      </c>
      <c r="BL39" s="7"/>
      <c r="BM39" s="7"/>
      <c r="BN39" s="7"/>
      <c r="BO39" s="7"/>
      <c r="BP39" s="7"/>
      <c r="BQ39" s="7"/>
    </row>
    <row r="40" spans="1:69" ht="19.8" thickBot="1" x14ac:dyDescent="0.35">
      <c r="A40" s="16">
        <v>38</v>
      </c>
      <c r="B40" s="52">
        <v>44188</v>
      </c>
      <c r="C40" s="53" t="str">
        <f t="shared" si="10"/>
        <v>1399/10/03</v>
      </c>
      <c r="D40" s="54">
        <v>0.3010000000000001</v>
      </c>
      <c r="E40" s="54">
        <v>0.19698800000000016</v>
      </c>
      <c r="F40" s="11" t="e">
        <f t="shared" si="11"/>
        <v>#N/A</v>
      </c>
      <c r="G40" s="38" t="str">
        <f t="shared" si="12"/>
        <v>تاریخ: 1399/10/03
درصد پیشرفت برنامه ای: 30.1%
درصد پیشرفت واقعی: 19.7%</v>
      </c>
      <c r="H40" s="55">
        <v>1</v>
      </c>
      <c r="I40" s="56">
        <v>0.17</v>
      </c>
      <c r="J40" s="56">
        <f t="shared" si="30"/>
        <v>0.74400000000000044</v>
      </c>
      <c r="K40" s="56">
        <f t="shared" si="36"/>
        <v>0.2</v>
      </c>
      <c r="L40" s="56">
        <v>0</v>
      </c>
      <c r="M40" s="56">
        <v>0</v>
      </c>
      <c r="N40" s="57">
        <v>0</v>
      </c>
      <c r="O40" s="16">
        <f t="shared" si="19"/>
        <v>21</v>
      </c>
      <c r="P40" s="17">
        <v>15</v>
      </c>
      <c r="Q40" s="17">
        <v>15</v>
      </c>
      <c r="R40" s="17">
        <v>18</v>
      </c>
      <c r="S40" s="17">
        <v>14</v>
      </c>
      <c r="T40" s="17">
        <v>15</v>
      </c>
      <c r="U40" s="58">
        <v>13</v>
      </c>
      <c r="V40" s="16">
        <f t="shared" si="13"/>
        <v>24</v>
      </c>
      <c r="W40" s="17">
        <f t="shared" si="14"/>
        <v>19</v>
      </c>
      <c r="X40" s="17">
        <f t="shared" si="0"/>
        <v>19</v>
      </c>
      <c r="Y40" s="17">
        <f t="shared" si="15"/>
        <v>19</v>
      </c>
      <c r="Z40" s="17">
        <f t="shared" si="1"/>
        <v>17</v>
      </c>
      <c r="AA40" s="17">
        <f t="shared" si="16"/>
        <v>16</v>
      </c>
      <c r="AB40" s="58">
        <f t="shared" si="17"/>
        <v>18</v>
      </c>
      <c r="AC40" s="67"/>
      <c r="AD40" s="67"/>
      <c r="AE40" s="67"/>
      <c r="AF40" s="16">
        <f t="shared" si="37"/>
        <v>155</v>
      </c>
      <c r="AG40" s="17" t="s">
        <v>71</v>
      </c>
      <c r="AH40" s="17">
        <v>38</v>
      </c>
      <c r="AI40" s="59">
        <v>1151384000000</v>
      </c>
      <c r="AJ40" s="60">
        <v>1147354000000</v>
      </c>
      <c r="AK40" s="61">
        <f t="shared" si="18"/>
        <v>4030000000</v>
      </c>
      <c r="AL40" s="62">
        <v>0.7</v>
      </c>
      <c r="AM40" s="63">
        <v>0.55000000000000004</v>
      </c>
      <c r="AN40" s="63">
        <v>0.1</v>
      </c>
      <c r="AO40" s="63">
        <v>0.4</v>
      </c>
      <c r="AP40" s="64">
        <v>0.9</v>
      </c>
      <c r="AQ40" s="62">
        <f t="shared" si="3"/>
        <v>1</v>
      </c>
      <c r="AR40" s="65">
        <v>1</v>
      </c>
      <c r="AS40" s="62">
        <f t="shared" si="4"/>
        <v>0.17</v>
      </c>
      <c r="AT40" s="65">
        <v>0.35000000000000014</v>
      </c>
      <c r="AU40" s="62">
        <f t="shared" si="5"/>
        <v>0.74400000000000044</v>
      </c>
      <c r="AV40" s="65">
        <f t="shared" ref="AV40:AV45" si="39">AV39+3.9%</f>
        <v>0.75900000000000045</v>
      </c>
      <c r="AW40" s="62">
        <f t="shared" si="6"/>
        <v>0.2</v>
      </c>
      <c r="AX40" s="65">
        <f t="shared" ref="AX40:AX50" si="40">AX39+2%</f>
        <v>0.43000000000000016</v>
      </c>
      <c r="AY40" s="62">
        <f t="shared" si="7"/>
        <v>0</v>
      </c>
      <c r="AZ40" s="65">
        <v>0</v>
      </c>
      <c r="BA40" s="62">
        <f t="shared" si="8"/>
        <v>0</v>
      </c>
      <c r="BB40" s="65">
        <v>0</v>
      </c>
      <c r="BC40" s="62">
        <f t="shared" si="9"/>
        <v>0</v>
      </c>
      <c r="BD40" s="64">
        <v>0</v>
      </c>
      <c r="BE40" s="66">
        <v>155</v>
      </c>
      <c r="BF40" s="63" t="s">
        <v>71</v>
      </c>
      <c r="BG40" s="60">
        <v>38</v>
      </c>
      <c r="BH40" s="63">
        <v>0.6</v>
      </c>
      <c r="BI40" s="63">
        <v>0.55000000000000004</v>
      </c>
      <c r="BJ40" s="63">
        <v>0.45</v>
      </c>
      <c r="BK40" s="65">
        <v>0.4</v>
      </c>
      <c r="BL40" s="7"/>
      <c r="BM40" s="7"/>
      <c r="BN40" s="7"/>
      <c r="BO40" s="7"/>
      <c r="BP40" s="7"/>
      <c r="BQ40" s="7"/>
    </row>
    <row r="41" spans="1:69" ht="19.8" thickBot="1" x14ac:dyDescent="0.35">
      <c r="A41" s="16">
        <v>39</v>
      </c>
      <c r="B41" s="52">
        <v>44195</v>
      </c>
      <c r="C41" s="53" t="str">
        <f t="shared" si="10"/>
        <v>1399/10/10</v>
      </c>
      <c r="D41" s="54">
        <v>0.31100000000000011</v>
      </c>
      <c r="E41" s="54">
        <v>0.20699800000000018</v>
      </c>
      <c r="F41" s="11" t="e">
        <f t="shared" si="11"/>
        <v>#N/A</v>
      </c>
      <c r="G41" s="38" t="str">
        <f t="shared" si="12"/>
        <v>تاریخ: 1399/10/10
درصد پیشرفت برنامه ای: 31.1%
درصد پیشرفت واقعی: 20.7%</v>
      </c>
      <c r="H41" s="55">
        <v>1</v>
      </c>
      <c r="I41" s="56">
        <f t="shared" si="23"/>
        <v>0.18000000000000002</v>
      </c>
      <c r="J41" s="56">
        <f t="shared" si="30"/>
        <v>0.77600000000000047</v>
      </c>
      <c r="K41" s="56">
        <f t="shared" si="36"/>
        <v>0.23200000000000001</v>
      </c>
      <c r="L41" s="56">
        <v>0</v>
      </c>
      <c r="M41" s="56">
        <v>0</v>
      </c>
      <c r="N41" s="57">
        <v>0</v>
      </c>
      <c r="O41" s="16">
        <f t="shared" si="19"/>
        <v>13</v>
      </c>
      <c r="P41" s="17">
        <v>12</v>
      </c>
      <c r="Q41" s="17">
        <v>13</v>
      </c>
      <c r="R41" s="17">
        <v>14</v>
      </c>
      <c r="S41" s="17">
        <v>12</v>
      </c>
      <c r="T41" s="17">
        <v>12</v>
      </c>
      <c r="U41" s="58">
        <v>11</v>
      </c>
      <c r="V41" s="16">
        <f t="shared" si="13"/>
        <v>16</v>
      </c>
      <c r="W41" s="17">
        <f t="shared" si="14"/>
        <v>16</v>
      </c>
      <c r="X41" s="17">
        <f t="shared" si="0"/>
        <v>17</v>
      </c>
      <c r="Y41" s="17">
        <f t="shared" si="15"/>
        <v>15</v>
      </c>
      <c r="Z41" s="17">
        <f t="shared" si="1"/>
        <v>15</v>
      </c>
      <c r="AA41" s="17">
        <f t="shared" si="16"/>
        <v>13</v>
      </c>
      <c r="AB41" s="58">
        <f t="shared" si="17"/>
        <v>16</v>
      </c>
      <c r="AC41" s="67"/>
      <c r="AD41" s="67"/>
      <c r="AE41" s="67"/>
      <c r="AF41" s="16">
        <f t="shared" si="37"/>
        <v>159</v>
      </c>
      <c r="AG41" s="17" t="s">
        <v>72</v>
      </c>
      <c r="AH41" s="17">
        <v>39</v>
      </c>
      <c r="AI41" s="59">
        <v>1170407000000</v>
      </c>
      <c r="AJ41" s="60">
        <v>1166311000000</v>
      </c>
      <c r="AK41" s="61">
        <f t="shared" si="18"/>
        <v>4096000000</v>
      </c>
      <c r="AL41" s="62">
        <v>0.4</v>
      </c>
      <c r="AM41" s="63">
        <v>0.69</v>
      </c>
      <c r="AN41" s="63">
        <v>0.5</v>
      </c>
      <c r="AO41" s="63">
        <v>0.2</v>
      </c>
      <c r="AP41" s="64">
        <v>0.4</v>
      </c>
      <c r="AQ41" s="62">
        <f t="shared" si="3"/>
        <v>1</v>
      </c>
      <c r="AR41" s="65">
        <v>1</v>
      </c>
      <c r="AS41" s="62">
        <f t="shared" si="4"/>
        <v>0.18000000000000002</v>
      </c>
      <c r="AT41" s="65">
        <v>0.35000000000000014</v>
      </c>
      <c r="AU41" s="62">
        <f t="shared" si="5"/>
        <v>0.77600000000000047</v>
      </c>
      <c r="AV41" s="65">
        <f t="shared" si="39"/>
        <v>0.79800000000000049</v>
      </c>
      <c r="AW41" s="62">
        <f t="shared" si="6"/>
        <v>0.23200000000000001</v>
      </c>
      <c r="AX41" s="65">
        <f t="shared" si="40"/>
        <v>0.45000000000000018</v>
      </c>
      <c r="AY41" s="62">
        <f t="shared" si="7"/>
        <v>0</v>
      </c>
      <c r="AZ41" s="65">
        <v>0</v>
      </c>
      <c r="BA41" s="62">
        <f t="shared" si="8"/>
        <v>0</v>
      </c>
      <c r="BB41" s="65">
        <v>0</v>
      </c>
      <c r="BC41" s="62">
        <f t="shared" si="9"/>
        <v>0</v>
      </c>
      <c r="BD41" s="64">
        <v>0</v>
      </c>
      <c r="BE41" s="66">
        <v>159</v>
      </c>
      <c r="BF41" s="63" t="s">
        <v>72</v>
      </c>
      <c r="BG41" s="60">
        <v>39</v>
      </c>
      <c r="BH41" s="63">
        <v>0.45</v>
      </c>
      <c r="BI41" s="63">
        <v>0.6</v>
      </c>
      <c r="BJ41" s="63">
        <v>0.77</v>
      </c>
      <c r="BK41" s="65">
        <v>0.55000000000000004</v>
      </c>
      <c r="BL41" s="7"/>
      <c r="BM41" s="7"/>
      <c r="BN41" s="7"/>
      <c r="BO41" s="7"/>
      <c r="BP41" s="7"/>
      <c r="BQ41" s="7"/>
    </row>
    <row r="42" spans="1:69" ht="19.8" thickBot="1" x14ac:dyDescent="0.35">
      <c r="A42" s="16">
        <v>40</v>
      </c>
      <c r="B42" s="52">
        <v>44202</v>
      </c>
      <c r="C42" s="53" t="str">
        <f t="shared" si="10"/>
        <v>1399/10/17</v>
      </c>
      <c r="D42" s="54">
        <v>0.31800000000000012</v>
      </c>
      <c r="E42" s="54">
        <v>0.2140050000000002</v>
      </c>
      <c r="F42" s="11" t="e">
        <f t="shared" si="11"/>
        <v>#N/A</v>
      </c>
      <c r="G42" s="38" t="str">
        <f t="shared" si="12"/>
        <v>تاریخ: 1399/10/17
درصد پیشرفت برنامه ای: 31.8%
درصد پیشرفت واقعی: 21.4%</v>
      </c>
      <c r="H42" s="55">
        <v>1</v>
      </c>
      <c r="I42" s="56">
        <f t="shared" si="23"/>
        <v>0.19000000000000003</v>
      </c>
      <c r="J42" s="56">
        <f t="shared" si="30"/>
        <v>0.8080000000000005</v>
      </c>
      <c r="K42" s="56">
        <f t="shared" si="36"/>
        <v>0.26400000000000001</v>
      </c>
      <c r="L42" s="56">
        <v>0</v>
      </c>
      <c r="M42" s="56">
        <v>0</v>
      </c>
      <c r="N42" s="57">
        <v>0</v>
      </c>
      <c r="O42" s="16">
        <f t="shared" si="19"/>
        <v>11</v>
      </c>
      <c r="P42" s="17">
        <v>10</v>
      </c>
      <c r="Q42" s="17">
        <v>10</v>
      </c>
      <c r="R42" s="17">
        <v>12</v>
      </c>
      <c r="S42" s="17">
        <v>11</v>
      </c>
      <c r="T42" s="17">
        <v>10</v>
      </c>
      <c r="U42" s="58">
        <v>9</v>
      </c>
      <c r="V42" s="16">
        <f t="shared" si="13"/>
        <v>14</v>
      </c>
      <c r="W42" s="17">
        <f t="shared" si="14"/>
        <v>14</v>
      </c>
      <c r="X42" s="17">
        <f t="shared" si="0"/>
        <v>14</v>
      </c>
      <c r="Y42" s="17">
        <f t="shared" si="15"/>
        <v>13</v>
      </c>
      <c r="Z42" s="17">
        <f t="shared" si="1"/>
        <v>14</v>
      </c>
      <c r="AA42" s="17">
        <f t="shared" si="16"/>
        <v>11</v>
      </c>
      <c r="AB42" s="58">
        <f t="shared" si="17"/>
        <v>14</v>
      </c>
      <c r="AC42" s="67"/>
      <c r="AD42" s="67"/>
      <c r="AE42" s="67"/>
      <c r="AF42" s="16">
        <f t="shared" si="37"/>
        <v>163</v>
      </c>
      <c r="AG42" s="17" t="s">
        <v>73</v>
      </c>
      <c r="AH42" s="17">
        <v>40</v>
      </c>
      <c r="AI42" s="59">
        <v>1187989000000</v>
      </c>
      <c r="AJ42" s="60">
        <v>1183831000000</v>
      </c>
      <c r="AK42" s="61">
        <f t="shared" si="18"/>
        <v>4158000000</v>
      </c>
      <c r="AL42" s="62">
        <v>0.35</v>
      </c>
      <c r="AM42" s="63">
        <v>0.4</v>
      </c>
      <c r="AN42" s="63">
        <v>0.9</v>
      </c>
      <c r="AO42" s="63">
        <v>0.8</v>
      </c>
      <c r="AP42" s="64">
        <v>0.2</v>
      </c>
      <c r="AQ42" s="62">
        <f t="shared" si="3"/>
        <v>1</v>
      </c>
      <c r="AR42" s="65">
        <v>1</v>
      </c>
      <c r="AS42" s="62">
        <f t="shared" si="4"/>
        <v>0.19000000000000003</v>
      </c>
      <c r="AT42" s="65">
        <v>0.35000000000000014</v>
      </c>
      <c r="AU42" s="62">
        <f t="shared" si="5"/>
        <v>0.8080000000000005</v>
      </c>
      <c r="AV42" s="65">
        <f t="shared" si="39"/>
        <v>0.83700000000000052</v>
      </c>
      <c r="AW42" s="62">
        <f t="shared" si="6"/>
        <v>0.26400000000000001</v>
      </c>
      <c r="AX42" s="65">
        <f t="shared" si="40"/>
        <v>0.4700000000000002</v>
      </c>
      <c r="AY42" s="62">
        <f t="shared" si="7"/>
        <v>0</v>
      </c>
      <c r="AZ42" s="65">
        <v>0</v>
      </c>
      <c r="BA42" s="62">
        <f t="shared" si="8"/>
        <v>0</v>
      </c>
      <c r="BB42" s="65">
        <v>0</v>
      </c>
      <c r="BC42" s="62">
        <f t="shared" si="9"/>
        <v>0</v>
      </c>
      <c r="BD42" s="64">
        <v>0</v>
      </c>
      <c r="BE42" s="66">
        <v>163</v>
      </c>
      <c r="BF42" s="63" t="s">
        <v>73</v>
      </c>
      <c r="BG42" s="60">
        <v>40</v>
      </c>
      <c r="BH42" s="63">
        <v>0.77</v>
      </c>
      <c r="BI42" s="63">
        <v>0.45</v>
      </c>
      <c r="BJ42" s="63">
        <v>0.4</v>
      </c>
      <c r="BK42" s="65">
        <v>0.6</v>
      </c>
      <c r="BL42" s="7"/>
      <c r="BM42" s="7"/>
      <c r="BN42" s="7"/>
      <c r="BO42" s="7"/>
      <c r="BP42" s="7"/>
      <c r="BQ42" s="7"/>
    </row>
    <row r="43" spans="1:69" ht="19.8" thickBot="1" x14ac:dyDescent="0.35">
      <c r="A43" s="16">
        <v>41</v>
      </c>
      <c r="B43" s="52">
        <v>44209</v>
      </c>
      <c r="C43" s="53" t="str">
        <f t="shared" si="10"/>
        <v>1399/10/24</v>
      </c>
      <c r="D43" s="54">
        <v>0.32500000000000012</v>
      </c>
      <c r="E43" s="54">
        <v>0.22101200000000021</v>
      </c>
      <c r="F43" s="11" t="e">
        <f t="shared" si="11"/>
        <v>#N/A</v>
      </c>
      <c r="G43" s="38" t="str">
        <f t="shared" si="12"/>
        <v>تاریخ: 1399/10/24
درصد پیشرفت برنامه ای: 32.5%
درصد پیشرفت واقعی: 22.1%</v>
      </c>
      <c r="H43" s="55">
        <v>1</v>
      </c>
      <c r="I43" s="56">
        <f t="shared" si="23"/>
        <v>0.20000000000000004</v>
      </c>
      <c r="J43" s="56">
        <f t="shared" si="30"/>
        <v>0.84000000000000052</v>
      </c>
      <c r="K43" s="56">
        <f t="shared" si="36"/>
        <v>0.29600000000000004</v>
      </c>
      <c r="L43" s="56">
        <v>0</v>
      </c>
      <c r="M43" s="56">
        <v>0</v>
      </c>
      <c r="N43" s="57">
        <v>0</v>
      </c>
      <c r="O43" s="16">
        <f t="shared" si="19"/>
        <v>9</v>
      </c>
      <c r="P43" s="17">
        <v>9</v>
      </c>
      <c r="Q43" s="17">
        <v>9</v>
      </c>
      <c r="R43" s="17">
        <v>8</v>
      </c>
      <c r="S43" s="17">
        <v>10</v>
      </c>
      <c r="T43" s="17">
        <v>11</v>
      </c>
      <c r="U43" s="58">
        <v>10</v>
      </c>
      <c r="V43" s="16">
        <f t="shared" si="13"/>
        <v>12</v>
      </c>
      <c r="W43" s="17">
        <f t="shared" si="14"/>
        <v>13</v>
      </c>
      <c r="X43" s="17">
        <f t="shared" si="0"/>
        <v>13</v>
      </c>
      <c r="Y43" s="17">
        <f t="shared" si="15"/>
        <v>9</v>
      </c>
      <c r="Z43" s="17">
        <f t="shared" si="1"/>
        <v>13</v>
      </c>
      <c r="AA43" s="17">
        <f t="shared" si="16"/>
        <v>12</v>
      </c>
      <c r="AB43" s="58">
        <f t="shared" si="17"/>
        <v>15</v>
      </c>
      <c r="AC43" s="67"/>
      <c r="AD43" s="67"/>
      <c r="AE43" s="67"/>
      <c r="AF43" s="16">
        <f t="shared" si="37"/>
        <v>167</v>
      </c>
      <c r="AG43" s="17" t="s">
        <v>74</v>
      </c>
      <c r="AH43" s="17">
        <v>41</v>
      </c>
      <c r="AI43" s="59">
        <v>1192697000000</v>
      </c>
      <c r="AJ43" s="60">
        <v>1188523000000</v>
      </c>
      <c r="AK43" s="61">
        <f t="shared" si="18"/>
        <v>4174000000</v>
      </c>
      <c r="AL43" s="62">
        <v>0.85</v>
      </c>
      <c r="AM43" s="63">
        <v>0.8</v>
      </c>
      <c r="AN43" s="63">
        <v>0.5</v>
      </c>
      <c r="AO43" s="63">
        <v>0.6</v>
      </c>
      <c r="AP43" s="64">
        <v>0.6</v>
      </c>
      <c r="AQ43" s="62">
        <f t="shared" si="3"/>
        <v>1</v>
      </c>
      <c r="AR43" s="65">
        <v>1</v>
      </c>
      <c r="AS43" s="62">
        <f t="shared" si="4"/>
        <v>0.20000000000000004</v>
      </c>
      <c r="AT43" s="65">
        <v>0.35000000000000014</v>
      </c>
      <c r="AU43" s="62">
        <f t="shared" si="5"/>
        <v>0.84000000000000052</v>
      </c>
      <c r="AV43" s="65">
        <f t="shared" si="39"/>
        <v>0.87600000000000056</v>
      </c>
      <c r="AW43" s="62">
        <f t="shared" si="6"/>
        <v>0.29600000000000004</v>
      </c>
      <c r="AX43" s="65">
        <f t="shared" si="40"/>
        <v>0.49000000000000021</v>
      </c>
      <c r="AY43" s="62">
        <f t="shared" si="7"/>
        <v>0</v>
      </c>
      <c r="AZ43" s="65">
        <v>0</v>
      </c>
      <c r="BA43" s="62">
        <f t="shared" si="8"/>
        <v>0</v>
      </c>
      <c r="BB43" s="65">
        <v>0</v>
      </c>
      <c r="BC43" s="62">
        <f t="shared" si="9"/>
        <v>0</v>
      </c>
      <c r="BD43" s="64">
        <v>0</v>
      </c>
      <c r="BE43" s="66">
        <v>167</v>
      </c>
      <c r="BF43" s="63" t="s">
        <v>74</v>
      </c>
      <c r="BG43" s="60">
        <v>41</v>
      </c>
      <c r="BH43" s="63">
        <v>0.2</v>
      </c>
      <c r="BI43" s="63">
        <v>0.77</v>
      </c>
      <c r="BJ43" s="63">
        <v>0.55000000000000004</v>
      </c>
      <c r="BK43" s="65">
        <v>0.45</v>
      </c>
      <c r="BL43" s="7"/>
      <c r="BM43" s="7"/>
      <c r="BN43" s="7"/>
      <c r="BO43" s="7"/>
      <c r="BP43" s="7"/>
      <c r="BQ43" s="7"/>
    </row>
    <row r="44" spans="1:69" ht="19.8" thickBot="1" x14ac:dyDescent="0.35">
      <c r="A44" s="16">
        <v>42</v>
      </c>
      <c r="B44" s="52">
        <v>44216</v>
      </c>
      <c r="C44" s="53" t="str">
        <f t="shared" si="10"/>
        <v>1399/11/01</v>
      </c>
      <c r="D44" s="54">
        <v>0.33200000000000013</v>
      </c>
      <c r="E44" s="54">
        <v>0.22801900000000022</v>
      </c>
      <c r="F44" s="11" t="e">
        <f t="shared" si="11"/>
        <v>#N/A</v>
      </c>
      <c r="G44" s="38" t="str">
        <f t="shared" si="12"/>
        <v>تاریخ: 1399/11/01
درصد پیشرفت برنامه ای: 33.2%
درصد پیشرفت واقعی: 22.8%</v>
      </c>
      <c r="H44" s="55">
        <v>1</v>
      </c>
      <c r="I44" s="56">
        <f t="shared" si="23"/>
        <v>0.21000000000000005</v>
      </c>
      <c r="J44" s="56">
        <f t="shared" si="30"/>
        <v>0.87200000000000055</v>
      </c>
      <c r="K44" s="56">
        <f t="shared" si="36"/>
        <v>0.32800000000000007</v>
      </c>
      <c r="L44" s="56">
        <v>0</v>
      </c>
      <c r="M44" s="56">
        <v>0</v>
      </c>
      <c r="N44" s="57">
        <v>0</v>
      </c>
      <c r="O44" s="16">
        <f t="shared" si="19"/>
        <v>10</v>
      </c>
      <c r="P44" s="17">
        <v>10</v>
      </c>
      <c r="Q44" s="17">
        <v>9</v>
      </c>
      <c r="R44" s="17">
        <v>8</v>
      </c>
      <c r="S44" s="17">
        <v>7</v>
      </c>
      <c r="T44" s="17">
        <v>5</v>
      </c>
      <c r="U44" s="58">
        <v>4</v>
      </c>
      <c r="V44" s="16">
        <f t="shared" si="13"/>
        <v>13</v>
      </c>
      <c r="W44" s="17">
        <f t="shared" si="14"/>
        <v>14</v>
      </c>
      <c r="X44" s="17">
        <f t="shared" si="0"/>
        <v>13</v>
      </c>
      <c r="Y44" s="17">
        <f t="shared" si="15"/>
        <v>9</v>
      </c>
      <c r="Z44" s="17">
        <f t="shared" si="1"/>
        <v>10</v>
      </c>
      <c r="AA44" s="17">
        <f t="shared" si="16"/>
        <v>6</v>
      </c>
      <c r="AB44" s="58">
        <f t="shared" si="17"/>
        <v>9</v>
      </c>
      <c r="AC44" s="67"/>
      <c r="AD44" s="67"/>
      <c r="AE44" s="67"/>
      <c r="AF44" s="16">
        <f t="shared" si="37"/>
        <v>171</v>
      </c>
      <c r="AG44" s="17" t="s">
        <v>75</v>
      </c>
      <c r="AH44" s="17">
        <v>42</v>
      </c>
      <c r="AI44" s="59">
        <v>1202114000000</v>
      </c>
      <c r="AJ44" s="60">
        <v>1197907000000</v>
      </c>
      <c r="AK44" s="61">
        <f t="shared" si="18"/>
        <v>4207000000</v>
      </c>
      <c r="AL44" s="62">
        <v>0.9</v>
      </c>
      <c r="AM44" s="63">
        <v>0.95</v>
      </c>
      <c r="AN44" s="63">
        <v>0.8</v>
      </c>
      <c r="AO44" s="63">
        <v>0.7</v>
      </c>
      <c r="AP44" s="64">
        <v>0.1</v>
      </c>
      <c r="AQ44" s="62">
        <f t="shared" si="3"/>
        <v>1</v>
      </c>
      <c r="AR44" s="65">
        <v>1</v>
      </c>
      <c r="AS44" s="62">
        <f t="shared" si="4"/>
        <v>0.21000000000000005</v>
      </c>
      <c r="AT44" s="65">
        <v>0.35000000000000014</v>
      </c>
      <c r="AU44" s="62">
        <f t="shared" si="5"/>
        <v>0.87200000000000055</v>
      </c>
      <c r="AV44" s="65">
        <f t="shared" si="39"/>
        <v>0.91500000000000059</v>
      </c>
      <c r="AW44" s="62">
        <f t="shared" si="6"/>
        <v>0.32800000000000007</v>
      </c>
      <c r="AX44" s="65">
        <f t="shared" si="40"/>
        <v>0.51000000000000023</v>
      </c>
      <c r="AY44" s="62">
        <f t="shared" si="7"/>
        <v>0</v>
      </c>
      <c r="AZ44" s="65">
        <v>0</v>
      </c>
      <c r="BA44" s="62">
        <f t="shared" si="8"/>
        <v>0</v>
      </c>
      <c r="BB44" s="65">
        <v>0</v>
      </c>
      <c r="BC44" s="62">
        <f t="shared" si="9"/>
        <v>0</v>
      </c>
      <c r="BD44" s="64">
        <v>0</v>
      </c>
      <c r="BE44" s="66">
        <v>171</v>
      </c>
      <c r="BF44" s="63" t="s">
        <v>75</v>
      </c>
      <c r="BG44" s="60">
        <v>42</v>
      </c>
      <c r="BH44" s="63">
        <v>0.45</v>
      </c>
      <c r="BI44" s="63">
        <v>0.4</v>
      </c>
      <c r="BJ44" s="63">
        <v>0.6</v>
      </c>
      <c r="BK44" s="65">
        <v>0.64</v>
      </c>
      <c r="BL44" s="7"/>
      <c r="BM44" s="7"/>
      <c r="BN44" s="7"/>
      <c r="BO44" s="7"/>
      <c r="BP44" s="7"/>
      <c r="BQ44" s="7"/>
    </row>
    <row r="45" spans="1:69" ht="19.8" thickBot="1" x14ac:dyDescent="0.35">
      <c r="A45" s="16">
        <v>43</v>
      </c>
      <c r="B45" s="52">
        <v>44223</v>
      </c>
      <c r="C45" s="53" t="str">
        <f t="shared" si="10"/>
        <v>1399/11/08</v>
      </c>
      <c r="D45" s="54">
        <v>0.34100000000000014</v>
      </c>
      <c r="E45" s="54">
        <v>0.23702800000000024</v>
      </c>
      <c r="F45" s="11" t="e">
        <f t="shared" si="11"/>
        <v>#N/A</v>
      </c>
      <c r="G45" s="38" t="str">
        <f t="shared" si="12"/>
        <v>تاریخ: 1399/11/08
درصد پیشرفت برنامه ای: 34.1%
درصد پیشرفت واقعی: 23.7%</v>
      </c>
      <c r="H45" s="55">
        <v>1</v>
      </c>
      <c r="I45" s="56">
        <f t="shared" si="23"/>
        <v>0.22000000000000006</v>
      </c>
      <c r="J45" s="56">
        <f t="shared" si="30"/>
        <v>0.90400000000000058</v>
      </c>
      <c r="K45" s="56">
        <f t="shared" si="36"/>
        <v>0.3600000000000001</v>
      </c>
      <c r="L45" s="56">
        <v>0</v>
      </c>
      <c r="M45" s="56">
        <v>0</v>
      </c>
      <c r="N45" s="57">
        <v>0</v>
      </c>
      <c r="O45" s="16">
        <f t="shared" si="19"/>
        <v>4</v>
      </c>
      <c r="P45" s="17">
        <v>4</v>
      </c>
      <c r="Q45" s="17">
        <v>5</v>
      </c>
      <c r="R45" s="17">
        <v>5</v>
      </c>
      <c r="S45" s="17">
        <v>6</v>
      </c>
      <c r="T45" s="17">
        <v>5</v>
      </c>
      <c r="U45" s="58">
        <v>6</v>
      </c>
      <c r="V45" s="16">
        <f t="shared" si="13"/>
        <v>7</v>
      </c>
      <c r="W45" s="17">
        <f t="shared" si="14"/>
        <v>8</v>
      </c>
      <c r="X45" s="17">
        <f t="shared" si="0"/>
        <v>9</v>
      </c>
      <c r="Y45" s="17">
        <f t="shared" si="15"/>
        <v>6</v>
      </c>
      <c r="Z45" s="17">
        <f t="shared" si="1"/>
        <v>9</v>
      </c>
      <c r="AA45" s="17">
        <f t="shared" si="16"/>
        <v>6</v>
      </c>
      <c r="AB45" s="58">
        <f t="shared" si="17"/>
        <v>11</v>
      </c>
      <c r="AC45" s="67"/>
      <c r="AD45" s="67"/>
      <c r="AE45" s="67"/>
      <c r="AF45" s="16">
        <f t="shared" si="37"/>
        <v>175</v>
      </c>
      <c r="AG45" s="17" t="s">
        <v>76</v>
      </c>
      <c r="AH45" s="17">
        <v>43</v>
      </c>
      <c r="AI45" s="59">
        <v>1212286000000</v>
      </c>
      <c r="AJ45" s="60">
        <v>1208043000000</v>
      </c>
      <c r="AK45" s="61">
        <f t="shared" si="18"/>
        <v>4243000000</v>
      </c>
      <c r="AL45" s="62">
        <v>0.7</v>
      </c>
      <c r="AM45" s="63">
        <v>0.68</v>
      </c>
      <c r="AN45" s="63">
        <v>0.5</v>
      </c>
      <c r="AO45" s="63">
        <v>0.9</v>
      </c>
      <c r="AP45" s="64">
        <v>0.55000000000000004</v>
      </c>
      <c r="AQ45" s="62">
        <f t="shared" si="3"/>
        <v>1</v>
      </c>
      <c r="AR45" s="65">
        <v>1</v>
      </c>
      <c r="AS45" s="62">
        <f t="shared" si="4"/>
        <v>0.22000000000000006</v>
      </c>
      <c r="AT45" s="65">
        <v>0.35000000000000014</v>
      </c>
      <c r="AU45" s="62">
        <f t="shared" si="5"/>
        <v>0.90400000000000058</v>
      </c>
      <c r="AV45" s="65">
        <f t="shared" si="39"/>
        <v>0.95400000000000063</v>
      </c>
      <c r="AW45" s="62">
        <f t="shared" si="6"/>
        <v>0.3600000000000001</v>
      </c>
      <c r="AX45" s="65">
        <f t="shared" si="40"/>
        <v>0.53000000000000025</v>
      </c>
      <c r="AY45" s="62">
        <f t="shared" si="7"/>
        <v>0</v>
      </c>
      <c r="AZ45" s="65">
        <v>0</v>
      </c>
      <c r="BA45" s="62">
        <f t="shared" si="8"/>
        <v>0</v>
      </c>
      <c r="BB45" s="65">
        <v>0</v>
      </c>
      <c r="BC45" s="62">
        <f t="shared" si="9"/>
        <v>0</v>
      </c>
      <c r="BD45" s="64">
        <v>0</v>
      </c>
      <c r="BE45" s="66">
        <v>175</v>
      </c>
      <c r="BF45" s="63" t="s">
        <v>76</v>
      </c>
      <c r="BG45" s="60">
        <v>43</v>
      </c>
      <c r="BH45" s="63">
        <v>0.52</v>
      </c>
      <c r="BI45" s="63">
        <v>0.55000000000000004</v>
      </c>
      <c r="BJ45" s="63">
        <v>0.45</v>
      </c>
      <c r="BK45" s="65">
        <v>0.65</v>
      </c>
      <c r="BL45" s="7"/>
      <c r="BM45" s="7"/>
      <c r="BN45" s="7"/>
      <c r="BO45" s="7"/>
      <c r="BP45" s="7"/>
      <c r="BQ45" s="7"/>
    </row>
    <row r="46" spans="1:69" ht="19.8" thickBot="1" x14ac:dyDescent="0.35">
      <c r="A46" s="16">
        <v>44</v>
      </c>
      <c r="B46" s="52">
        <v>44230</v>
      </c>
      <c r="C46" s="53" t="str">
        <f t="shared" si="10"/>
        <v>1399/11/15</v>
      </c>
      <c r="D46" s="54">
        <v>0.35000000000000014</v>
      </c>
      <c r="E46" s="54">
        <v>0.24603700000000026</v>
      </c>
      <c r="F46" s="11" t="e">
        <f t="shared" si="11"/>
        <v>#N/A</v>
      </c>
      <c r="G46" s="38" t="str">
        <f t="shared" si="12"/>
        <v>تاریخ: 1399/11/15
درصد پیشرفت برنامه ای: 35%
درصد پیشرفت واقعی: 24.6%</v>
      </c>
      <c r="H46" s="55">
        <v>1</v>
      </c>
      <c r="I46" s="56">
        <f t="shared" si="23"/>
        <v>0.23000000000000007</v>
      </c>
      <c r="J46" s="56">
        <f t="shared" si="30"/>
        <v>0.93600000000000061</v>
      </c>
      <c r="K46" s="56">
        <f t="shared" si="36"/>
        <v>0.39200000000000013</v>
      </c>
      <c r="L46" s="56">
        <v>0</v>
      </c>
      <c r="M46" s="56">
        <v>0</v>
      </c>
      <c r="N46" s="57">
        <v>0</v>
      </c>
      <c r="O46" s="16">
        <f t="shared" si="19"/>
        <v>6</v>
      </c>
      <c r="P46" s="17">
        <v>6</v>
      </c>
      <c r="Q46" s="17">
        <v>5</v>
      </c>
      <c r="R46" s="17">
        <v>4</v>
      </c>
      <c r="S46" s="17">
        <v>6</v>
      </c>
      <c r="T46" s="17">
        <v>5</v>
      </c>
      <c r="U46" s="58">
        <v>4</v>
      </c>
      <c r="V46" s="16">
        <f t="shared" si="13"/>
        <v>9</v>
      </c>
      <c r="W46" s="17">
        <f t="shared" si="14"/>
        <v>10</v>
      </c>
      <c r="X46" s="17">
        <f t="shared" si="0"/>
        <v>9</v>
      </c>
      <c r="Y46" s="17">
        <f t="shared" si="15"/>
        <v>5</v>
      </c>
      <c r="Z46" s="17">
        <f t="shared" si="1"/>
        <v>9</v>
      </c>
      <c r="AA46" s="17">
        <f t="shared" si="16"/>
        <v>6</v>
      </c>
      <c r="AB46" s="58">
        <f t="shared" si="17"/>
        <v>9</v>
      </c>
      <c r="AC46" s="67"/>
      <c r="AD46" s="67"/>
      <c r="AE46" s="67"/>
      <c r="AF46" s="16">
        <f t="shared" si="37"/>
        <v>179</v>
      </c>
      <c r="AG46" s="17" t="s">
        <v>77</v>
      </c>
      <c r="AH46" s="17">
        <v>44</v>
      </c>
      <c r="AI46" s="59">
        <v>1219916000000</v>
      </c>
      <c r="AJ46" s="60">
        <v>1215646000000</v>
      </c>
      <c r="AK46" s="61">
        <f t="shared" si="18"/>
        <v>4270000000</v>
      </c>
      <c r="AL46" s="62">
        <v>0.6</v>
      </c>
      <c r="AM46" s="63">
        <v>0.5</v>
      </c>
      <c r="AN46" s="63">
        <v>0.66</v>
      </c>
      <c r="AO46" s="63">
        <v>0.5</v>
      </c>
      <c r="AP46" s="64">
        <v>0.9</v>
      </c>
      <c r="AQ46" s="62">
        <f t="shared" si="3"/>
        <v>1</v>
      </c>
      <c r="AR46" s="65">
        <v>1</v>
      </c>
      <c r="AS46" s="62">
        <f t="shared" si="4"/>
        <v>0.23000000000000007</v>
      </c>
      <c r="AT46" s="65">
        <v>0.35000000000000014</v>
      </c>
      <c r="AU46" s="62">
        <f t="shared" si="5"/>
        <v>0.93600000000000061</v>
      </c>
      <c r="AV46" s="65">
        <v>1.0000000000000004</v>
      </c>
      <c r="AW46" s="62">
        <f t="shared" si="6"/>
        <v>0.39200000000000013</v>
      </c>
      <c r="AX46" s="65">
        <f t="shared" si="40"/>
        <v>0.55000000000000027</v>
      </c>
      <c r="AY46" s="62">
        <f t="shared" si="7"/>
        <v>0</v>
      </c>
      <c r="AZ46" s="65">
        <v>0</v>
      </c>
      <c r="BA46" s="62">
        <f t="shared" si="8"/>
        <v>0</v>
      </c>
      <c r="BB46" s="65">
        <v>0</v>
      </c>
      <c r="BC46" s="62">
        <f t="shared" si="9"/>
        <v>0</v>
      </c>
      <c r="BD46" s="64">
        <v>0</v>
      </c>
      <c r="BE46" s="66">
        <v>179</v>
      </c>
      <c r="BF46" s="63" t="s">
        <v>77</v>
      </c>
      <c r="BG46" s="60">
        <v>44</v>
      </c>
      <c r="BH46" s="63">
        <v>0.62</v>
      </c>
      <c r="BI46" s="63">
        <v>0.6</v>
      </c>
      <c r="BJ46" s="63">
        <v>0.6</v>
      </c>
      <c r="BK46" s="65">
        <v>0.62</v>
      </c>
      <c r="BL46" s="7"/>
      <c r="BM46" s="7"/>
      <c r="BN46" s="7"/>
      <c r="BO46" s="7"/>
      <c r="BP46" s="7"/>
      <c r="BQ46" s="7"/>
    </row>
    <row r="47" spans="1:69" ht="19.8" thickBot="1" x14ac:dyDescent="0.35">
      <c r="A47" s="16">
        <v>45</v>
      </c>
      <c r="B47" s="52">
        <v>44237</v>
      </c>
      <c r="C47" s="53" t="str">
        <f t="shared" si="10"/>
        <v>1399/11/22</v>
      </c>
      <c r="D47" s="54">
        <v>0.35900000000000015</v>
      </c>
      <c r="E47" s="54">
        <v>0.25504600000000027</v>
      </c>
      <c r="F47" s="11" t="e">
        <f t="shared" si="11"/>
        <v>#N/A</v>
      </c>
      <c r="G47" s="38" t="str">
        <f t="shared" si="12"/>
        <v>تاریخ: 1399/11/22
درصد پیشرفت برنامه ای: 35.9%
درصد پیشرفت واقعی: 25.5%</v>
      </c>
      <c r="H47" s="55">
        <v>1</v>
      </c>
      <c r="I47" s="56">
        <v>0.23000000000000007</v>
      </c>
      <c r="J47" s="56">
        <f t="shared" si="30"/>
        <v>0.96800000000000064</v>
      </c>
      <c r="K47" s="56">
        <f t="shared" si="36"/>
        <v>0.42400000000000015</v>
      </c>
      <c r="L47" s="56">
        <v>0</v>
      </c>
      <c r="M47" s="56">
        <v>0</v>
      </c>
      <c r="N47" s="57">
        <v>0</v>
      </c>
      <c r="O47" s="16">
        <f t="shared" si="19"/>
        <v>4</v>
      </c>
      <c r="P47" s="17">
        <v>4</v>
      </c>
      <c r="Q47" s="17">
        <v>5</v>
      </c>
      <c r="R47" s="17">
        <v>5</v>
      </c>
      <c r="S47" s="17">
        <v>6</v>
      </c>
      <c r="T47" s="17">
        <v>5</v>
      </c>
      <c r="U47" s="58">
        <v>6</v>
      </c>
      <c r="V47" s="16">
        <f t="shared" si="13"/>
        <v>7</v>
      </c>
      <c r="W47" s="17">
        <f t="shared" si="14"/>
        <v>8</v>
      </c>
      <c r="X47" s="17">
        <f t="shared" si="0"/>
        <v>9</v>
      </c>
      <c r="Y47" s="17">
        <f t="shared" si="15"/>
        <v>6</v>
      </c>
      <c r="Z47" s="17">
        <f t="shared" si="1"/>
        <v>9</v>
      </c>
      <c r="AA47" s="17">
        <f t="shared" si="16"/>
        <v>6</v>
      </c>
      <c r="AB47" s="58">
        <f t="shared" si="17"/>
        <v>11</v>
      </c>
      <c r="AC47" s="67"/>
      <c r="AD47" s="67"/>
      <c r="AE47" s="67"/>
      <c r="AF47" s="16">
        <f t="shared" si="37"/>
        <v>183</v>
      </c>
      <c r="AG47" s="17" t="s">
        <v>78</v>
      </c>
      <c r="AH47" s="17">
        <v>45</v>
      </c>
      <c r="AI47" s="59">
        <v>1232033000000</v>
      </c>
      <c r="AJ47" s="60">
        <v>1227721000000</v>
      </c>
      <c r="AK47" s="61">
        <f t="shared" si="18"/>
        <v>4312000000</v>
      </c>
      <c r="AL47" s="62">
        <v>0.55000000000000004</v>
      </c>
      <c r="AM47" s="63">
        <v>0.62</v>
      </c>
      <c r="AN47" s="63">
        <v>0.78</v>
      </c>
      <c r="AO47" s="63">
        <v>0.42</v>
      </c>
      <c r="AP47" s="64">
        <v>0.8</v>
      </c>
      <c r="AQ47" s="62">
        <f t="shared" si="3"/>
        <v>1</v>
      </c>
      <c r="AR47" s="65">
        <v>1</v>
      </c>
      <c r="AS47" s="62">
        <f t="shared" si="4"/>
        <v>0.23000000000000007</v>
      </c>
      <c r="AT47" s="65">
        <v>0.35000000000000014</v>
      </c>
      <c r="AU47" s="62">
        <f t="shared" si="5"/>
        <v>0.96800000000000064</v>
      </c>
      <c r="AV47" s="65">
        <v>1.0000000000000004</v>
      </c>
      <c r="AW47" s="62">
        <f t="shared" si="6"/>
        <v>0.42400000000000015</v>
      </c>
      <c r="AX47" s="65">
        <f t="shared" si="40"/>
        <v>0.57000000000000028</v>
      </c>
      <c r="AY47" s="62">
        <f t="shared" si="7"/>
        <v>0</v>
      </c>
      <c r="AZ47" s="65">
        <v>0</v>
      </c>
      <c r="BA47" s="62">
        <f t="shared" si="8"/>
        <v>0</v>
      </c>
      <c r="BB47" s="65">
        <v>0</v>
      </c>
      <c r="BC47" s="62">
        <f t="shared" si="9"/>
        <v>0</v>
      </c>
      <c r="BD47" s="64">
        <v>0</v>
      </c>
      <c r="BE47" s="66">
        <v>183</v>
      </c>
      <c r="BF47" s="63" t="s">
        <v>78</v>
      </c>
      <c r="BG47" s="60">
        <v>45</v>
      </c>
      <c r="BH47" s="63">
        <v>0.64</v>
      </c>
      <c r="BI47" s="63">
        <v>0.45</v>
      </c>
      <c r="BJ47" s="63">
        <v>0.45</v>
      </c>
      <c r="BK47" s="65">
        <v>0.4</v>
      </c>
      <c r="BL47" s="7"/>
      <c r="BM47" s="7"/>
      <c r="BN47" s="7"/>
      <c r="BO47" s="7"/>
      <c r="BP47" s="7"/>
      <c r="BQ47" s="7"/>
    </row>
    <row r="48" spans="1:69" ht="19.8" thickBot="1" x14ac:dyDescent="0.35">
      <c r="A48" s="16">
        <v>46</v>
      </c>
      <c r="B48" s="52">
        <v>44244</v>
      </c>
      <c r="C48" s="53" t="str">
        <f t="shared" si="10"/>
        <v>1399/11/29</v>
      </c>
      <c r="D48" s="54">
        <v>0.36800000000000016</v>
      </c>
      <c r="E48" s="54">
        <v>0.26405500000000026</v>
      </c>
      <c r="F48" s="11" t="e">
        <f t="shared" si="11"/>
        <v>#N/A</v>
      </c>
      <c r="G48" s="38" t="str">
        <f t="shared" si="12"/>
        <v>تاریخ: 1399/11/29
درصد پیشرفت برنامه ای: 36.8%
درصد پیشرفت واقعی: 26.41%</v>
      </c>
      <c r="H48" s="55">
        <v>1</v>
      </c>
      <c r="I48" s="56">
        <v>0.23000000000000007</v>
      </c>
      <c r="J48" s="56">
        <v>1.0000000000000004</v>
      </c>
      <c r="K48" s="56">
        <f t="shared" si="36"/>
        <v>0.45600000000000018</v>
      </c>
      <c r="L48" s="56">
        <v>0</v>
      </c>
      <c r="M48" s="56">
        <v>0</v>
      </c>
      <c r="N48" s="57">
        <v>0</v>
      </c>
      <c r="O48" s="16">
        <f t="shared" si="19"/>
        <v>6</v>
      </c>
      <c r="P48" s="17">
        <v>6</v>
      </c>
      <c r="Q48" s="17">
        <v>5</v>
      </c>
      <c r="R48" s="17">
        <v>4</v>
      </c>
      <c r="S48" s="17">
        <v>6</v>
      </c>
      <c r="T48" s="17">
        <v>5</v>
      </c>
      <c r="U48" s="58">
        <v>4</v>
      </c>
      <c r="V48" s="16">
        <f t="shared" si="13"/>
        <v>9</v>
      </c>
      <c r="W48" s="17">
        <f t="shared" si="14"/>
        <v>10</v>
      </c>
      <c r="X48" s="17">
        <f t="shared" si="0"/>
        <v>9</v>
      </c>
      <c r="Y48" s="17">
        <f t="shared" si="15"/>
        <v>5</v>
      </c>
      <c r="Z48" s="17">
        <f t="shared" si="1"/>
        <v>9</v>
      </c>
      <c r="AA48" s="17">
        <f t="shared" si="16"/>
        <v>6</v>
      </c>
      <c r="AB48" s="58">
        <f t="shared" si="17"/>
        <v>9</v>
      </c>
      <c r="AC48" s="67"/>
      <c r="AD48" s="67"/>
      <c r="AE48" s="67"/>
      <c r="AF48" s="16">
        <f t="shared" si="37"/>
        <v>187</v>
      </c>
      <c r="AG48" s="17" t="s">
        <v>79</v>
      </c>
      <c r="AH48" s="17">
        <v>46</v>
      </c>
      <c r="AI48" s="59">
        <v>1248376000000</v>
      </c>
      <c r="AJ48" s="60">
        <v>1244007000000</v>
      </c>
      <c r="AK48" s="61">
        <f t="shared" si="18"/>
        <v>4369000000</v>
      </c>
      <c r="AL48" s="62">
        <v>0.6</v>
      </c>
      <c r="AM48" s="63">
        <v>0.9</v>
      </c>
      <c r="AN48" s="63">
        <v>0.5</v>
      </c>
      <c r="AO48" s="63">
        <v>0.5</v>
      </c>
      <c r="AP48" s="64">
        <v>0.62</v>
      </c>
      <c r="AQ48" s="62">
        <f t="shared" si="3"/>
        <v>1</v>
      </c>
      <c r="AR48" s="65">
        <v>1</v>
      </c>
      <c r="AS48" s="62">
        <f t="shared" si="4"/>
        <v>0.23000000000000007</v>
      </c>
      <c r="AT48" s="65">
        <f t="shared" si="31"/>
        <v>0.36000000000000015</v>
      </c>
      <c r="AU48" s="62">
        <f t="shared" si="5"/>
        <v>1.0000000000000004</v>
      </c>
      <c r="AV48" s="65">
        <v>1.0000000000000004</v>
      </c>
      <c r="AW48" s="62">
        <f t="shared" si="6"/>
        <v>0.45600000000000018</v>
      </c>
      <c r="AX48" s="65">
        <f t="shared" si="40"/>
        <v>0.5900000000000003</v>
      </c>
      <c r="AY48" s="62">
        <f t="shared" si="7"/>
        <v>0</v>
      </c>
      <c r="AZ48" s="65">
        <v>0</v>
      </c>
      <c r="BA48" s="62">
        <f t="shared" si="8"/>
        <v>0</v>
      </c>
      <c r="BB48" s="65">
        <v>0</v>
      </c>
      <c r="BC48" s="62">
        <f t="shared" si="9"/>
        <v>0</v>
      </c>
      <c r="BD48" s="64">
        <v>0</v>
      </c>
      <c r="BE48" s="66">
        <v>187</v>
      </c>
      <c r="BF48" s="63" t="s">
        <v>79</v>
      </c>
      <c r="BG48" s="60">
        <v>46</v>
      </c>
      <c r="BH48" s="63">
        <v>0.65</v>
      </c>
      <c r="BI48" s="63">
        <v>0.4</v>
      </c>
      <c r="BJ48" s="63">
        <v>0.77</v>
      </c>
      <c r="BK48" s="65">
        <v>0.55000000000000004</v>
      </c>
      <c r="BL48" s="7"/>
      <c r="BM48" s="7"/>
      <c r="BN48" s="7"/>
      <c r="BO48" s="7"/>
      <c r="BP48" s="7"/>
      <c r="BQ48" s="7"/>
    </row>
    <row r="49" spans="1:69" ht="19.8" thickBot="1" x14ac:dyDescent="0.35">
      <c r="A49" s="16">
        <v>47</v>
      </c>
      <c r="B49" s="52">
        <v>44251</v>
      </c>
      <c r="C49" s="53" t="str">
        <f t="shared" si="10"/>
        <v>1399/12/06</v>
      </c>
      <c r="D49" s="54">
        <v>0.37700000000000017</v>
      </c>
      <c r="E49" s="54">
        <v>0.27306400000000025</v>
      </c>
      <c r="F49" s="11" t="e">
        <f t="shared" si="11"/>
        <v>#N/A</v>
      </c>
      <c r="G49" s="38" t="str">
        <f t="shared" si="12"/>
        <v>تاریخ: 1399/12/06
درصد پیشرفت برنامه ای: 37.7%
درصد پیشرفت واقعی: 27.31%</v>
      </c>
      <c r="H49" s="55">
        <v>1</v>
      </c>
      <c r="I49" s="56">
        <v>0.23000000000000007</v>
      </c>
      <c r="J49" s="56">
        <v>1.0000000000000004</v>
      </c>
      <c r="K49" s="56">
        <f t="shared" si="36"/>
        <v>0.48800000000000021</v>
      </c>
      <c r="L49" s="56">
        <v>0</v>
      </c>
      <c r="M49" s="56">
        <v>0</v>
      </c>
      <c r="N49" s="57">
        <v>0</v>
      </c>
      <c r="O49" s="16">
        <f t="shared" si="19"/>
        <v>4</v>
      </c>
      <c r="P49" s="17">
        <v>4</v>
      </c>
      <c r="Q49" s="17">
        <v>5</v>
      </c>
      <c r="R49" s="17">
        <v>5</v>
      </c>
      <c r="S49" s="17">
        <v>6</v>
      </c>
      <c r="T49" s="17">
        <v>5</v>
      </c>
      <c r="U49" s="58">
        <v>6</v>
      </c>
      <c r="V49" s="16">
        <f t="shared" si="13"/>
        <v>7</v>
      </c>
      <c r="W49" s="17">
        <f t="shared" si="14"/>
        <v>8</v>
      </c>
      <c r="X49" s="17">
        <f t="shared" si="0"/>
        <v>9</v>
      </c>
      <c r="Y49" s="17">
        <f t="shared" si="15"/>
        <v>6</v>
      </c>
      <c r="Z49" s="17">
        <f t="shared" si="1"/>
        <v>9</v>
      </c>
      <c r="AA49" s="17">
        <f t="shared" si="16"/>
        <v>6</v>
      </c>
      <c r="AB49" s="58">
        <f t="shared" si="17"/>
        <v>11</v>
      </c>
      <c r="AC49" s="67"/>
      <c r="AD49" s="67"/>
      <c r="AE49" s="67"/>
      <c r="AF49" s="16">
        <f t="shared" si="37"/>
        <v>191</v>
      </c>
      <c r="AG49" s="17" t="s">
        <v>80</v>
      </c>
      <c r="AH49" s="17">
        <v>47</v>
      </c>
      <c r="AI49" s="59">
        <v>1264936000000</v>
      </c>
      <c r="AJ49" s="60">
        <v>1260509000000</v>
      </c>
      <c r="AK49" s="61">
        <f t="shared" si="18"/>
        <v>4427000000</v>
      </c>
      <c r="AL49" s="62">
        <v>0.66</v>
      </c>
      <c r="AM49" s="63">
        <v>0.7</v>
      </c>
      <c r="AN49" s="63">
        <v>0.8</v>
      </c>
      <c r="AO49" s="63">
        <v>0.55000000000000004</v>
      </c>
      <c r="AP49" s="64">
        <v>0.5</v>
      </c>
      <c r="AQ49" s="62">
        <f t="shared" si="3"/>
        <v>1</v>
      </c>
      <c r="AR49" s="65">
        <v>1</v>
      </c>
      <c r="AS49" s="62">
        <f t="shared" si="4"/>
        <v>0.23000000000000007</v>
      </c>
      <c r="AT49" s="65">
        <f t="shared" si="31"/>
        <v>0.37000000000000016</v>
      </c>
      <c r="AU49" s="62">
        <f t="shared" si="5"/>
        <v>1.0000000000000004</v>
      </c>
      <c r="AV49" s="65">
        <v>1.0000000000000004</v>
      </c>
      <c r="AW49" s="62">
        <f t="shared" si="6"/>
        <v>0.48800000000000021</v>
      </c>
      <c r="AX49" s="65">
        <f t="shared" si="40"/>
        <v>0.61000000000000032</v>
      </c>
      <c r="AY49" s="62">
        <f t="shared" si="7"/>
        <v>0</v>
      </c>
      <c r="AZ49" s="65">
        <v>0</v>
      </c>
      <c r="BA49" s="62">
        <f t="shared" si="8"/>
        <v>0</v>
      </c>
      <c r="BB49" s="65">
        <v>0</v>
      </c>
      <c r="BC49" s="62">
        <f t="shared" si="9"/>
        <v>0</v>
      </c>
      <c r="BD49" s="64">
        <v>0</v>
      </c>
      <c r="BE49" s="66">
        <v>191</v>
      </c>
      <c r="BF49" s="63" t="s">
        <v>80</v>
      </c>
      <c r="BG49" s="60">
        <v>47</v>
      </c>
      <c r="BH49" s="63">
        <v>0.62</v>
      </c>
      <c r="BI49" s="63">
        <v>0.55000000000000004</v>
      </c>
      <c r="BJ49" s="63">
        <v>0.4</v>
      </c>
      <c r="BK49" s="65">
        <v>0.6</v>
      </c>
      <c r="BL49" s="7"/>
      <c r="BM49" s="7"/>
      <c r="BN49" s="7"/>
      <c r="BO49" s="7"/>
      <c r="BP49" s="7"/>
      <c r="BQ49" s="7"/>
    </row>
    <row r="50" spans="1:69" ht="19.8" thickBot="1" x14ac:dyDescent="0.35">
      <c r="A50" s="16">
        <v>48</v>
      </c>
      <c r="B50" s="52">
        <v>44258</v>
      </c>
      <c r="C50" s="53" t="str">
        <f t="shared" si="10"/>
        <v>1399/12/13</v>
      </c>
      <c r="D50" s="54">
        <v>0.38600000000000018</v>
      </c>
      <c r="E50" s="54">
        <v>0.28207300000000024</v>
      </c>
      <c r="F50" s="11" t="e">
        <f t="shared" si="11"/>
        <v>#N/A</v>
      </c>
      <c r="G50" s="38" t="str">
        <f t="shared" si="12"/>
        <v>تاریخ: 1399/12/13
درصد پیشرفت برنامه ای: 38.6%
درصد پیشرفت واقعی: 28.21%</v>
      </c>
      <c r="H50" s="55">
        <v>1</v>
      </c>
      <c r="I50" s="56">
        <v>0.23000000000000007</v>
      </c>
      <c r="J50" s="56">
        <v>1.0000000000000004</v>
      </c>
      <c r="K50" s="56">
        <f t="shared" si="36"/>
        <v>0.52000000000000024</v>
      </c>
      <c r="L50" s="56">
        <v>0</v>
      </c>
      <c r="M50" s="56">
        <v>0</v>
      </c>
      <c r="N50" s="57">
        <v>0</v>
      </c>
      <c r="O50" s="16">
        <f t="shared" si="19"/>
        <v>6</v>
      </c>
      <c r="P50" s="17">
        <v>6</v>
      </c>
      <c r="Q50" s="17">
        <v>5</v>
      </c>
      <c r="R50" s="17">
        <v>4</v>
      </c>
      <c r="S50" s="17">
        <v>6</v>
      </c>
      <c r="T50" s="17">
        <v>5</v>
      </c>
      <c r="U50" s="58">
        <v>4</v>
      </c>
      <c r="V50" s="16">
        <f t="shared" si="13"/>
        <v>9</v>
      </c>
      <c r="W50" s="17">
        <f t="shared" si="14"/>
        <v>10</v>
      </c>
      <c r="X50" s="17">
        <f t="shared" si="0"/>
        <v>9</v>
      </c>
      <c r="Y50" s="17">
        <f t="shared" si="15"/>
        <v>5</v>
      </c>
      <c r="Z50" s="17">
        <f t="shared" si="1"/>
        <v>9</v>
      </c>
      <c r="AA50" s="17">
        <f t="shared" si="16"/>
        <v>6</v>
      </c>
      <c r="AB50" s="58">
        <f t="shared" si="17"/>
        <v>9</v>
      </c>
      <c r="AC50" s="67"/>
      <c r="AD50" s="67"/>
      <c r="AE50" s="67"/>
      <c r="AF50" s="16">
        <f t="shared" si="37"/>
        <v>195</v>
      </c>
      <c r="AG50" s="17" t="s">
        <v>81</v>
      </c>
      <c r="AH50" s="17">
        <v>48</v>
      </c>
      <c r="AI50" s="59">
        <v>1273299000000</v>
      </c>
      <c r="AJ50" s="60">
        <v>1268842000000</v>
      </c>
      <c r="AK50" s="61">
        <f t="shared" si="18"/>
        <v>4457000000</v>
      </c>
      <c r="AL50" s="62">
        <v>0.55000000000000004</v>
      </c>
      <c r="AM50" s="63">
        <v>0.4</v>
      </c>
      <c r="AN50" s="63">
        <v>0.4</v>
      </c>
      <c r="AO50" s="63">
        <v>0.9</v>
      </c>
      <c r="AP50" s="64">
        <v>0.8</v>
      </c>
      <c r="AQ50" s="62">
        <f t="shared" si="3"/>
        <v>1</v>
      </c>
      <c r="AR50" s="65">
        <v>1</v>
      </c>
      <c r="AS50" s="62">
        <f t="shared" si="4"/>
        <v>0.23000000000000007</v>
      </c>
      <c r="AT50" s="65">
        <f>AT49+0.3%</f>
        <v>0.37300000000000016</v>
      </c>
      <c r="AU50" s="62">
        <f t="shared" si="5"/>
        <v>1.0000000000000004</v>
      </c>
      <c r="AV50" s="65">
        <v>1.0000000000000004</v>
      </c>
      <c r="AW50" s="62">
        <f t="shared" si="6"/>
        <v>0.52000000000000024</v>
      </c>
      <c r="AX50" s="65">
        <f t="shared" si="40"/>
        <v>0.63000000000000034</v>
      </c>
      <c r="AY50" s="62">
        <f t="shared" si="7"/>
        <v>0</v>
      </c>
      <c r="AZ50" s="65">
        <v>0</v>
      </c>
      <c r="BA50" s="62">
        <f t="shared" si="8"/>
        <v>0</v>
      </c>
      <c r="BB50" s="65">
        <v>0</v>
      </c>
      <c r="BC50" s="62">
        <f t="shared" si="9"/>
        <v>0</v>
      </c>
      <c r="BD50" s="64">
        <v>0</v>
      </c>
      <c r="BE50" s="66">
        <v>195</v>
      </c>
      <c r="BF50" s="63" t="s">
        <v>81</v>
      </c>
      <c r="BG50" s="60">
        <v>48</v>
      </c>
      <c r="BH50" s="63">
        <v>0.4</v>
      </c>
      <c r="BI50" s="63">
        <v>0.6</v>
      </c>
      <c r="BJ50" s="63">
        <v>0.55000000000000004</v>
      </c>
      <c r="BK50" s="65">
        <v>0.45</v>
      </c>
      <c r="BL50" s="7"/>
      <c r="BM50" s="7"/>
      <c r="BN50" s="7"/>
      <c r="BO50" s="7"/>
      <c r="BP50" s="7"/>
      <c r="BQ50" s="7"/>
    </row>
    <row r="51" spans="1:69" ht="19.8" thickBot="1" x14ac:dyDescent="0.35">
      <c r="A51" s="16">
        <v>49</v>
      </c>
      <c r="B51" s="52">
        <v>44265</v>
      </c>
      <c r="C51" s="53" t="str">
        <f t="shared" si="10"/>
        <v>1399/12/20</v>
      </c>
      <c r="D51" s="54">
        <v>0.39000000000000018</v>
      </c>
      <c r="E51" s="54">
        <v>0.28727700000000023</v>
      </c>
      <c r="F51" s="11" t="e">
        <f t="shared" si="11"/>
        <v>#N/A</v>
      </c>
      <c r="G51" s="38" t="str">
        <f t="shared" si="12"/>
        <v>تاریخ: 1399/12/20
درصد پیشرفت برنامه ای: 39%
درصد پیشرفت واقعی: 28.73%</v>
      </c>
      <c r="H51" s="55">
        <v>1</v>
      </c>
      <c r="I51" s="56">
        <v>0.23000000000000007</v>
      </c>
      <c r="J51" s="56">
        <v>1.0000000000000004</v>
      </c>
      <c r="K51" s="56">
        <f t="shared" si="36"/>
        <v>0.55200000000000027</v>
      </c>
      <c r="L51" s="56">
        <v>0</v>
      </c>
      <c r="M51" s="56">
        <v>0</v>
      </c>
      <c r="N51" s="57">
        <v>0</v>
      </c>
      <c r="O51" s="16">
        <f t="shared" si="19"/>
        <v>4</v>
      </c>
      <c r="P51" s="17">
        <v>10</v>
      </c>
      <c r="Q51" s="17">
        <v>9</v>
      </c>
      <c r="R51" s="17">
        <v>8</v>
      </c>
      <c r="S51" s="17">
        <v>7</v>
      </c>
      <c r="T51" s="17">
        <v>5</v>
      </c>
      <c r="U51" s="58">
        <v>4</v>
      </c>
      <c r="V51" s="16">
        <f t="shared" si="13"/>
        <v>7</v>
      </c>
      <c r="W51" s="17">
        <f t="shared" si="14"/>
        <v>14</v>
      </c>
      <c r="X51" s="17">
        <f t="shared" si="0"/>
        <v>13</v>
      </c>
      <c r="Y51" s="17">
        <f t="shared" si="15"/>
        <v>9</v>
      </c>
      <c r="Z51" s="17">
        <f t="shared" si="1"/>
        <v>10</v>
      </c>
      <c r="AA51" s="17">
        <f t="shared" si="16"/>
        <v>6</v>
      </c>
      <c r="AB51" s="58">
        <f t="shared" si="17"/>
        <v>9</v>
      </c>
      <c r="AC51" s="67"/>
      <c r="AD51" s="67"/>
      <c r="AE51" s="67"/>
      <c r="AF51" s="16">
        <f t="shared" si="37"/>
        <v>199</v>
      </c>
      <c r="AG51" s="17" t="s">
        <v>82</v>
      </c>
      <c r="AH51" s="17">
        <v>49</v>
      </c>
      <c r="AI51" s="59">
        <v>1290190000000</v>
      </c>
      <c r="AJ51" s="60">
        <v>1285674000000</v>
      </c>
      <c r="AK51" s="61">
        <f t="shared" si="18"/>
        <v>4516000000</v>
      </c>
      <c r="AL51" s="62">
        <v>0.7</v>
      </c>
      <c r="AM51" s="63">
        <v>0.55000000000000004</v>
      </c>
      <c r="AN51" s="63">
        <v>0.1</v>
      </c>
      <c r="AO51" s="63">
        <v>0.4</v>
      </c>
      <c r="AP51" s="64">
        <v>0.9</v>
      </c>
      <c r="AQ51" s="62">
        <f t="shared" si="3"/>
        <v>1</v>
      </c>
      <c r="AR51" s="65">
        <v>1</v>
      </c>
      <c r="AS51" s="62">
        <f t="shared" si="4"/>
        <v>0.23000000000000007</v>
      </c>
      <c r="AT51" s="65">
        <f t="shared" ref="AT51:AT86" si="41">AT50+0.3%</f>
        <v>0.37600000000000017</v>
      </c>
      <c r="AU51" s="62">
        <f t="shared" si="5"/>
        <v>1.0000000000000004</v>
      </c>
      <c r="AV51" s="65">
        <v>1.0000000000000004</v>
      </c>
      <c r="AW51" s="62">
        <f t="shared" si="6"/>
        <v>0.55200000000000027</v>
      </c>
      <c r="AX51" s="65">
        <f>AX50+3.2%</f>
        <v>0.66200000000000037</v>
      </c>
      <c r="AY51" s="62">
        <f t="shared" si="7"/>
        <v>0</v>
      </c>
      <c r="AZ51" s="65">
        <v>0</v>
      </c>
      <c r="BA51" s="62">
        <f t="shared" si="8"/>
        <v>0</v>
      </c>
      <c r="BB51" s="65">
        <v>0</v>
      </c>
      <c r="BC51" s="62">
        <f t="shared" si="9"/>
        <v>0</v>
      </c>
      <c r="BD51" s="64">
        <v>0</v>
      </c>
      <c r="BE51" s="66">
        <v>199</v>
      </c>
      <c r="BF51" s="63" t="s">
        <v>82</v>
      </c>
      <c r="BG51" s="60">
        <v>49</v>
      </c>
      <c r="BH51" s="63">
        <v>0.55000000000000004</v>
      </c>
      <c r="BI51" s="63">
        <v>0.45</v>
      </c>
      <c r="BJ51" s="63">
        <v>0.6</v>
      </c>
      <c r="BK51" s="65">
        <v>0.77</v>
      </c>
      <c r="BL51" s="7"/>
      <c r="BM51" s="7"/>
      <c r="BN51" s="7"/>
      <c r="BO51" s="7"/>
      <c r="BP51" s="7"/>
      <c r="BQ51" s="7"/>
    </row>
    <row r="52" spans="1:69" ht="19.8" thickBot="1" x14ac:dyDescent="0.35">
      <c r="A52" s="16">
        <v>50</v>
      </c>
      <c r="B52" s="52">
        <v>44272</v>
      </c>
      <c r="C52" s="53" t="str">
        <f t="shared" si="10"/>
        <v>1399/12/27</v>
      </c>
      <c r="D52" s="54">
        <v>0.39400000000000018</v>
      </c>
      <c r="E52" s="54">
        <v>0.29248100000000021</v>
      </c>
      <c r="F52" s="11" t="e">
        <f t="shared" si="11"/>
        <v>#N/A</v>
      </c>
      <c r="G52" s="38" t="str">
        <f t="shared" si="12"/>
        <v>تاریخ: 1399/12/27
درصد پیشرفت برنامه ای: 39.4%
درصد پیشرفت واقعی: 29.25%</v>
      </c>
      <c r="H52" s="55">
        <v>1</v>
      </c>
      <c r="I52" s="56">
        <v>0.23000000000000007</v>
      </c>
      <c r="J52" s="56">
        <v>1.0000000000000004</v>
      </c>
      <c r="K52" s="56">
        <f t="shared" si="36"/>
        <v>0.5840000000000003</v>
      </c>
      <c r="L52" s="56">
        <v>0</v>
      </c>
      <c r="M52" s="56">
        <v>0</v>
      </c>
      <c r="N52" s="57">
        <v>0</v>
      </c>
      <c r="O52" s="16">
        <f t="shared" si="19"/>
        <v>4</v>
      </c>
      <c r="P52" s="17">
        <v>10</v>
      </c>
      <c r="Q52" s="17">
        <v>9</v>
      </c>
      <c r="R52" s="17">
        <v>10</v>
      </c>
      <c r="S52" s="17">
        <v>11</v>
      </c>
      <c r="T52" s="17">
        <v>10</v>
      </c>
      <c r="U52" s="58">
        <v>11</v>
      </c>
      <c r="V52" s="16">
        <f t="shared" si="13"/>
        <v>7</v>
      </c>
      <c r="W52" s="17">
        <f t="shared" si="14"/>
        <v>14</v>
      </c>
      <c r="X52" s="17">
        <f t="shared" si="0"/>
        <v>13</v>
      </c>
      <c r="Y52" s="17">
        <f t="shared" si="15"/>
        <v>11</v>
      </c>
      <c r="Z52" s="17">
        <f t="shared" si="1"/>
        <v>14</v>
      </c>
      <c r="AA52" s="17">
        <f t="shared" si="16"/>
        <v>11</v>
      </c>
      <c r="AB52" s="58">
        <f t="shared" si="17"/>
        <v>16</v>
      </c>
      <c r="AC52" s="67"/>
      <c r="AD52" s="67"/>
      <c r="AE52" s="67"/>
      <c r="AF52" s="16">
        <f t="shared" si="37"/>
        <v>203</v>
      </c>
      <c r="AG52" s="17" t="s">
        <v>83</v>
      </c>
      <c r="AH52" s="17">
        <v>50</v>
      </c>
      <c r="AI52" s="59">
        <v>1307305000000</v>
      </c>
      <c r="AJ52" s="60">
        <v>1302729000000</v>
      </c>
      <c r="AK52" s="61">
        <f t="shared" si="18"/>
        <v>4576000000</v>
      </c>
      <c r="AL52" s="62">
        <v>0.4</v>
      </c>
      <c r="AM52" s="63">
        <v>0.69</v>
      </c>
      <c r="AN52" s="63">
        <v>0.5</v>
      </c>
      <c r="AO52" s="63">
        <v>0.2</v>
      </c>
      <c r="AP52" s="64">
        <v>0.4</v>
      </c>
      <c r="AQ52" s="62">
        <f t="shared" si="3"/>
        <v>1</v>
      </c>
      <c r="AR52" s="65">
        <v>1</v>
      </c>
      <c r="AS52" s="62">
        <f t="shared" si="4"/>
        <v>0.23000000000000007</v>
      </c>
      <c r="AT52" s="65">
        <f t="shared" si="41"/>
        <v>0.37900000000000017</v>
      </c>
      <c r="AU52" s="62">
        <f t="shared" si="5"/>
        <v>1.0000000000000004</v>
      </c>
      <c r="AV52" s="65">
        <v>1.0000000000000004</v>
      </c>
      <c r="AW52" s="62">
        <f t="shared" si="6"/>
        <v>0.5840000000000003</v>
      </c>
      <c r="AX52" s="65">
        <f t="shared" ref="AX52:AX61" si="42">AX51+3.2%</f>
        <v>0.69400000000000039</v>
      </c>
      <c r="AY52" s="62">
        <f t="shared" si="7"/>
        <v>0</v>
      </c>
      <c r="AZ52" s="65">
        <v>0.03</v>
      </c>
      <c r="BA52" s="62">
        <f t="shared" si="8"/>
        <v>0</v>
      </c>
      <c r="BB52" s="65">
        <v>0</v>
      </c>
      <c r="BC52" s="62">
        <f t="shared" si="9"/>
        <v>0</v>
      </c>
      <c r="BD52" s="64">
        <v>0</v>
      </c>
      <c r="BE52" s="66">
        <v>203</v>
      </c>
      <c r="BF52" s="63" t="s">
        <v>83</v>
      </c>
      <c r="BG52" s="60">
        <v>50</v>
      </c>
      <c r="BH52" s="63">
        <v>0.6</v>
      </c>
      <c r="BI52" s="63">
        <v>0.77</v>
      </c>
      <c r="BJ52" s="63">
        <v>0.45</v>
      </c>
      <c r="BK52" s="65">
        <v>0.2</v>
      </c>
      <c r="BL52" s="7"/>
      <c r="BM52" s="7"/>
      <c r="BN52" s="7"/>
      <c r="BO52" s="7"/>
      <c r="BP52" s="7"/>
      <c r="BQ52" s="7"/>
    </row>
    <row r="53" spans="1:69" ht="19.8" thickBot="1" x14ac:dyDescent="0.35">
      <c r="A53" s="16">
        <v>51</v>
      </c>
      <c r="B53" s="52">
        <v>44279</v>
      </c>
      <c r="C53" s="53" t="str">
        <f t="shared" si="10"/>
        <v>1400/01/04</v>
      </c>
      <c r="D53" s="54">
        <v>0.39800000000000019</v>
      </c>
      <c r="E53" s="54">
        <v>0.2976850000000002</v>
      </c>
      <c r="F53" s="11" t="e">
        <f t="shared" si="11"/>
        <v>#N/A</v>
      </c>
      <c r="G53" s="38" t="str">
        <f t="shared" si="12"/>
        <v>تاریخ: 1400/01/04
درصد پیشرفت برنامه ای: 39.8%
درصد پیشرفت واقعی: 29.77%</v>
      </c>
      <c r="H53" s="55">
        <v>1</v>
      </c>
      <c r="I53" s="56">
        <v>0.23000000000000007</v>
      </c>
      <c r="J53" s="56">
        <v>1.0000000000000004</v>
      </c>
      <c r="K53" s="56">
        <f t="shared" si="36"/>
        <v>0.61600000000000033</v>
      </c>
      <c r="L53" s="56">
        <v>0</v>
      </c>
      <c r="M53" s="56">
        <v>0</v>
      </c>
      <c r="N53" s="57">
        <v>0</v>
      </c>
      <c r="O53" s="16">
        <f t="shared" si="19"/>
        <v>11</v>
      </c>
      <c r="P53" s="17">
        <v>12</v>
      </c>
      <c r="Q53" s="17">
        <v>11</v>
      </c>
      <c r="R53" s="17">
        <v>13</v>
      </c>
      <c r="S53" s="17">
        <v>11</v>
      </c>
      <c r="T53" s="17">
        <v>12</v>
      </c>
      <c r="U53" s="58">
        <v>13</v>
      </c>
      <c r="V53" s="16">
        <f t="shared" si="13"/>
        <v>14</v>
      </c>
      <c r="W53" s="17">
        <f t="shared" si="14"/>
        <v>16</v>
      </c>
      <c r="X53" s="17">
        <f t="shared" si="0"/>
        <v>15</v>
      </c>
      <c r="Y53" s="17">
        <f t="shared" si="15"/>
        <v>14</v>
      </c>
      <c r="Z53" s="17">
        <f t="shared" si="1"/>
        <v>14</v>
      </c>
      <c r="AA53" s="17">
        <f t="shared" si="16"/>
        <v>13</v>
      </c>
      <c r="AB53" s="58">
        <f t="shared" si="17"/>
        <v>18</v>
      </c>
      <c r="AC53" s="67"/>
      <c r="AD53" s="67"/>
      <c r="AE53" s="67"/>
      <c r="AF53" s="16">
        <f t="shared" si="37"/>
        <v>207</v>
      </c>
      <c r="AG53" s="17" t="s">
        <v>84</v>
      </c>
      <c r="AH53" s="17">
        <v>51</v>
      </c>
      <c r="AI53" s="59">
        <v>1324647000000</v>
      </c>
      <c r="AJ53" s="60">
        <v>1320011000000</v>
      </c>
      <c r="AK53" s="61">
        <f t="shared" si="18"/>
        <v>4636000000</v>
      </c>
      <c r="AL53" s="62">
        <v>0.35</v>
      </c>
      <c r="AM53" s="63">
        <v>0.4</v>
      </c>
      <c r="AN53" s="63">
        <v>0.9</v>
      </c>
      <c r="AO53" s="63">
        <v>0.8</v>
      </c>
      <c r="AP53" s="64">
        <v>0.2</v>
      </c>
      <c r="AQ53" s="62">
        <f t="shared" si="3"/>
        <v>1</v>
      </c>
      <c r="AR53" s="65">
        <v>1</v>
      </c>
      <c r="AS53" s="62">
        <f t="shared" si="4"/>
        <v>0.23000000000000007</v>
      </c>
      <c r="AT53" s="65">
        <f t="shared" si="41"/>
        <v>0.38200000000000017</v>
      </c>
      <c r="AU53" s="62">
        <f t="shared" si="5"/>
        <v>1.0000000000000004</v>
      </c>
      <c r="AV53" s="65">
        <v>1.0000000000000004</v>
      </c>
      <c r="AW53" s="62">
        <f t="shared" si="6"/>
        <v>0.61600000000000033</v>
      </c>
      <c r="AX53" s="65">
        <f t="shared" si="42"/>
        <v>0.72600000000000042</v>
      </c>
      <c r="AY53" s="62">
        <f t="shared" si="7"/>
        <v>0</v>
      </c>
      <c r="AZ53" s="65">
        <v>0.05</v>
      </c>
      <c r="BA53" s="62">
        <f t="shared" si="8"/>
        <v>0</v>
      </c>
      <c r="BB53" s="65">
        <v>0</v>
      </c>
      <c r="BC53" s="62">
        <f t="shared" si="9"/>
        <v>0</v>
      </c>
      <c r="BD53" s="64">
        <v>0</v>
      </c>
      <c r="BE53" s="66">
        <v>207</v>
      </c>
      <c r="BF53" s="63" t="s">
        <v>84</v>
      </c>
      <c r="BG53" s="60">
        <v>51</v>
      </c>
      <c r="BH53" s="63">
        <v>0.45</v>
      </c>
      <c r="BI53" s="63">
        <v>0.4</v>
      </c>
      <c r="BJ53" s="63">
        <v>0.52</v>
      </c>
      <c r="BK53" s="65">
        <v>0.45</v>
      </c>
      <c r="BL53" s="7"/>
      <c r="BM53" s="7"/>
      <c r="BN53" s="7"/>
      <c r="BO53" s="7"/>
      <c r="BP53" s="7"/>
      <c r="BQ53" s="7"/>
    </row>
    <row r="54" spans="1:69" ht="19.8" thickBot="1" x14ac:dyDescent="0.35">
      <c r="A54" s="16">
        <v>52</v>
      </c>
      <c r="B54" s="52">
        <v>44286</v>
      </c>
      <c r="C54" s="53" t="str">
        <f t="shared" si="10"/>
        <v>1400/01/11</v>
      </c>
      <c r="D54" s="54">
        <v>0.40200000000000019</v>
      </c>
      <c r="E54" s="54">
        <v>0.30288900000000019</v>
      </c>
      <c r="F54" s="11" t="e">
        <f t="shared" si="11"/>
        <v>#N/A</v>
      </c>
      <c r="G54" s="38" t="str">
        <f t="shared" si="12"/>
        <v>تاریخ: 1400/01/11
درصد پیشرفت برنامه ای: 40.2%
درصد پیشرفت واقعی: 30.29%</v>
      </c>
      <c r="H54" s="55">
        <v>1</v>
      </c>
      <c r="I54" s="56">
        <v>0.23000000000000007</v>
      </c>
      <c r="J54" s="56">
        <v>1.0000000000000004</v>
      </c>
      <c r="K54" s="56">
        <f t="shared" si="36"/>
        <v>0.64800000000000035</v>
      </c>
      <c r="L54" s="56">
        <v>0</v>
      </c>
      <c r="M54" s="56">
        <v>0</v>
      </c>
      <c r="N54" s="57">
        <v>0</v>
      </c>
      <c r="O54" s="16">
        <f t="shared" si="19"/>
        <v>13</v>
      </c>
      <c r="P54" s="17">
        <v>16</v>
      </c>
      <c r="Q54" s="17">
        <v>18</v>
      </c>
      <c r="R54" s="17">
        <v>18</v>
      </c>
      <c r="S54" s="17">
        <v>15</v>
      </c>
      <c r="T54" s="17">
        <v>15</v>
      </c>
      <c r="U54" s="58">
        <v>14</v>
      </c>
      <c r="V54" s="16">
        <f t="shared" si="13"/>
        <v>16</v>
      </c>
      <c r="W54" s="17">
        <f t="shared" si="14"/>
        <v>20</v>
      </c>
      <c r="X54" s="17">
        <f t="shared" si="0"/>
        <v>22</v>
      </c>
      <c r="Y54" s="17">
        <f t="shared" si="15"/>
        <v>19</v>
      </c>
      <c r="Z54" s="17">
        <f t="shared" si="1"/>
        <v>18</v>
      </c>
      <c r="AA54" s="17">
        <f t="shared" si="16"/>
        <v>16</v>
      </c>
      <c r="AB54" s="58">
        <f t="shared" si="17"/>
        <v>19</v>
      </c>
      <c r="AC54" s="67"/>
      <c r="AD54" s="67"/>
      <c r="AE54" s="67"/>
      <c r="AF54" s="16">
        <f t="shared" si="37"/>
        <v>211</v>
      </c>
      <c r="AG54" s="17" t="s">
        <v>85</v>
      </c>
      <c r="AH54" s="17">
        <v>52</v>
      </c>
      <c r="AI54" s="59">
        <v>1342219000000</v>
      </c>
      <c r="AJ54" s="60">
        <v>1337521000000</v>
      </c>
      <c r="AK54" s="61">
        <f t="shared" si="18"/>
        <v>4698000000</v>
      </c>
      <c r="AL54" s="62">
        <v>0.85</v>
      </c>
      <c r="AM54" s="63">
        <v>0.8</v>
      </c>
      <c r="AN54" s="63">
        <v>0.5</v>
      </c>
      <c r="AO54" s="63">
        <v>0.6</v>
      </c>
      <c r="AP54" s="64">
        <v>0.6</v>
      </c>
      <c r="AQ54" s="62">
        <f t="shared" si="3"/>
        <v>1</v>
      </c>
      <c r="AR54" s="65">
        <v>1</v>
      </c>
      <c r="AS54" s="62">
        <f t="shared" si="4"/>
        <v>0.23000000000000007</v>
      </c>
      <c r="AT54" s="65">
        <f t="shared" si="41"/>
        <v>0.38500000000000018</v>
      </c>
      <c r="AU54" s="62">
        <f t="shared" si="5"/>
        <v>1.0000000000000004</v>
      </c>
      <c r="AV54" s="65">
        <v>1.0000000000000004</v>
      </c>
      <c r="AW54" s="62">
        <f t="shared" si="6"/>
        <v>0.64800000000000035</v>
      </c>
      <c r="AX54" s="65">
        <f t="shared" si="42"/>
        <v>0.75800000000000045</v>
      </c>
      <c r="AY54" s="62">
        <f t="shared" si="7"/>
        <v>0</v>
      </c>
      <c r="AZ54" s="65">
        <f>AZ53+3%</f>
        <v>0.08</v>
      </c>
      <c r="BA54" s="62">
        <f t="shared" si="8"/>
        <v>0</v>
      </c>
      <c r="BB54" s="65">
        <v>0</v>
      </c>
      <c r="BC54" s="62">
        <f t="shared" si="9"/>
        <v>0</v>
      </c>
      <c r="BD54" s="64">
        <v>0</v>
      </c>
      <c r="BE54" s="66">
        <v>211</v>
      </c>
      <c r="BF54" s="63" t="s">
        <v>85</v>
      </c>
      <c r="BG54" s="60">
        <v>52</v>
      </c>
      <c r="BH54" s="63">
        <v>0.77</v>
      </c>
      <c r="BI54" s="63">
        <v>0.55000000000000004</v>
      </c>
      <c r="BJ54" s="63">
        <v>0.62</v>
      </c>
      <c r="BK54" s="65">
        <v>0.52</v>
      </c>
      <c r="BL54" s="7"/>
      <c r="BM54" s="7"/>
      <c r="BN54" s="7"/>
      <c r="BO54" s="7"/>
      <c r="BP54" s="7"/>
      <c r="BQ54" s="7"/>
    </row>
    <row r="55" spans="1:69" ht="19.8" thickBot="1" x14ac:dyDescent="0.35">
      <c r="A55" s="16">
        <v>53</v>
      </c>
      <c r="B55" s="52">
        <v>44293</v>
      </c>
      <c r="C55" s="53" t="str">
        <f t="shared" si="10"/>
        <v>1400/01/18</v>
      </c>
      <c r="D55" s="54">
        <v>0.40600000000000019</v>
      </c>
      <c r="E55" s="54">
        <v>0.29409300000000016</v>
      </c>
      <c r="F55" s="11" t="e">
        <f t="shared" si="11"/>
        <v>#N/A</v>
      </c>
      <c r="G55" s="38" t="str">
        <f t="shared" si="12"/>
        <v>تاریخ: 1400/01/18
درصد پیشرفت برنامه ای: 40.6%
درصد پیشرفت واقعی: 29.41%</v>
      </c>
      <c r="H55" s="55">
        <v>1</v>
      </c>
      <c r="I55" s="56">
        <f t="shared" si="23"/>
        <v>0.24000000000000007</v>
      </c>
      <c r="J55" s="56">
        <v>1.0000000000000004</v>
      </c>
      <c r="K55" s="56">
        <f t="shared" si="36"/>
        <v>0.68000000000000038</v>
      </c>
      <c r="L55" s="56">
        <v>0</v>
      </c>
      <c r="M55" s="56">
        <v>0</v>
      </c>
      <c r="N55" s="57">
        <v>0</v>
      </c>
      <c r="O55" s="16">
        <f t="shared" si="19"/>
        <v>14</v>
      </c>
      <c r="P55" s="17">
        <v>15</v>
      </c>
      <c r="Q55" s="17">
        <v>15</v>
      </c>
      <c r="R55" s="17">
        <v>18</v>
      </c>
      <c r="S55" s="17">
        <v>17</v>
      </c>
      <c r="T55" s="17">
        <v>18</v>
      </c>
      <c r="U55" s="58">
        <v>19</v>
      </c>
      <c r="V55" s="16">
        <f t="shared" si="13"/>
        <v>17</v>
      </c>
      <c r="W55" s="17">
        <f t="shared" si="14"/>
        <v>19</v>
      </c>
      <c r="X55" s="17">
        <f t="shared" si="0"/>
        <v>19</v>
      </c>
      <c r="Y55" s="17">
        <f t="shared" si="15"/>
        <v>19</v>
      </c>
      <c r="Z55" s="17">
        <f t="shared" si="1"/>
        <v>20</v>
      </c>
      <c r="AA55" s="17">
        <f t="shared" si="16"/>
        <v>19</v>
      </c>
      <c r="AB55" s="58">
        <f t="shared" si="17"/>
        <v>24</v>
      </c>
      <c r="AC55" s="67"/>
      <c r="AD55" s="67"/>
      <c r="AE55" s="67"/>
      <c r="AF55" s="16">
        <f t="shared" si="37"/>
        <v>215</v>
      </c>
      <c r="AG55" s="17" t="s">
        <v>86</v>
      </c>
      <c r="AH55" s="17">
        <v>53</v>
      </c>
      <c r="AI55" s="59">
        <v>1355551000000</v>
      </c>
      <c r="AJ55" s="60">
        <v>1350807000000</v>
      </c>
      <c r="AK55" s="61">
        <f t="shared" si="18"/>
        <v>4744000000</v>
      </c>
      <c r="AL55" s="62">
        <v>0.9</v>
      </c>
      <c r="AM55" s="63">
        <v>0.95</v>
      </c>
      <c r="AN55" s="63">
        <v>0.8</v>
      </c>
      <c r="AO55" s="63">
        <v>0.7</v>
      </c>
      <c r="AP55" s="64">
        <v>0.1</v>
      </c>
      <c r="AQ55" s="62">
        <f t="shared" si="3"/>
        <v>1</v>
      </c>
      <c r="AR55" s="65">
        <v>1</v>
      </c>
      <c r="AS55" s="62">
        <f t="shared" si="4"/>
        <v>0.24000000000000007</v>
      </c>
      <c r="AT55" s="65">
        <f t="shared" si="41"/>
        <v>0.38800000000000018</v>
      </c>
      <c r="AU55" s="62">
        <f t="shared" si="5"/>
        <v>1.0000000000000004</v>
      </c>
      <c r="AV55" s="65">
        <v>1.0000000000000004</v>
      </c>
      <c r="AW55" s="62">
        <f t="shared" si="6"/>
        <v>0.68000000000000038</v>
      </c>
      <c r="AX55" s="65">
        <f t="shared" si="42"/>
        <v>0.79000000000000048</v>
      </c>
      <c r="AY55" s="62">
        <f t="shared" si="7"/>
        <v>0</v>
      </c>
      <c r="AZ55" s="65">
        <f t="shared" ref="AZ55:AZ84" si="43">AZ54+3%</f>
        <v>0.11</v>
      </c>
      <c r="BA55" s="62">
        <f t="shared" si="8"/>
        <v>0</v>
      </c>
      <c r="BB55" s="65">
        <v>0</v>
      </c>
      <c r="BC55" s="62">
        <f t="shared" si="9"/>
        <v>0</v>
      </c>
      <c r="BD55" s="64">
        <v>0</v>
      </c>
      <c r="BE55" s="66">
        <v>215</v>
      </c>
      <c r="BF55" s="63" t="s">
        <v>86</v>
      </c>
      <c r="BG55" s="60">
        <v>53</v>
      </c>
      <c r="BH55" s="63">
        <v>0.2</v>
      </c>
      <c r="BI55" s="63">
        <v>0.6</v>
      </c>
      <c r="BJ55" s="63">
        <v>0.4</v>
      </c>
      <c r="BK55" s="65">
        <v>0.62</v>
      </c>
      <c r="BL55" s="7"/>
      <c r="BM55" s="7"/>
      <c r="BN55" s="7"/>
      <c r="BO55" s="7"/>
      <c r="BP55" s="7"/>
      <c r="BQ55" s="7"/>
    </row>
    <row r="56" spans="1:69" ht="19.8" thickBot="1" x14ac:dyDescent="0.35">
      <c r="A56" s="16">
        <v>54</v>
      </c>
      <c r="B56" s="52">
        <v>44300</v>
      </c>
      <c r="C56" s="53" t="str">
        <f t="shared" si="10"/>
        <v>1400/01/25</v>
      </c>
      <c r="D56" s="54">
        <v>0.4100000000000002</v>
      </c>
      <c r="E56" s="54">
        <v>0.29409300000000016</v>
      </c>
      <c r="F56" s="11" t="e">
        <f t="shared" si="11"/>
        <v>#N/A</v>
      </c>
      <c r="G56" s="38" t="str">
        <f t="shared" si="12"/>
        <v>تاریخ: 1400/01/25
درصد پیشرفت برنامه ای: 41%
درصد پیشرفت واقعی: 29.41%</v>
      </c>
      <c r="H56" s="55">
        <v>1</v>
      </c>
      <c r="I56" s="56">
        <f t="shared" si="23"/>
        <v>0.25000000000000006</v>
      </c>
      <c r="J56" s="56">
        <v>1.0000000000000004</v>
      </c>
      <c r="K56" s="56">
        <f t="shared" si="36"/>
        <v>0.71200000000000041</v>
      </c>
      <c r="L56" s="56">
        <v>0</v>
      </c>
      <c r="M56" s="56">
        <v>0</v>
      </c>
      <c r="N56" s="57">
        <v>0</v>
      </c>
      <c r="O56" s="16">
        <f t="shared" si="19"/>
        <v>19</v>
      </c>
      <c r="P56" s="17">
        <v>19</v>
      </c>
      <c r="Q56" s="17">
        <v>17</v>
      </c>
      <c r="R56" s="17">
        <v>17</v>
      </c>
      <c r="S56" s="17">
        <v>19</v>
      </c>
      <c r="T56" s="17">
        <v>20</v>
      </c>
      <c r="U56" s="58">
        <v>21</v>
      </c>
      <c r="V56" s="16">
        <f t="shared" si="13"/>
        <v>22</v>
      </c>
      <c r="W56" s="17">
        <f t="shared" si="14"/>
        <v>23</v>
      </c>
      <c r="X56" s="17">
        <f t="shared" si="0"/>
        <v>21</v>
      </c>
      <c r="Y56" s="17">
        <f t="shared" si="15"/>
        <v>18</v>
      </c>
      <c r="Z56" s="17">
        <f t="shared" si="1"/>
        <v>22</v>
      </c>
      <c r="AA56" s="17">
        <f t="shared" si="16"/>
        <v>21</v>
      </c>
      <c r="AB56" s="58">
        <f t="shared" si="17"/>
        <v>26</v>
      </c>
      <c r="AC56" s="67"/>
      <c r="AD56" s="67"/>
      <c r="AE56" s="67"/>
      <c r="AF56" s="16">
        <f t="shared" si="37"/>
        <v>219</v>
      </c>
      <c r="AG56" s="17" t="s">
        <v>87</v>
      </c>
      <c r="AH56" s="17">
        <v>54</v>
      </c>
      <c r="AI56" s="59">
        <v>1355551000000</v>
      </c>
      <c r="AJ56" s="60">
        <v>1350807000000</v>
      </c>
      <c r="AK56" s="61">
        <f t="shared" si="18"/>
        <v>4744000000</v>
      </c>
      <c r="AL56" s="62">
        <v>0.7</v>
      </c>
      <c r="AM56" s="63">
        <v>0.68</v>
      </c>
      <c r="AN56" s="63">
        <v>0.5</v>
      </c>
      <c r="AO56" s="63">
        <v>0.9</v>
      </c>
      <c r="AP56" s="64">
        <v>0.55000000000000004</v>
      </c>
      <c r="AQ56" s="62">
        <f t="shared" si="3"/>
        <v>1</v>
      </c>
      <c r="AR56" s="65">
        <v>1</v>
      </c>
      <c r="AS56" s="62">
        <f t="shared" si="4"/>
        <v>0.25000000000000006</v>
      </c>
      <c r="AT56" s="65">
        <f t="shared" si="41"/>
        <v>0.39100000000000018</v>
      </c>
      <c r="AU56" s="62">
        <f t="shared" si="5"/>
        <v>1.0000000000000004</v>
      </c>
      <c r="AV56" s="65">
        <v>1.0000000000000004</v>
      </c>
      <c r="AW56" s="62">
        <f t="shared" si="6"/>
        <v>0.71200000000000041</v>
      </c>
      <c r="AX56" s="65">
        <f t="shared" si="42"/>
        <v>0.82200000000000051</v>
      </c>
      <c r="AY56" s="62">
        <f t="shared" si="7"/>
        <v>0</v>
      </c>
      <c r="AZ56" s="65">
        <f t="shared" si="43"/>
        <v>0.14000000000000001</v>
      </c>
      <c r="BA56" s="62">
        <f t="shared" si="8"/>
        <v>0</v>
      </c>
      <c r="BB56" s="65">
        <v>0</v>
      </c>
      <c r="BC56" s="62">
        <f t="shared" si="9"/>
        <v>0</v>
      </c>
      <c r="BD56" s="64">
        <v>0</v>
      </c>
      <c r="BE56" s="66">
        <v>219</v>
      </c>
      <c r="BF56" s="63" t="s">
        <v>87</v>
      </c>
      <c r="BG56" s="60">
        <v>54</v>
      </c>
      <c r="BH56" s="63">
        <v>0.45</v>
      </c>
      <c r="BI56" s="63">
        <v>0.45</v>
      </c>
      <c r="BJ56" s="63">
        <v>0.55000000000000004</v>
      </c>
      <c r="BK56" s="65">
        <v>0.64</v>
      </c>
      <c r="BL56" s="7"/>
      <c r="BM56" s="7"/>
      <c r="BN56" s="7"/>
      <c r="BO56" s="7"/>
      <c r="BP56" s="7"/>
      <c r="BQ56" s="7"/>
    </row>
    <row r="57" spans="1:69" ht="19.8" thickBot="1" x14ac:dyDescent="0.35">
      <c r="A57" s="16">
        <v>55</v>
      </c>
      <c r="B57" s="52">
        <v>44307</v>
      </c>
      <c r="C57" s="53" t="str">
        <f t="shared" si="10"/>
        <v>1400/02/01</v>
      </c>
      <c r="D57" s="54">
        <v>0.4180000000000002</v>
      </c>
      <c r="E57" s="54">
        <v>0.29409300000000016</v>
      </c>
      <c r="F57" s="11" t="e">
        <f t="shared" si="11"/>
        <v>#N/A</v>
      </c>
      <c r="G57" s="38" t="str">
        <f t="shared" si="12"/>
        <v>تاریخ: 1400/02/01
درصد پیشرفت برنامه ای: 41.8%
درصد پیشرفت واقعی: 29.41%</v>
      </c>
      <c r="H57" s="55">
        <v>1</v>
      </c>
      <c r="I57" s="56">
        <f t="shared" si="23"/>
        <v>0.26000000000000006</v>
      </c>
      <c r="J57" s="56">
        <v>1.0000000000000004</v>
      </c>
      <c r="K57" s="56">
        <f t="shared" si="36"/>
        <v>0.74400000000000044</v>
      </c>
      <c r="L57" s="56">
        <v>0</v>
      </c>
      <c r="M57" s="56">
        <v>0</v>
      </c>
      <c r="N57" s="57">
        <v>0</v>
      </c>
      <c r="O57" s="16">
        <f t="shared" si="19"/>
        <v>21</v>
      </c>
      <c r="P57" s="17">
        <v>22</v>
      </c>
      <c r="Q57" s="17">
        <v>22</v>
      </c>
      <c r="R57" s="17">
        <v>23</v>
      </c>
      <c r="S57" s="17">
        <v>21</v>
      </c>
      <c r="T57" s="17">
        <v>22</v>
      </c>
      <c r="U57" s="58">
        <v>24</v>
      </c>
      <c r="V57" s="16">
        <f t="shared" si="13"/>
        <v>24</v>
      </c>
      <c r="W57" s="17">
        <f t="shared" si="14"/>
        <v>26</v>
      </c>
      <c r="X57" s="17">
        <f t="shared" si="0"/>
        <v>26</v>
      </c>
      <c r="Y57" s="17">
        <f t="shared" si="15"/>
        <v>24</v>
      </c>
      <c r="Z57" s="17">
        <f t="shared" si="1"/>
        <v>24</v>
      </c>
      <c r="AA57" s="17">
        <f t="shared" si="16"/>
        <v>23</v>
      </c>
      <c r="AB57" s="58">
        <f t="shared" si="17"/>
        <v>29</v>
      </c>
      <c r="AC57" s="67"/>
      <c r="AD57" s="67"/>
      <c r="AE57" s="67"/>
      <c r="AF57" s="16">
        <f t="shared" si="37"/>
        <v>223</v>
      </c>
      <c r="AG57" s="17" t="s">
        <v>88</v>
      </c>
      <c r="AH57" s="17">
        <v>55</v>
      </c>
      <c r="AI57" s="59">
        <v>1369015000000</v>
      </c>
      <c r="AJ57" s="60">
        <v>1364223000000</v>
      </c>
      <c r="AK57" s="61">
        <f t="shared" si="18"/>
        <v>4792000000</v>
      </c>
      <c r="AL57" s="62">
        <v>0.6</v>
      </c>
      <c r="AM57" s="63">
        <v>0.5</v>
      </c>
      <c r="AN57" s="63">
        <v>0.66</v>
      </c>
      <c r="AO57" s="63">
        <v>0.5</v>
      </c>
      <c r="AP57" s="64">
        <v>0.9</v>
      </c>
      <c r="AQ57" s="62">
        <f t="shared" si="3"/>
        <v>1</v>
      </c>
      <c r="AR57" s="65">
        <v>1</v>
      </c>
      <c r="AS57" s="62">
        <f t="shared" si="4"/>
        <v>0.26000000000000006</v>
      </c>
      <c r="AT57" s="65">
        <f t="shared" si="41"/>
        <v>0.39400000000000018</v>
      </c>
      <c r="AU57" s="62">
        <f t="shared" si="5"/>
        <v>1.0000000000000004</v>
      </c>
      <c r="AV57" s="65">
        <v>1.0000000000000004</v>
      </c>
      <c r="AW57" s="62">
        <f t="shared" si="6"/>
        <v>0.74400000000000044</v>
      </c>
      <c r="AX57" s="65">
        <f t="shared" si="42"/>
        <v>0.85400000000000054</v>
      </c>
      <c r="AY57" s="62">
        <f t="shared" si="7"/>
        <v>0</v>
      </c>
      <c r="AZ57" s="65">
        <f t="shared" si="43"/>
        <v>0.17</v>
      </c>
      <c r="BA57" s="62">
        <f t="shared" si="8"/>
        <v>0</v>
      </c>
      <c r="BB57" s="65">
        <v>0</v>
      </c>
      <c r="BC57" s="62">
        <f t="shared" si="9"/>
        <v>0</v>
      </c>
      <c r="BD57" s="64">
        <v>0</v>
      </c>
      <c r="BE57" s="66">
        <v>223</v>
      </c>
      <c r="BF57" s="63" t="s">
        <v>88</v>
      </c>
      <c r="BG57" s="60">
        <v>55</v>
      </c>
      <c r="BH57" s="63">
        <v>0.52</v>
      </c>
      <c r="BI57" s="63">
        <v>0.52</v>
      </c>
      <c r="BJ57" s="63">
        <v>0.6</v>
      </c>
      <c r="BK57" s="65">
        <v>0.65</v>
      </c>
      <c r="BL57" s="7"/>
      <c r="BM57" s="7"/>
      <c r="BN57" s="7"/>
      <c r="BO57" s="7"/>
      <c r="BP57" s="7"/>
      <c r="BQ57" s="7"/>
    </row>
    <row r="58" spans="1:69" ht="19.8" thickBot="1" x14ac:dyDescent="0.35">
      <c r="A58" s="16">
        <v>56</v>
      </c>
      <c r="B58" s="52">
        <v>44314</v>
      </c>
      <c r="C58" s="53" t="str">
        <f t="shared" si="10"/>
        <v>1400/02/08</v>
      </c>
      <c r="D58" s="54">
        <v>0.42600000000000021</v>
      </c>
      <c r="E58" s="54">
        <v>0.29409300000000016</v>
      </c>
      <c r="F58" s="11" t="e">
        <f t="shared" si="11"/>
        <v>#N/A</v>
      </c>
      <c r="G58" s="38" t="str">
        <f t="shared" si="12"/>
        <v>تاریخ: 1400/02/08
درصد پیشرفت برنامه ای: 42.6%
درصد پیشرفت واقعی: 29.41%</v>
      </c>
      <c r="H58" s="55">
        <v>1</v>
      </c>
      <c r="I58" s="56">
        <f t="shared" si="23"/>
        <v>0.27000000000000007</v>
      </c>
      <c r="J58" s="56">
        <v>1.0000000000000004</v>
      </c>
      <c r="K58" s="56">
        <f t="shared" si="36"/>
        <v>0.77600000000000047</v>
      </c>
      <c r="L58" s="56">
        <f>K34</f>
        <v>0.03</v>
      </c>
      <c r="M58" s="56">
        <v>0</v>
      </c>
      <c r="N58" s="57">
        <v>0</v>
      </c>
      <c r="O58" s="16">
        <f t="shared" si="19"/>
        <v>24</v>
      </c>
      <c r="P58" s="17">
        <v>23</v>
      </c>
      <c r="Q58" s="17">
        <v>24</v>
      </c>
      <c r="R58" s="17">
        <v>23</v>
      </c>
      <c r="S58" s="17">
        <v>25</v>
      </c>
      <c r="T58" s="17">
        <v>25</v>
      </c>
      <c r="U58" s="58">
        <v>26</v>
      </c>
      <c r="V58" s="16">
        <f t="shared" si="13"/>
        <v>27</v>
      </c>
      <c r="W58" s="17">
        <f t="shared" si="14"/>
        <v>27</v>
      </c>
      <c r="X58" s="17">
        <f t="shared" si="0"/>
        <v>28</v>
      </c>
      <c r="Y58" s="17">
        <f t="shared" si="15"/>
        <v>24</v>
      </c>
      <c r="Z58" s="17">
        <f t="shared" si="1"/>
        <v>28</v>
      </c>
      <c r="AA58" s="17">
        <f t="shared" si="16"/>
        <v>26</v>
      </c>
      <c r="AB58" s="58">
        <f t="shared" si="17"/>
        <v>31</v>
      </c>
      <c r="AC58" s="67"/>
      <c r="AD58" s="67"/>
      <c r="AE58" s="67"/>
      <c r="AF58" s="16">
        <f t="shared" si="37"/>
        <v>227</v>
      </c>
      <c r="AG58" s="17" t="s">
        <v>89</v>
      </c>
      <c r="AH58" s="17">
        <v>56</v>
      </c>
      <c r="AI58" s="59">
        <v>1387176000000</v>
      </c>
      <c r="AJ58" s="60">
        <v>1382321000000</v>
      </c>
      <c r="AK58" s="61">
        <f t="shared" si="18"/>
        <v>4855000000</v>
      </c>
      <c r="AL58" s="62">
        <v>0.55000000000000004</v>
      </c>
      <c r="AM58" s="63">
        <v>0.62</v>
      </c>
      <c r="AN58" s="63">
        <v>0.78</v>
      </c>
      <c r="AO58" s="63">
        <v>0.42</v>
      </c>
      <c r="AP58" s="64">
        <v>0.8</v>
      </c>
      <c r="AQ58" s="62">
        <f t="shared" si="3"/>
        <v>1</v>
      </c>
      <c r="AR58" s="65">
        <v>1</v>
      </c>
      <c r="AS58" s="62">
        <f t="shared" si="4"/>
        <v>0.27000000000000007</v>
      </c>
      <c r="AT58" s="65">
        <f t="shared" si="41"/>
        <v>0.39700000000000019</v>
      </c>
      <c r="AU58" s="62">
        <f t="shared" si="5"/>
        <v>1.0000000000000004</v>
      </c>
      <c r="AV58" s="65">
        <v>1.0000000000000004</v>
      </c>
      <c r="AW58" s="62">
        <f t="shared" si="6"/>
        <v>0.77600000000000047</v>
      </c>
      <c r="AX58" s="65">
        <f t="shared" si="42"/>
        <v>0.88600000000000056</v>
      </c>
      <c r="AY58" s="62">
        <f t="shared" si="7"/>
        <v>0.03</v>
      </c>
      <c r="AZ58" s="65">
        <f t="shared" si="43"/>
        <v>0.2</v>
      </c>
      <c r="BA58" s="62">
        <f t="shared" si="8"/>
        <v>0</v>
      </c>
      <c r="BB58" s="65">
        <v>0</v>
      </c>
      <c r="BC58" s="62">
        <f t="shared" si="9"/>
        <v>0</v>
      </c>
      <c r="BD58" s="64">
        <v>0</v>
      </c>
      <c r="BE58" s="66">
        <v>227</v>
      </c>
      <c r="BF58" s="63" t="s">
        <v>89</v>
      </c>
      <c r="BG58" s="60">
        <v>56</v>
      </c>
      <c r="BH58" s="63">
        <v>0.62</v>
      </c>
      <c r="BI58" s="63">
        <v>0.62</v>
      </c>
      <c r="BJ58" s="63">
        <v>0.45</v>
      </c>
      <c r="BK58" s="65">
        <v>0.62</v>
      </c>
      <c r="BL58" s="7"/>
      <c r="BM58" s="7"/>
      <c r="BN58" s="7"/>
      <c r="BO58" s="7"/>
      <c r="BP58" s="7"/>
      <c r="BQ58" s="7"/>
    </row>
    <row r="59" spans="1:69" ht="19.8" thickBot="1" x14ac:dyDescent="0.35">
      <c r="A59" s="16">
        <v>57</v>
      </c>
      <c r="B59" s="52">
        <v>44321</v>
      </c>
      <c r="C59" s="53" t="str">
        <f t="shared" si="10"/>
        <v>1400/02/15</v>
      </c>
      <c r="D59" s="54">
        <v>0.43400000000000022</v>
      </c>
      <c r="E59" s="54">
        <v>0.29409300000000016</v>
      </c>
      <c r="F59" s="11" t="e">
        <f t="shared" si="11"/>
        <v>#N/A</v>
      </c>
      <c r="G59" s="38" t="str">
        <f t="shared" si="12"/>
        <v>تاریخ: 1400/02/15
درصد پیشرفت برنامه ای: 43.4%
درصد پیشرفت واقعی: 29.41%</v>
      </c>
      <c r="H59" s="55">
        <v>1</v>
      </c>
      <c r="I59" s="56">
        <f t="shared" si="23"/>
        <v>0.28000000000000008</v>
      </c>
      <c r="J59" s="56">
        <v>1.0000000000000004</v>
      </c>
      <c r="K59" s="56">
        <f t="shared" si="36"/>
        <v>0.8080000000000005</v>
      </c>
      <c r="L59" s="56">
        <f t="shared" ref="L59:M122" si="44">K35</f>
        <v>0.04</v>
      </c>
      <c r="M59" s="56">
        <v>0</v>
      </c>
      <c r="N59" s="57">
        <v>0</v>
      </c>
      <c r="O59" s="16">
        <f t="shared" si="19"/>
        <v>26</v>
      </c>
      <c r="P59" s="17">
        <v>25</v>
      </c>
      <c r="Q59" s="17">
        <v>25</v>
      </c>
      <c r="R59" s="17">
        <v>26</v>
      </c>
      <c r="S59" s="17">
        <v>26</v>
      </c>
      <c r="T59" s="17">
        <v>25</v>
      </c>
      <c r="U59" s="58">
        <v>25</v>
      </c>
      <c r="V59" s="16">
        <f t="shared" si="13"/>
        <v>29</v>
      </c>
      <c r="W59" s="17">
        <f t="shared" si="14"/>
        <v>29</v>
      </c>
      <c r="X59" s="17">
        <f t="shared" si="0"/>
        <v>29</v>
      </c>
      <c r="Y59" s="17">
        <f t="shared" si="15"/>
        <v>27</v>
      </c>
      <c r="Z59" s="17">
        <f t="shared" si="1"/>
        <v>29</v>
      </c>
      <c r="AA59" s="17">
        <f t="shared" si="16"/>
        <v>26</v>
      </c>
      <c r="AB59" s="58">
        <f t="shared" si="17"/>
        <v>30</v>
      </c>
      <c r="AC59" s="67"/>
      <c r="AD59" s="67"/>
      <c r="AE59" s="67"/>
      <c r="AF59" s="16">
        <f t="shared" si="37"/>
        <v>231</v>
      </c>
      <c r="AG59" s="17" t="s">
        <v>90</v>
      </c>
      <c r="AH59" s="17">
        <v>57</v>
      </c>
      <c r="AI59" s="59">
        <v>1405577000000</v>
      </c>
      <c r="AJ59" s="60">
        <v>1400657000000</v>
      </c>
      <c r="AK59" s="61">
        <f t="shared" si="18"/>
        <v>4920000000</v>
      </c>
      <c r="AL59" s="62">
        <v>0.6</v>
      </c>
      <c r="AM59" s="63">
        <v>0.9</v>
      </c>
      <c r="AN59" s="63">
        <v>0.5</v>
      </c>
      <c r="AO59" s="63">
        <v>0.5</v>
      </c>
      <c r="AP59" s="64">
        <v>0.62</v>
      </c>
      <c r="AQ59" s="62">
        <f t="shared" si="3"/>
        <v>1</v>
      </c>
      <c r="AR59" s="65">
        <v>1</v>
      </c>
      <c r="AS59" s="62">
        <f t="shared" si="4"/>
        <v>0.28000000000000008</v>
      </c>
      <c r="AT59" s="65">
        <f t="shared" si="41"/>
        <v>0.40000000000000019</v>
      </c>
      <c r="AU59" s="62">
        <f t="shared" si="5"/>
        <v>1.0000000000000004</v>
      </c>
      <c r="AV59" s="65">
        <v>1.0000000000000004</v>
      </c>
      <c r="AW59" s="62">
        <f t="shared" si="6"/>
        <v>0.8080000000000005</v>
      </c>
      <c r="AX59" s="65">
        <f t="shared" si="42"/>
        <v>0.91800000000000059</v>
      </c>
      <c r="AY59" s="62">
        <f t="shared" si="7"/>
        <v>0.04</v>
      </c>
      <c r="AZ59" s="65">
        <f t="shared" si="43"/>
        <v>0.23</v>
      </c>
      <c r="BA59" s="62">
        <f t="shared" si="8"/>
        <v>0</v>
      </c>
      <c r="BB59" s="65">
        <v>0</v>
      </c>
      <c r="BC59" s="62">
        <f t="shared" si="9"/>
        <v>0</v>
      </c>
      <c r="BD59" s="64">
        <v>0</v>
      </c>
      <c r="BE59" s="66">
        <v>231</v>
      </c>
      <c r="BF59" s="63" t="s">
        <v>90</v>
      </c>
      <c r="BG59" s="60">
        <v>57</v>
      </c>
      <c r="BH59" s="63">
        <v>0.64</v>
      </c>
      <c r="BI59" s="63">
        <v>0.4</v>
      </c>
      <c r="BJ59" s="63">
        <v>0.77</v>
      </c>
      <c r="BK59" s="65">
        <v>0.4</v>
      </c>
      <c r="BL59" s="7"/>
      <c r="BM59" s="7"/>
      <c r="BN59" s="7"/>
      <c r="BO59" s="7"/>
      <c r="BP59" s="7"/>
      <c r="BQ59" s="7"/>
    </row>
    <row r="60" spans="1:69" ht="19.8" thickBot="1" x14ac:dyDescent="0.35">
      <c r="A60" s="16">
        <v>58</v>
      </c>
      <c r="B60" s="52">
        <v>44328</v>
      </c>
      <c r="C60" s="53" t="str">
        <f t="shared" si="10"/>
        <v>1400/02/22</v>
      </c>
      <c r="D60" s="54">
        <v>0.44200000000000023</v>
      </c>
      <c r="E60" s="54">
        <v>0.30450100000000019</v>
      </c>
      <c r="F60" s="11" t="e">
        <f t="shared" si="11"/>
        <v>#N/A</v>
      </c>
      <c r="G60" s="38" t="str">
        <f t="shared" si="12"/>
        <v>تاریخ: 1400/02/22
درصد پیشرفت برنامه ای: 44.2%
درصد پیشرفت واقعی: 30.45%</v>
      </c>
      <c r="H60" s="55">
        <v>1</v>
      </c>
      <c r="I60" s="56">
        <f t="shared" si="23"/>
        <v>0.29000000000000009</v>
      </c>
      <c r="J60" s="56">
        <v>1.0000000000000004</v>
      </c>
      <c r="K60" s="56">
        <f t="shared" si="36"/>
        <v>0.84000000000000052</v>
      </c>
      <c r="L60" s="56">
        <f t="shared" si="44"/>
        <v>7.2000000000000008E-2</v>
      </c>
      <c r="M60" s="56">
        <v>0</v>
      </c>
      <c r="N60" s="57">
        <v>0</v>
      </c>
      <c r="O60" s="16">
        <f t="shared" si="19"/>
        <v>25</v>
      </c>
      <c r="P60" s="17">
        <v>26</v>
      </c>
      <c r="Q60" s="17">
        <v>26</v>
      </c>
      <c r="R60" s="17">
        <v>27</v>
      </c>
      <c r="S60" s="17">
        <v>28</v>
      </c>
      <c r="T60" s="17">
        <v>29</v>
      </c>
      <c r="U60" s="58">
        <v>29</v>
      </c>
      <c r="V60" s="16">
        <f t="shared" si="13"/>
        <v>28</v>
      </c>
      <c r="W60" s="17">
        <f t="shared" si="14"/>
        <v>30</v>
      </c>
      <c r="X60" s="17">
        <f t="shared" si="0"/>
        <v>30</v>
      </c>
      <c r="Y60" s="17">
        <f t="shared" si="15"/>
        <v>28</v>
      </c>
      <c r="Z60" s="17">
        <f t="shared" si="1"/>
        <v>31</v>
      </c>
      <c r="AA60" s="17">
        <f t="shared" si="16"/>
        <v>30</v>
      </c>
      <c r="AB60" s="58">
        <f t="shared" si="17"/>
        <v>34</v>
      </c>
      <c r="AC60" s="67"/>
      <c r="AD60" s="67"/>
      <c r="AE60" s="67"/>
      <c r="AF60" s="16">
        <f t="shared" si="37"/>
        <v>235</v>
      </c>
      <c r="AG60" s="17" t="s">
        <v>91</v>
      </c>
      <c r="AH60" s="17">
        <v>58</v>
      </c>
      <c r="AI60" s="59">
        <v>1424223000000</v>
      </c>
      <c r="AJ60" s="60">
        <v>1419238000000</v>
      </c>
      <c r="AK60" s="61">
        <f t="shared" si="18"/>
        <v>4985000000</v>
      </c>
      <c r="AL60" s="62">
        <v>0.66</v>
      </c>
      <c r="AM60" s="63">
        <v>0.7</v>
      </c>
      <c r="AN60" s="63">
        <v>0.8</v>
      </c>
      <c r="AO60" s="63">
        <v>0.55000000000000004</v>
      </c>
      <c r="AP60" s="64">
        <v>0.5</v>
      </c>
      <c r="AQ60" s="62">
        <f t="shared" si="3"/>
        <v>1</v>
      </c>
      <c r="AR60" s="65">
        <v>1</v>
      </c>
      <c r="AS60" s="62">
        <f t="shared" si="4"/>
        <v>0.29000000000000009</v>
      </c>
      <c r="AT60" s="65">
        <f t="shared" si="41"/>
        <v>0.40300000000000019</v>
      </c>
      <c r="AU60" s="62">
        <f t="shared" si="5"/>
        <v>1.0000000000000004</v>
      </c>
      <c r="AV60" s="65">
        <v>1.0000000000000004</v>
      </c>
      <c r="AW60" s="62">
        <f t="shared" si="6"/>
        <v>0.84000000000000052</v>
      </c>
      <c r="AX60" s="65">
        <f t="shared" si="42"/>
        <v>0.95000000000000062</v>
      </c>
      <c r="AY60" s="62">
        <f t="shared" si="7"/>
        <v>7.2000000000000008E-2</v>
      </c>
      <c r="AZ60" s="65">
        <f t="shared" si="43"/>
        <v>0.26</v>
      </c>
      <c r="BA60" s="62">
        <f t="shared" si="8"/>
        <v>0</v>
      </c>
      <c r="BB60" s="65">
        <v>0</v>
      </c>
      <c r="BC60" s="62">
        <f t="shared" si="9"/>
        <v>0</v>
      </c>
      <c r="BD60" s="64">
        <v>0</v>
      </c>
      <c r="BE60" s="66">
        <v>235</v>
      </c>
      <c r="BF60" s="63" t="s">
        <v>91</v>
      </c>
      <c r="BG60" s="60">
        <v>58</v>
      </c>
      <c r="BH60" s="63">
        <v>0.65</v>
      </c>
      <c r="BI60" s="63">
        <v>0.55000000000000004</v>
      </c>
      <c r="BJ60" s="63">
        <v>0.4</v>
      </c>
      <c r="BK60" s="65">
        <v>0.55000000000000004</v>
      </c>
      <c r="BL60" s="7"/>
      <c r="BM60" s="7"/>
      <c r="BN60" s="7"/>
      <c r="BO60" s="7"/>
      <c r="BP60" s="7"/>
      <c r="BQ60" s="7"/>
    </row>
    <row r="61" spans="1:69" ht="19.8" thickBot="1" x14ac:dyDescent="0.35">
      <c r="A61" s="16">
        <v>59</v>
      </c>
      <c r="B61" s="52">
        <v>44335</v>
      </c>
      <c r="C61" s="53" t="str">
        <f t="shared" si="10"/>
        <v>1400/02/29</v>
      </c>
      <c r="D61" s="54">
        <v>0.45000000000000023</v>
      </c>
      <c r="E61" s="54">
        <v>0.31490900000000022</v>
      </c>
      <c r="F61" s="11" t="e">
        <f t="shared" si="11"/>
        <v>#N/A</v>
      </c>
      <c r="G61" s="38" t="str">
        <f t="shared" si="12"/>
        <v>تاریخ: 1400/02/29
درصد پیشرفت برنامه ای: 45%
درصد پیشرفت واقعی: 31.49%</v>
      </c>
      <c r="H61" s="55">
        <v>1</v>
      </c>
      <c r="I61" s="56">
        <f t="shared" si="23"/>
        <v>0.3000000000000001</v>
      </c>
      <c r="J61" s="56">
        <v>1.0000000000000004</v>
      </c>
      <c r="K61" s="56">
        <f t="shared" si="36"/>
        <v>0.87200000000000055</v>
      </c>
      <c r="L61" s="56">
        <f t="shared" si="44"/>
        <v>0.10400000000000001</v>
      </c>
      <c r="M61" s="56">
        <v>0</v>
      </c>
      <c r="N61" s="57">
        <v>0</v>
      </c>
      <c r="O61" s="16">
        <f t="shared" si="19"/>
        <v>29</v>
      </c>
      <c r="P61" s="17">
        <v>29</v>
      </c>
      <c r="Q61" s="17">
        <v>28</v>
      </c>
      <c r="R61" s="17">
        <v>29</v>
      </c>
      <c r="S61" s="17">
        <v>30</v>
      </c>
      <c r="T61" s="17">
        <v>31</v>
      </c>
      <c r="U61" s="58">
        <v>30</v>
      </c>
      <c r="V61" s="16">
        <f t="shared" si="13"/>
        <v>32</v>
      </c>
      <c r="W61" s="17">
        <f t="shared" si="14"/>
        <v>33</v>
      </c>
      <c r="X61" s="17">
        <f t="shared" si="0"/>
        <v>32</v>
      </c>
      <c r="Y61" s="17">
        <f t="shared" si="15"/>
        <v>30</v>
      </c>
      <c r="Z61" s="17">
        <f t="shared" si="1"/>
        <v>33</v>
      </c>
      <c r="AA61" s="17">
        <f t="shared" si="16"/>
        <v>32</v>
      </c>
      <c r="AB61" s="58">
        <f t="shared" si="17"/>
        <v>35</v>
      </c>
      <c r="AC61" s="67"/>
      <c r="AD61" s="67"/>
      <c r="AE61" s="67"/>
      <c r="AF61" s="16">
        <f t="shared" si="37"/>
        <v>239</v>
      </c>
      <c r="AG61" s="17" t="s">
        <v>92</v>
      </c>
      <c r="AH61" s="17">
        <v>59</v>
      </c>
      <c r="AI61" s="59">
        <v>1443116000000</v>
      </c>
      <c r="AJ61" s="60">
        <v>1438065000000</v>
      </c>
      <c r="AK61" s="61">
        <f t="shared" si="18"/>
        <v>5051000000</v>
      </c>
      <c r="AL61" s="62">
        <v>0.55000000000000004</v>
      </c>
      <c r="AM61" s="63">
        <v>0.4</v>
      </c>
      <c r="AN61" s="63">
        <v>0.4</v>
      </c>
      <c r="AO61" s="63">
        <v>0.9</v>
      </c>
      <c r="AP61" s="64">
        <v>0.8</v>
      </c>
      <c r="AQ61" s="62">
        <f t="shared" si="3"/>
        <v>1</v>
      </c>
      <c r="AR61" s="65">
        <v>1</v>
      </c>
      <c r="AS61" s="62">
        <f t="shared" si="4"/>
        <v>0.3000000000000001</v>
      </c>
      <c r="AT61" s="65">
        <f t="shared" si="41"/>
        <v>0.40600000000000019</v>
      </c>
      <c r="AU61" s="62">
        <f t="shared" si="5"/>
        <v>1.0000000000000004</v>
      </c>
      <c r="AV61" s="65">
        <v>1.0000000000000004</v>
      </c>
      <c r="AW61" s="62">
        <f t="shared" si="6"/>
        <v>0.87200000000000055</v>
      </c>
      <c r="AX61" s="65">
        <f t="shared" si="42"/>
        <v>0.98200000000000065</v>
      </c>
      <c r="AY61" s="62">
        <f t="shared" si="7"/>
        <v>0.10400000000000001</v>
      </c>
      <c r="AZ61" s="65">
        <f t="shared" si="43"/>
        <v>0.29000000000000004</v>
      </c>
      <c r="BA61" s="62">
        <f t="shared" si="8"/>
        <v>0</v>
      </c>
      <c r="BB61" s="65">
        <v>0</v>
      </c>
      <c r="BC61" s="62">
        <f t="shared" si="9"/>
        <v>0</v>
      </c>
      <c r="BD61" s="64">
        <v>0</v>
      </c>
      <c r="BE61" s="66">
        <v>239</v>
      </c>
      <c r="BF61" s="63" t="s">
        <v>92</v>
      </c>
      <c r="BG61" s="60">
        <v>59</v>
      </c>
      <c r="BH61" s="63">
        <v>0.62</v>
      </c>
      <c r="BI61" s="63">
        <v>0.6</v>
      </c>
      <c r="BJ61" s="63">
        <v>0.55000000000000004</v>
      </c>
      <c r="BK61" s="65">
        <v>0.6</v>
      </c>
      <c r="BL61" s="7"/>
      <c r="BM61" s="7"/>
      <c r="BN61" s="7"/>
      <c r="BO61" s="7"/>
      <c r="BP61" s="7"/>
      <c r="BQ61" s="7"/>
    </row>
    <row r="62" spans="1:69" ht="19.8" thickBot="1" x14ac:dyDescent="0.35">
      <c r="A62" s="16">
        <v>60</v>
      </c>
      <c r="B62" s="52">
        <v>44342</v>
      </c>
      <c r="C62" s="53" t="str">
        <f t="shared" si="10"/>
        <v>1400/03/05</v>
      </c>
      <c r="D62" s="54">
        <v>0.45800000000000024</v>
      </c>
      <c r="E62" s="54">
        <v>0.32531700000000024</v>
      </c>
      <c r="F62" s="11" t="e">
        <f t="shared" si="11"/>
        <v>#N/A</v>
      </c>
      <c r="G62" s="38" t="str">
        <f t="shared" si="12"/>
        <v>تاریخ: 1400/03/05
درصد پیشرفت برنامه ای: 45.8%
درصد پیشرفت واقعی: 32.53%</v>
      </c>
      <c r="H62" s="55">
        <v>1</v>
      </c>
      <c r="I62" s="56">
        <f t="shared" si="23"/>
        <v>0.31000000000000011</v>
      </c>
      <c r="J62" s="56">
        <v>1.0000000000000004</v>
      </c>
      <c r="K62" s="56">
        <f t="shared" si="36"/>
        <v>0.90400000000000058</v>
      </c>
      <c r="L62" s="56">
        <f t="shared" si="44"/>
        <v>0.13600000000000001</v>
      </c>
      <c r="M62" s="56">
        <v>0</v>
      </c>
      <c r="N62" s="57">
        <v>0</v>
      </c>
      <c r="O62" s="16">
        <f t="shared" si="19"/>
        <v>30</v>
      </c>
      <c r="P62" s="17">
        <v>25</v>
      </c>
      <c r="Q62" s="17">
        <v>25</v>
      </c>
      <c r="R62" s="17">
        <v>26</v>
      </c>
      <c r="S62" s="17">
        <v>26</v>
      </c>
      <c r="T62" s="17">
        <v>25</v>
      </c>
      <c r="U62" s="58">
        <v>25</v>
      </c>
      <c r="V62" s="16">
        <f t="shared" si="13"/>
        <v>33</v>
      </c>
      <c r="W62" s="17">
        <f t="shared" si="14"/>
        <v>29</v>
      </c>
      <c r="X62" s="17">
        <f t="shared" si="0"/>
        <v>29</v>
      </c>
      <c r="Y62" s="17">
        <f t="shared" si="15"/>
        <v>27</v>
      </c>
      <c r="Z62" s="17">
        <f t="shared" si="1"/>
        <v>29</v>
      </c>
      <c r="AA62" s="17">
        <f t="shared" si="16"/>
        <v>26</v>
      </c>
      <c r="AB62" s="58">
        <f t="shared" si="17"/>
        <v>30</v>
      </c>
      <c r="AC62" s="67"/>
      <c r="AD62" s="67"/>
      <c r="AE62" s="67"/>
      <c r="AF62" s="16">
        <f t="shared" si="37"/>
        <v>243</v>
      </c>
      <c r="AG62" s="17" t="s">
        <v>93</v>
      </c>
      <c r="AH62" s="17">
        <v>60</v>
      </c>
      <c r="AI62" s="59">
        <v>1462259000000</v>
      </c>
      <c r="AJ62" s="60">
        <v>1457141000000</v>
      </c>
      <c r="AK62" s="61">
        <f t="shared" si="18"/>
        <v>5118000000</v>
      </c>
      <c r="AL62" s="62">
        <v>0.7</v>
      </c>
      <c r="AM62" s="63">
        <v>0.55000000000000004</v>
      </c>
      <c r="AN62" s="63">
        <v>0.1</v>
      </c>
      <c r="AO62" s="63">
        <v>0.4</v>
      </c>
      <c r="AP62" s="64">
        <v>0.9</v>
      </c>
      <c r="AQ62" s="62">
        <f t="shared" si="3"/>
        <v>1</v>
      </c>
      <c r="AR62" s="65">
        <v>1</v>
      </c>
      <c r="AS62" s="62">
        <f t="shared" si="4"/>
        <v>0.31000000000000011</v>
      </c>
      <c r="AT62" s="65">
        <f t="shared" si="41"/>
        <v>0.4090000000000002</v>
      </c>
      <c r="AU62" s="62">
        <f t="shared" si="5"/>
        <v>1.0000000000000004</v>
      </c>
      <c r="AV62" s="65">
        <v>1.0000000000000004</v>
      </c>
      <c r="AW62" s="62">
        <f t="shared" si="6"/>
        <v>0.90400000000000058</v>
      </c>
      <c r="AX62" s="65">
        <v>1</v>
      </c>
      <c r="AY62" s="62">
        <f t="shared" si="7"/>
        <v>0.13600000000000001</v>
      </c>
      <c r="AZ62" s="65">
        <f t="shared" si="43"/>
        <v>0.32000000000000006</v>
      </c>
      <c r="BA62" s="62">
        <f t="shared" si="8"/>
        <v>0</v>
      </c>
      <c r="BB62" s="65">
        <v>0</v>
      </c>
      <c r="BC62" s="62">
        <f t="shared" si="9"/>
        <v>0</v>
      </c>
      <c r="BD62" s="64">
        <v>0</v>
      </c>
      <c r="BE62" s="66">
        <v>243</v>
      </c>
      <c r="BF62" s="63" t="s">
        <v>93</v>
      </c>
      <c r="BG62" s="60">
        <v>60</v>
      </c>
      <c r="BH62" s="63">
        <v>0.4</v>
      </c>
      <c r="BI62" s="63">
        <v>0.45</v>
      </c>
      <c r="BJ62" s="63">
        <v>0.6</v>
      </c>
      <c r="BK62" s="65">
        <v>0.45</v>
      </c>
      <c r="BL62" s="7"/>
      <c r="BM62" s="7"/>
      <c r="BN62" s="7"/>
      <c r="BO62" s="7"/>
      <c r="BP62" s="7"/>
      <c r="BQ62" s="7"/>
    </row>
    <row r="63" spans="1:69" ht="19.8" thickBot="1" x14ac:dyDescent="0.35">
      <c r="A63" s="16">
        <v>61</v>
      </c>
      <c r="B63" s="52">
        <v>44349</v>
      </c>
      <c r="C63" s="53" t="str">
        <f t="shared" si="10"/>
        <v>1400/03/12</v>
      </c>
      <c r="D63" s="54">
        <v>0.46600000000000025</v>
      </c>
      <c r="E63" s="54">
        <v>0.33572500000000027</v>
      </c>
      <c r="F63" s="11" t="e">
        <f t="shared" si="11"/>
        <v>#N/A</v>
      </c>
      <c r="G63" s="38" t="str">
        <f t="shared" si="12"/>
        <v>تاریخ: 1400/03/12
درصد پیشرفت برنامه ای: 46.6%
درصد پیشرفت واقعی: 33.57%</v>
      </c>
      <c r="H63" s="55">
        <v>1</v>
      </c>
      <c r="I63" s="56">
        <f t="shared" si="23"/>
        <v>0.32000000000000012</v>
      </c>
      <c r="J63" s="56">
        <v>1.0000000000000004</v>
      </c>
      <c r="K63" s="56">
        <f t="shared" si="36"/>
        <v>0.93600000000000061</v>
      </c>
      <c r="L63" s="56">
        <f t="shared" si="44"/>
        <v>0.16800000000000001</v>
      </c>
      <c r="M63" s="56">
        <v>0</v>
      </c>
      <c r="N63" s="57">
        <v>0</v>
      </c>
      <c r="O63" s="16">
        <f t="shared" si="19"/>
        <v>25</v>
      </c>
      <c r="P63" s="17">
        <v>26</v>
      </c>
      <c r="Q63" s="17">
        <v>26</v>
      </c>
      <c r="R63" s="17">
        <v>27</v>
      </c>
      <c r="S63" s="17">
        <v>28</v>
      </c>
      <c r="T63" s="17">
        <v>29</v>
      </c>
      <c r="U63" s="58">
        <v>29</v>
      </c>
      <c r="V63" s="16">
        <f t="shared" si="13"/>
        <v>28</v>
      </c>
      <c r="W63" s="17">
        <f t="shared" si="14"/>
        <v>30</v>
      </c>
      <c r="X63" s="17">
        <f t="shared" si="0"/>
        <v>30</v>
      </c>
      <c r="Y63" s="17">
        <f t="shared" si="15"/>
        <v>28</v>
      </c>
      <c r="Z63" s="17">
        <f t="shared" si="1"/>
        <v>31</v>
      </c>
      <c r="AA63" s="17">
        <f t="shared" si="16"/>
        <v>30</v>
      </c>
      <c r="AB63" s="58">
        <f t="shared" si="17"/>
        <v>34</v>
      </c>
      <c r="AC63" s="67"/>
      <c r="AD63" s="67"/>
      <c r="AE63" s="67"/>
      <c r="AF63" s="16">
        <f t="shared" si="37"/>
        <v>247</v>
      </c>
      <c r="AG63" s="17" t="s">
        <v>94</v>
      </c>
      <c r="AH63" s="17">
        <v>61</v>
      </c>
      <c r="AI63" s="59">
        <v>1481657000000</v>
      </c>
      <c r="AJ63" s="60">
        <v>1476471000000</v>
      </c>
      <c r="AK63" s="61">
        <f t="shared" si="18"/>
        <v>5186000000</v>
      </c>
      <c r="AL63" s="62">
        <v>0.4</v>
      </c>
      <c r="AM63" s="63">
        <v>0.69</v>
      </c>
      <c r="AN63" s="63">
        <v>0.5</v>
      </c>
      <c r="AO63" s="63">
        <v>0.2</v>
      </c>
      <c r="AP63" s="64">
        <v>0.4</v>
      </c>
      <c r="AQ63" s="62">
        <f t="shared" si="3"/>
        <v>1</v>
      </c>
      <c r="AR63" s="65">
        <v>1</v>
      </c>
      <c r="AS63" s="62">
        <f t="shared" si="4"/>
        <v>0.32000000000000012</v>
      </c>
      <c r="AT63" s="65">
        <f t="shared" si="41"/>
        <v>0.4120000000000002</v>
      </c>
      <c r="AU63" s="62">
        <f t="shared" si="5"/>
        <v>1.0000000000000004</v>
      </c>
      <c r="AV63" s="65">
        <v>1.0000000000000004</v>
      </c>
      <c r="AW63" s="62">
        <f t="shared" si="6"/>
        <v>0.93600000000000061</v>
      </c>
      <c r="AX63" s="65">
        <v>1</v>
      </c>
      <c r="AY63" s="62">
        <f t="shared" si="7"/>
        <v>0.16800000000000001</v>
      </c>
      <c r="AZ63" s="65">
        <f t="shared" si="43"/>
        <v>0.35000000000000009</v>
      </c>
      <c r="BA63" s="62">
        <f t="shared" si="8"/>
        <v>0</v>
      </c>
      <c r="BB63" s="65">
        <v>0</v>
      </c>
      <c r="BC63" s="62">
        <f t="shared" si="9"/>
        <v>0</v>
      </c>
      <c r="BD63" s="64">
        <v>0</v>
      </c>
      <c r="BE63" s="66">
        <v>247</v>
      </c>
      <c r="BF63" s="63" t="s">
        <v>94</v>
      </c>
      <c r="BG63" s="60">
        <v>61</v>
      </c>
      <c r="BH63" s="63">
        <v>0.55000000000000004</v>
      </c>
      <c r="BI63" s="63">
        <v>0.77</v>
      </c>
      <c r="BJ63" s="63">
        <v>0.45</v>
      </c>
      <c r="BK63" s="65">
        <v>0.77</v>
      </c>
      <c r="BL63" s="7"/>
      <c r="BM63" s="7"/>
      <c r="BN63" s="7"/>
      <c r="BO63" s="7"/>
      <c r="BP63" s="7"/>
      <c r="BQ63" s="7"/>
    </row>
    <row r="64" spans="1:69" ht="19.8" thickBot="1" x14ac:dyDescent="0.35">
      <c r="A64" s="16">
        <v>62</v>
      </c>
      <c r="B64" s="52">
        <v>44356</v>
      </c>
      <c r="C64" s="53" t="str">
        <f t="shared" si="10"/>
        <v>1400/03/19</v>
      </c>
      <c r="D64" s="54">
        <v>0.47770000000000024</v>
      </c>
      <c r="E64" s="54">
        <v>0.35094670000000028</v>
      </c>
      <c r="F64" s="11" t="e">
        <f t="shared" si="11"/>
        <v>#N/A</v>
      </c>
      <c r="G64" s="38" t="str">
        <f t="shared" si="12"/>
        <v>تاریخ: 1400/03/19
درصد پیشرفت برنامه ای: 47.77%
درصد پیشرفت واقعی: 35.09%</v>
      </c>
      <c r="H64" s="55">
        <v>1</v>
      </c>
      <c r="I64" s="56">
        <f t="shared" si="23"/>
        <v>0.33000000000000013</v>
      </c>
      <c r="J64" s="56">
        <v>1.0000000000000004</v>
      </c>
      <c r="K64" s="56">
        <f t="shared" si="36"/>
        <v>0.96800000000000064</v>
      </c>
      <c r="L64" s="56">
        <f t="shared" si="44"/>
        <v>0.2</v>
      </c>
      <c r="M64" s="56">
        <v>0</v>
      </c>
      <c r="N64" s="57">
        <v>0</v>
      </c>
      <c r="O64" s="16">
        <f t="shared" si="19"/>
        <v>29</v>
      </c>
      <c r="P64" s="17">
        <v>29</v>
      </c>
      <c r="Q64" s="17">
        <v>28</v>
      </c>
      <c r="R64" s="17">
        <v>29</v>
      </c>
      <c r="S64" s="17">
        <v>30</v>
      </c>
      <c r="T64" s="17">
        <v>31</v>
      </c>
      <c r="U64" s="58">
        <v>30</v>
      </c>
      <c r="V64" s="16">
        <f t="shared" si="13"/>
        <v>32</v>
      </c>
      <c r="W64" s="17">
        <f t="shared" si="14"/>
        <v>33</v>
      </c>
      <c r="X64" s="17">
        <f t="shared" si="0"/>
        <v>32</v>
      </c>
      <c r="Y64" s="17">
        <f t="shared" si="15"/>
        <v>30</v>
      </c>
      <c r="Z64" s="17">
        <f t="shared" si="1"/>
        <v>33</v>
      </c>
      <c r="AA64" s="17">
        <f t="shared" si="16"/>
        <v>32</v>
      </c>
      <c r="AB64" s="58">
        <f t="shared" si="17"/>
        <v>35</v>
      </c>
      <c r="AC64" s="67"/>
      <c r="AD64" s="67"/>
      <c r="AE64" s="67"/>
      <c r="AF64" s="16">
        <f t="shared" si="37"/>
        <v>251</v>
      </c>
      <c r="AG64" s="17" t="s">
        <v>95</v>
      </c>
      <c r="AH64" s="17">
        <v>62</v>
      </c>
      <c r="AI64" s="59">
        <v>1481657000000</v>
      </c>
      <c r="AJ64" s="60">
        <v>1476471000000</v>
      </c>
      <c r="AK64" s="61">
        <f t="shared" si="18"/>
        <v>5186000000</v>
      </c>
      <c r="AL64" s="62">
        <v>0.35</v>
      </c>
      <c r="AM64" s="63">
        <v>0.4</v>
      </c>
      <c r="AN64" s="63">
        <v>0.9</v>
      </c>
      <c r="AO64" s="63">
        <v>0.8</v>
      </c>
      <c r="AP64" s="64">
        <v>0.2</v>
      </c>
      <c r="AQ64" s="62">
        <f t="shared" si="3"/>
        <v>1</v>
      </c>
      <c r="AR64" s="65">
        <v>1</v>
      </c>
      <c r="AS64" s="62">
        <f t="shared" si="4"/>
        <v>0.33000000000000013</v>
      </c>
      <c r="AT64" s="65">
        <f t="shared" si="41"/>
        <v>0.4150000000000002</v>
      </c>
      <c r="AU64" s="62">
        <f t="shared" si="5"/>
        <v>1.0000000000000004</v>
      </c>
      <c r="AV64" s="65">
        <v>1.0000000000000004</v>
      </c>
      <c r="AW64" s="62">
        <f t="shared" si="6"/>
        <v>0.96800000000000064</v>
      </c>
      <c r="AX64" s="65">
        <v>1</v>
      </c>
      <c r="AY64" s="62">
        <f t="shared" si="7"/>
        <v>0.2</v>
      </c>
      <c r="AZ64" s="65">
        <f t="shared" si="43"/>
        <v>0.38000000000000012</v>
      </c>
      <c r="BA64" s="62">
        <f t="shared" si="8"/>
        <v>0</v>
      </c>
      <c r="BB64" s="65">
        <v>0</v>
      </c>
      <c r="BC64" s="62">
        <f t="shared" si="9"/>
        <v>0</v>
      </c>
      <c r="BD64" s="64">
        <v>0</v>
      </c>
      <c r="BE64" s="66">
        <v>251</v>
      </c>
      <c r="BF64" s="63" t="s">
        <v>95</v>
      </c>
      <c r="BG64" s="60">
        <v>62</v>
      </c>
      <c r="BH64" s="63">
        <v>0.6</v>
      </c>
      <c r="BI64" s="63">
        <v>0.4</v>
      </c>
      <c r="BJ64" s="63">
        <v>0.6</v>
      </c>
      <c r="BK64" s="65">
        <v>0.4</v>
      </c>
      <c r="BL64" s="7"/>
      <c r="BM64" s="7"/>
      <c r="BN64" s="7"/>
      <c r="BO64" s="7"/>
      <c r="BP64" s="7"/>
      <c r="BQ64" s="7"/>
    </row>
    <row r="65" spans="1:69" ht="19.8" thickBot="1" x14ac:dyDescent="0.35">
      <c r="A65" s="16">
        <v>63</v>
      </c>
      <c r="B65" s="52">
        <v>44363</v>
      </c>
      <c r="C65" s="53" t="str">
        <f t="shared" si="10"/>
        <v>1400/03/26</v>
      </c>
      <c r="D65" s="54">
        <v>0.48940000000000022</v>
      </c>
      <c r="E65" s="54">
        <v>0.36616840000000028</v>
      </c>
      <c r="F65" s="11" t="e">
        <f t="shared" si="11"/>
        <v>#N/A</v>
      </c>
      <c r="G65" s="38" t="str">
        <f t="shared" si="12"/>
        <v>تاریخ: 1400/03/26
درصد پیشرفت برنامه ای: 48.94%
درصد پیشرفت واقعی: 36.62%</v>
      </c>
      <c r="H65" s="55">
        <v>1</v>
      </c>
      <c r="I65" s="56">
        <v>0.34000000000000014</v>
      </c>
      <c r="J65" s="56">
        <v>1.0000000000000004</v>
      </c>
      <c r="K65" s="56">
        <f t="shared" si="36"/>
        <v>1.0000000000000004</v>
      </c>
      <c r="L65" s="56">
        <f t="shared" si="44"/>
        <v>0.23200000000000001</v>
      </c>
      <c r="M65" s="56">
        <v>0</v>
      </c>
      <c r="N65" s="57">
        <v>0</v>
      </c>
      <c r="O65" s="16">
        <f t="shared" si="19"/>
        <v>30</v>
      </c>
      <c r="P65" s="17">
        <v>31</v>
      </c>
      <c r="Q65" s="17">
        <v>31</v>
      </c>
      <c r="R65" s="17">
        <v>32</v>
      </c>
      <c r="S65" s="17">
        <v>31</v>
      </c>
      <c r="T65" s="17">
        <v>33</v>
      </c>
      <c r="U65" s="58">
        <v>30</v>
      </c>
      <c r="V65" s="16">
        <f t="shared" si="13"/>
        <v>33</v>
      </c>
      <c r="W65" s="17">
        <f t="shared" si="14"/>
        <v>35</v>
      </c>
      <c r="X65" s="17">
        <f t="shared" si="0"/>
        <v>35</v>
      </c>
      <c r="Y65" s="17">
        <f t="shared" si="15"/>
        <v>33</v>
      </c>
      <c r="Z65" s="17">
        <f t="shared" si="1"/>
        <v>34</v>
      </c>
      <c r="AA65" s="17">
        <f t="shared" si="16"/>
        <v>34</v>
      </c>
      <c r="AB65" s="58">
        <f t="shared" si="17"/>
        <v>35</v>
      </c>
      <c r="AC65" s="67"/>
      <c r="AD65" s="67"/>
      <c r="AE65" s="67"/>
      <c r="AF65" s="16">
        <f t="shared" si="37"/>
        <v>255</v>
      </c>
      <c r="AG65" s="17" t="s">
        <v>96</v>
      </c>
      <c r="AH65" s="17">
        <v>63</v>
      </c>
      <c r="AI65" s="59">
        <v>1481657000000</v>
      </c>
      <c r="AJ65" s="60">
        <v>1476471000000</v>
      </c>
      <c r="AK65" s="61">
        <f t="shared" si="18"/>
        <v>5186000000</v>
      </c>
      <c r="AL65" s="62">
        <v>0.85</v>
      </c>
      <c r="AM65" s="63">
        <v>0.8</v>
      </c>
      <c r="AN65" s="63">
        <v>0.5</v>
      </c>
      <c r="AO65" s="63">
        <v>0.6</v>
      </c>
      <c r="AP65" s="64">
        <v>0.6</v>
      </c>
      <c r="AQ65" s="62">
        <f t="shared" si="3"/>
        <v>1</v>
      </c>
      <c r="AR65" s="65">
        <v>1</v>
      </c>
      <c r="AS65" s="62">
        <f t="shared" si="4"/>
        <v>0.34000000000000014</v>
      </c>
      <c r="AT65" s="65">
        <f t="shared" si="41"/>
        <v>0.4180000000000002</v>
      </c>
      <c r="AU65" s="62">
        <f t="shared" si="5"/>
        <v>1.0000000000000004</v>
      </c>
      <c r="AV65" s="65">
        <v>1.0000000000000004</v>
      </c>
      <c r="AW65" s="62">
        <f t="shared" si="6"/>
        <v>1.0000000000000004</v>
      </c>
      <c r="AX65" s="65">
        <v>1</v>
      </c>
      <c r="AY65" s="62">
        <f t="shared" si="7"/>
        <v>0.23200000000000001</v>
      </c>
      <c r="AZ65" s="65">
        <f t="shared" si="43"/>
        <v>0.41000000000000014</v>
      </c>
      <c r="BA65" s="62">
        <f t="shared" si="8"/>
        <v>0</v>
      </c>
      <c r="BB65" s="65">
        <v>0</v>
      </c>
      <c r="BC65" s="62">
        <f t="shared" si="9"/>
        <v>0</v>
      </c>
      <c r="BD65" s="64">
        <v>0</v>
      </c>
      <c r="BE65" s="66">
        <v>255</v>
      </c>
      <c r="BF65" s="63" t="s">
        <v>96</v>
      </c>
      <c r="BG65" s="60">
        <v>63</v>
      </c>
      <c r="BH65" s="63">
        <v>0.45</v>
      </c>
      <c r="BI65" s="63">
        <v>0.6</v>
      </c>
      <c r="BJ65" s="63">
        <v>0.45</v>
      </c>
      <c r="BK65" s="65">
        <v>0.55000000000000004</v>
      </c>
      <c r="BL65" s="7"/>
      <c r="BM65" s="7"/>
      <c r="BN65" s="7"/>
      <c r="BO65" s="7"/>
      <c r="BP65" s="7"/>
      <c r="BQ65" s="7"/>
    </row>
    <row r="66" spans="1:69" ht="19.8" thickBot="1" x14ac:dyDescent="0.35">
      <c r="A66" s="16">
        <v>64</v>
      </c>
      <c r="B66" s="52">
        <v>44370</v>
      </c>
      <c r="C66" s="53" t="str">
        <f t="shared" si="10"/>
        <v>1400/04/02</v>
      </c>
      <c r="D66" s="54">
        <v>0.50110000000000021</v>
      </c>
      <c r="E66" s="54">
        <v>0.38139010000000029</v>
      </c>
      <c r="F66" s="11" t="e">
        <f t="shared" si="11"/>
        <v>#N/A</v>
      </c>
      <c r="G66" s="38" t="str">
        <f t="shared" si="12"/>
        <v>تاریخ: 1400/04/02
درصد پیشرفت برنامه ای: 50.11%
درصد پیشرفت واقعی: 38.14%</v>
      </c>
      <c r="H66" s="55">
        <v>1</v>
      </c>
      <c r="I66" s="56">
        <v>0.34000000000000014</v>
      </c>
      <c r="J66" s="56">
        <v>1.0000000000000004</v>
      </c>
      <c r="K66" s="56">
        <f t="shared" si="36"/>
        <v>1.0000000000000004</v>
      </c>
      <c r="L66" s="56">
        <f t="shared" si="44"/>
        <v>0.26400000000000001</v>
      </c>
      <c r="M66" s="56">
        <v>0</v>
      </c>
      <c r="N66" s="57">
        <v>0</v>
      </c>
      <c r="O66" s="16">
        <f t="shared" si="19"/>
        <v>30</v>
      </c>
      <c r="P66" s="17">
        <v>32</v>
      </c>
      <c r="Q66" s="17">
        <v>33</v>
      </c>
      <c r="R66" s="17">
        <v>34</v>
      </c>
      <c r="S66" s="17">
        <v>32</v>
      </c>
      <c r="T66" s="17">
        <v>35</v>
      </c>
      <c r="U66" s="58">
        <v>34</v>
      </c>
      <c r="V66" s="16">
        <f t="shared" si="13"/>
        <v>33</v>
      </c>
      <c r="W66" s="17">
        <f t="shared" si="14"/>
        <v>36</v>
      </c>
      <c r="X66" s="17">
        <f t="shared" si="0"/>
        <v>37</v>
      </c>
      <c r="Y66" s="17">
        <f t="shared" si="15"/>
        <v>35</v>
      </c>
      <c r="Z66" s="17">
        <f t="shared" si="1"/>
        <v>35</v>
      </c>
      <c r="AA66" s="17">
        <f t="shared" si="16"/>
        <v>36</v>
      </c>
      <c r="AB66" s="58">
        <f t="shared" si="17"/>
        <v>39</v>
      </c>
      <c r="AC66" s="67"/>
      <c r="AD66" s="67"/>
      <c r="AE66" s="67"/>
      <c r="AF66" s="16">
        <f t="shared" si="37"/>
        <v>259</v>
      </c>
      <c r="AG66" s="17" t="s">
        <v>97</v>
      </c>
      <c r="AH66" s="17">
        <v>64</v>
      </c>
      <c r="AI66" s="59">
        <v>1496374000000</v>
      </c>
      <c r="AJ66" s="60">
        <v>1491137000000</v>
      </c>
      <c r="AK66" s="61">
        <f t="shared" si="18"/>
        <v>5237000000</v>
      </c>
      <c r="AL66" s="62">
        <v>0.9</v>
      </c>
      <c r="AM66" s="63">
        <v>0.95</v>
      </c>
      <c r="AN66" s="63">
        <v>0.8</v>
      </c>
      <c r="AO66" s="63">
        <v>0.7</v>
      </c>
      <c r="AP66" s="64">
        <v>0.1</v>
      </c>
      <c r="AQ66" s="62">
        <f t="shared" si="3"/>
        <v>1</v>
      </c>
      <c r="AR66" s="65">
        <v>1</v>
      </c>
      <c r="AS66" s="62">
        <f t="shared" si="4"/>
        <v>0.34000000000000014</v>
      </c>
      <c r="AT66" s="65">
        <f t="shared" si="41"/>
        <v>0.42100000000000021</v>
      </c>
      <c r="AU66" s="62">
        <f t="shared" si="5"/>
        <v>1.0000000000000004</v>
      </c>
      <c r="AV66" s="65">
        <v>1.0000000000000004</v>
      </c>
      <c r="AW66" s="62">
        <f t="shared" si="6"/>
        <v>1.0000000000000004</v>
      </c>
      <c r="AX66" s="65">
        <v>1</v>
      </c>
      <c r="AY66" s="62">
        <f t="shared" si="7"/>
        <v>0.26400000000000001</v>
      </c>
      <c r="AZ66" s="65">
        <f t="shared" si="43"/>
        <v>0.44000000000000017</v>
      </c>
      <c r="BA66" s="62">
        <f t="shared" si="8"/>
        <v>0</v>
      </c>
      <c r="BB66" s="65">
        <v>0</v>
      </c>
      <c r="BC66" s="62">
        <f t="shared" si="9"/>
        <v>0</v>
      </c>
      <c r="BD66" s="64">
        <v>0</v>
      </c>
      <c r="BE66" s="66">
        <v>259</v>
      </c>
      <c r="BF66" s="63" t="s">
        <v>97</v>
      </c>
      <c r="BG66" s="60">
        <v>64</v>
      </c>
      <c r="BH66" s="63">
        <v>0.77</v>
      </c>
      <c r="BI66" s="63">
        <v>0.45</v>
      </c>
      <c r="BJ66" s="63">
        <v>0.77</v>
      </c>
      <c r="BK66" s="65">
        <v>0.6</v>
      </c>
      <c r="BL66" s="7"/>
      <c r="BM66" s="7"/>
      <c r="BN66" s="7"/>
      <c r="BO66" s="7"/>
      <c r="BP66" s="7"/>
      <c r="BQ66" s="7"/>
    </row>
    <row r="67" spans="1:69" ht="19.8" thickBot="1" x14ac:dyDescent="0.35">
      <c r="A67" s="16">
        <v>65</v>
      </c>
      <c r="B67" s="52">
        <v>44377</v>
      </c>
      <c r="C67" s="53" t="str">
        <f t="shared" si="10"/>
        <v>1400/04/09</v>
      </c>
      <c r="D67" s="54">
        <v>0.51280000000000026</v>
      </c>
      <c r="E67" s="54">
        <v>0.39661180000000035</v>
      </c>
      <c r="F67" s="11" t="e">
        <f t="shared" si="11"/>
        <v>#N/A</v>
      </c>
      <c r="G67" s="38" t="str">
        <f t="shared" si="12"/>
        <v>تاریخ: 1400/04/09
درصد پیشرفت برنامه ای: 51.28%
درصد پیشرفت واقعی: 39.66%</v>
      </c>
      <c r="H67" s="55">
        <v>1</v>
      </c>
      <c r="I67" s="56">
        <v>0.34000000000000014</v>
      </c>
      <c r="J67" s="56">
        <v>1.0000000000000004</v>
      </c>
      <c r="K67" s="56">
        <f t="shared" si="36"/>
        <v>1.0000000000000004</v>
      </c>
      <c r="L67" s="56">
        <f t="shared" si="44"/>
        <v>0.29600000000000004</v>
      </c>
      <c r="M67" s="56">
        <v>0</v>
      </c>
      <c r="N67" s="57">
        <v>0</v>
      </c>
      <c r="O67" s="16">
        <f t="shared" si="19"/>
        <v>34</v>
      </c>
      <c r="P67" s="17">
        <v>36</v>
      </c>
      <c r="Q67" s="17">
        <v>37</v>
      </c>
      <c r="R67" s="17">
        <v>36</v>
      </c>
      <c r="S67" s="17">
        <v>38</v>
      </c>
      <c r="T67" s="17">
        <v>36</v>
      </c>
      <c r="U67" s="58">
        <v>36</v>
      </c>
      <c r="V67" s="16">
        <f t="shared" si="13"/>
        <v>37</v>
      </c>
      <c r="W67" s="17">
        <f t="shared" si="14"/>
        <v>40</v>
      </c>
      <c r="X67" s="17">
        <f t="shared" si="14"/>
        <v>41</v>
      </c>
      <c r="Y67" s="17">
        <f t="shared" si="15"/>
        <v>37</v>
      </c>
      <c r="Z67" s="17">
        <f t="shared" ref="Z67:Z130" si="45">S67+3</f>
        <v>41</v>
      </c>
      <c r="AA67" s="17">
        <f t="shared" si="16"/>
        <v>37</v>
      </c>
      <c r="AB67" s="58">
        <f t="shared" si="17"/>
        <v>41</v>
      </c>
      <c r="AC67" s="67"/>
      <c r="AD67" s="67"/>
      <c r="AE67" s="67"/>
      <c r="AF67" s="8">
        <f t="shared" ref="AF67" si="46">INDEX(A:G,MATCH(AG67,C:C,0),1)</f>
        <v>260</v>
      </c>
      <c r="AG67" s="12" t="s">
        <v>98</v>
      </c>
      <c r="AH67" s="12">
        <v>65</v>
      </c>
      <c r="AI67" s="21">
        <v>1500000000000</v>
      </c>
      <c r="AJ67" s="68">
        <v>1494750000000</v>
      </c>
      <c r="AK67" s="69">
        <f t="shared" si="18"/>
        <v>5250000000</v>
      </c>
      <c r="AL67" s="62">
        <v>0.7</v>
      </c>
      <c r="AM67" s="63">
        <v>0.68</v>
      </c>
      <c r="AN67" s="63">
        <v>0.5</v>
      </c>
      <c r="AO67" s="63">
        <v>0.9</v>
      </c>
      <c r="AP67" s="64">
        <v>0.55000000000000004</v>
      </c>
      <c r="AQ67" s="62">
        <f t="shared" ref="AQ67:AQ130" si="47">H67</f>
        <v>1</v>
      </c>
      <c r="AR67" s="65">
        <v>1</v>
      </c>
      <c r="AS67" s="62">
        <f t="shared" ref="AS67:AS130" si="48">I67</f>
        <v>0.34000000000000014</v>
      </c>
      <c r="AT67" s="65">
        <f t="shared" si="41"/>
        <v>0.42400000000000021</v>
      </c>
      <c r="AU67" s="62">
        <f t="shared" ref="AU67:AU130" si="49">J67</f>
        <v>1.0000000000000004</v>
      </c>
      <c r="AV67" s="65">
        <v>1.0000000000000004</v>
      </c>
      <c r="AW67" s="62">
        <f t="shared" ref="AW67:AW130" si="50">K67</f>
        <v>1.0000000000000004</v>
      </c>
      <c r="AX67" s="65">
        <v>1</v>
      </c>
      <c r="AY67" s="62">
        <f t="shared" ref="AY67:AY130" si="51">L67</f>
        <v>0.29600000000000004</v>
      </c>
      <c r="AZ67" s="65">
        <f t="shared" si="43"/>
        <v>0.4700000000000002</v>
      </c>
      <c r="BA67" s="62">
        <f t="shared" ref="BA67:BA130" si="52">M67</f>
        <v>0</v>
      </c>
      <c r="BB67" s="65">
        <v>0</v>
      </c>
      <c r="BC67" s="62">
        <f t="shared" ref="BC67:BC130" si="53">N67</f>
        <v>0</v>
      </c>
      <c r="BD67" s="64">
        <v>0</v>
      </c>
      <c r="BE67" s="70">
        <v>260</v>
      </c>
      <c r="BF67" s="71" t="s">
        <v>98</v>
      </c>
      <c r="BG67" s="68">
        <v>65</v>
      </c>
      <c r="BH67" s="71">
        <v>0.2</v>
      </c>
      <c r="BI67" s="71">
        <v>0.77</v>
      </c>
      <c r="BJ67" s="71">
        <v>0.4</v>
      </c>
      <c r="BK67" s="72">
        <v>0.45</v>
      </c>
      <c r="BL67" s="7"/>
      <c r="BM67" s="7"/>
      <c r="BN67" s="7"/>
      <c r="BO67" s="7"/>
      <c r="BP67" s="7"/>
      <c r="BQ67" s="7"/>
    </row>
    <row r="68" spans="1:69" ht="19.8" thickBot="1" x14ac:dyDescent="0.35">
      <c r="A68" s="16">
        <v>66</v>
      </c>
      <c r="B68" s="52">
        <v>44384</v>
      </c>
      <c r="C68" s="53" t="str">
        <f t="shared" ref="C68:C131" si="54">TEXT(B68,"[$-fa-IR,16]yyyy/mm/dd")</f>
        <v>1400/04/16</v>
      </c>
      <c r="D68" s="54">
        <v>0.5245000000000003</v>
      </c>
      <c r="E68" s="54">
        <v>0.39661180000000035</v>
      </c>
      <c r="F68" s="11" t="e">
        <f t="shared" ref="F68:F131" si="55">IF($F$2=A68,E68,NA())</f>
        <v>#N/A</v>
      </c>
      <c r="G68" s="38" t="str">
        <f t="shared" ref="G68:G131" si="56">"تاریخ: "&amp;C68&amp;CHAR(10)&amp;"درصد پیشرفت برنامه ای: "&amp;ROUND(D68*100,2)&amp;"%"&amp;CHAR(10)&amp;"درصد پیشرفت واقعی: "&amp;ROUND(E68*100,2)&amp;"%"</f>
        <v>تاریخ: 1400/04/16
درصد پیشرفت برنامه ای: 52.45%
درصد پیشرفت واقعی: 39.66%</v>
      </c>
      <c r="H68" s="55">
        <v>1</v>
      </c>
      <c r="I68" s="56">
        <v>0.34000000000000014</v>
      </c>
      <c r="J68" s="56">
        <v>1.0000000000000004</v>
      </c>
      <c r="K68" s="56">
        <f t="shared" si="36"/>
        <v>1.0000000000000004</v>
      </c>
      <c r="L68" s="56">
        <f t="shared" si="44"/>
        <v>0.32800000000000007</v>
      </c>
      <c r="M68" s="56">
        <v>0</v>
      </c>
      <c r="N68" s="57">
        <v>0</v>
      </c>
      <c r="O68" s="16">
        <f t="shared" si="19"/>
        <v>36</v>
      </c>
      <c r="P68" s="17">
        <v>38</v>
      </c>
      <c r="Q68" s="17">
        <v>39</v>
      </c>
      <c r="R68" s="17">
        <v>40</v>
      </c>
      <c r="S68" s="17">
        <v>39</v>
      </c>
      <c r="T68" s="17">
        <v>40</v>
      </c>
      <c r="U68" s="58">
        <v>39</v>
      </c>
      <c r="V68" s="16">
        <f t="shared" ref="V68:V131" si="57">O68+3</f>
        <v>39</v>
      </c>
      <c r="W68" s="17">
        <f t="shared" ref="W68:X131" si="58">P68+4</f>
        <v>42</v>
      </c>
      <c r="X68" s="17">
        <f t="shared" si="58"/>
        <v>43</v>
      </c>
      <c r="Y68" s="17">
        <f t="shared" ref="Y68:Y131" si="59">R68+1</f>
        <v>41</v>
      </c>
      <c r="Z68" s="17">
        <f t="shared" si="45"/>
        <v>42</v>
      </c>
      <c r="AA68" s="17">
        <f t="shared" ref="AA68:AA131" si="60">T68+1</f>
        <v>41</v>
      </c>
      <c r="AB68" s="58">
        <f t="shared" ref="AB68:AB131" si="61">U68+5</f>
        <v>44</v>
      </c>
      <c r="AC68" s="67"/>
      <c r="AD68" s="67"/>
      <c r="AE68" s="67"/>
      <c r="AF68" s="67"/>
      <c r="AG68" s="67"/>
      <c r="AH68" s="67"/>
      <c r="AI68" s="73"/>
      <c r="AJ68" s="74"/>
      <c r="AK68" s="74"/>
      <c r="AL68" s="62">
        <v>0.6</v>
      </c>
      <c r="AM68" s="63">
        <v>0.5</v>
      </c>
      <c r="AN68" s="63">
        <v>0.66</v>
      </c>
      <c r="AO68" s="63">
        <v>0.5</v>
      </c>
      <c r="AP68" s="64">
        <v>0.9</v>
      </c>
      <c r="AQ68" s="62">
        <f t="shared" si="47"/>
        <v>1</v>
      </c>
      <c r="AR68" s="65">
        <v>1</v>
      </c>
      <c r="AS68" s="62">
        <f t="shared" si="48"/>
        <v>0.34000000000000014</v>
      </c>
      <c r="AT68" s="65">
        <f t="shared" si="41"/>
        <v>0.42700000000000021</v>
      </c>
      <c r="AU68" s="62">
        <f t="shared" si="49"/>
        <v>1.0000000000000004</v>
      </c>
      <c r="AV68" s="65">
        <v>1.0000000000000004</v>
      </c>
      <c r="AW68" s="62">
        <f t="shared" si="50"/>
        <v>1.0000000000000004</v>
      </c>
      <c r="AX68" s="65">
        <v>1</v>
      </c>
      <c r="AY68" s="62">
        <f t="shared" si="51"/>
        <v>0.32800000000000007</v>
      </c>
      <c r="AZ68" s="65">
        <f t="shared" si="43"/>
        <v>0.50000000000000022</v>
      </c>
      <c r="BA68" s="62">
        <f t="shared" si="52"/>
        <v>0</v>
      </c>
      <c r="BB68" s="65">
        <v>0</v>
      </c>
      <c r="BC68" s="62">
        <f t="shared" si="53"/>
        <v>0</v>
      </c>
      <c r="BD68" s="65">
        <v>0</v>
      </c>
      <c r="BE68" s="74"/>
      <c r="BF68" s="7"/>
      <c r="BG68" s="74"/>
      <c r="BH68" s="7"/>
      <c r="BI68" s="7"/>
      <c r="BJ68" s="7"/>
      <c r="BK68" s="7"/>
      <c r="BL68" s="7"/>
      <c r="BM68" s="7"/>
      <c r="BN68" s="7"/>
      <c r="BO68" s="7"/>
      <c r="BP68" s="7"/>
      <c r="BQ68" s="7"/>
    </row>
    <row r="69" spans="1:69" ht="19.8" thickBot="1" x14ac:dyDescent="0.35">
      <c r="A69" s="16">
        <v>67</v>
      </c>
      <c r="B69" s="52">
        <v>44391</v>
      </c>
      <c r="C69" s="53" t="str">
        <f t="shared" si="54"/>
        <v>1400/04/23</v>
      </c>
      <c r="D69" s="54">
        <v>0.53620000000000034</v>
      </c>
      <c r="E69" s="54">
        <v>0.39661180000000035</v>
      </c>
      <c r="F69" s="11" t="e">
        <f t="shared" si="55"/>
        <v>#N/A</v>
      </c>
      <c r="G69" s="38" t="str">
        <f t="shared" si="56"/>
        <v>تاریخ: 1400/04/23
درصد پیشرفت برنامه ای: 53.62%
درصد پیشرفت واقعی: 39.66%</v>
      </c>
      <c r="H69" s="55">
        <v>1</v>
      </c>
      <c r="I69" s="56">
        <v>0.34000000000000014</v>
      </c>
      <c r="J69" s="56">
        <v>1.0000000000000004</v>
      </c>
      <c r="K69" s="56">
        <f t="shared" si="36"/>
        <v>1.0000000000000004</v>
      </c>
      <c r="L69" s="56">
        <f t="shared" si="44"/>
        <v>0.3600000000000001</v>
      </c>
      <c r="M69" s="56">
        <v>0</v>
      </c>
      <c r="N69" s="57">
        <v>0</v>
      </c>
      <c r="O69" s="16">
        <f t="shared" ref="O69:O132" si="62">U68</f>
        <v>39</v>
      </c>
      <c r="P69" s="17">
        <v>40</v>
      </c>
      <c r="Q69" s="17">
        <v>41</v>
      </c>
      <c r="R69" s="17">
        <v>40</v>
      </c>
      <c r="S69" s="17">
        <v>42</v>
      </c>
      <c r="T69" s="17">
        <v>43</v>
      </c>
      <c r="U69" s="58">
        <v>42</v>
      </c>
      <c r="V69" s="16">
        <f t="shared" si="57"/>
        <v>42</v>
      </c>
      <c r="W69" s="17">
        <f t="shared" si="58"/>
        <v>44</v>
      </c>
      <c r="X69" s="17">
        <f t="shared" si="58"/>
        <v>45</v>
      </c>
      <c r="Y69" s="17">
        <f t="shared" si="59"/>
        <v>41</v>
      </c>
      <c r="Z69" s="17">
        <f t="shared" si="45"/>
        <v>45</v>
      </c>
      <c r="AA69" s="17">
        <f t="shared" si="60"/>
        <v>44</v>
      </c>
      <c r="AB69" s="58">
        <f t="shared" si="61"/>
        <v>47</v>
      </c>
      <c r="AC69" s="67"/>
      <c r="AD69" s="67"/>
      <c r="AE69" s="67"/>
      <c r="AF69" s="67"/>
      <c r="AG69" s="67"/>
      <c r="AH69" s="67"/>
      <c r="AI69" s="73"/>
      <c r="AJ69" s="74"/>
      <c r="AK69" s="74"/>
      <c r="AL69" s="62">
        <v>0.55000000000000004</v>
      </c>
      <c r="AM69" s="63">
        <v>0.62</v>
      </c>
      <c r="AN69" s="63">
        <v>0.78</v>
      </c>
      <c r="AO69" s="63">
        <v>0.42</v>
      </c>
      <c r="AP69" s="64">
        <v>0.8</v>
      </c>
      <c r="AQ69" s="62">
        <f t="shared" si="47"/>
        <v>1</v>
      </c>
      <c r="AR69" s="65">
        <v>1</v>
      </c>
      <c r="AS69" s="62">
        <f t="shared" si="48"/>
        <v>0.34000000000000014</v>
      </c>
      <c r="AT69" s="65">
        <f t="shared" si="41"/>
        <v>0.43000000000000022</v>
      </c>
      <c r="AU69" s="62">
        <f t="shared" si="49"/>
        <v>1.0000000000000004</v>
      </c>
      <c r="AV69" s="65">
        <v>1.0000000000000004</v>
      </c>
      <c r="AW69" s="62">
        <f t="shared" si="50"/>
        <v>1.0000000000000004</v>
      </c>
      <c r="AX69" s="65">
        <v>1</v>
      </c>
      <c r="AY69" s="62">
        <f t="shared" si="51"/>
        <v>0.3600000000000001</v>
      </c>
      <c r="AZ69" s="65">
        <f t="shared" si="43"/>
        <v>0.53000000000000025</v>
      </c>
      <c r="BA69" s="62">
        <f t="shared" si="52"/>
        <v>0</v>
      </c>
      <c r="BB69" s="65">
        <v>0</v>
      </c>
      <c r="BC69" s="62">
        <f t="shared" si="53"/>
        <v>0</v>
      </c>
      <c r="BD69" s="65">
        <v>0</v>
      </c>
      <c r="BE69" s="74"/>
      <c r="BF69" s="7"/>
      <c r="BG69" s="74"/>
      <c r="BH69" s="7"/>
      <c r="BI69" s="7"/>
      <c r="BJ69" s="7"/>
      <c r="BK69" s="7"/>
      <c r="BL69" s="7"/>
      <c r="BM69" s="7"/>
      <c r="BN69" s="7"/>
      <c r="BO69" s="7"/>
      <c r="BP69" s="7"/>
      <c r="BQ69" s="7"/>
    </row>
    <row r="70" spans="1:69" ht="19.8" thickBot="1" x14ac:dyDescent="0.35">
      <c r="A70" s="16">
        <v>68</v>
      </c>
      <c r="B70" s="52">
        <v>44398</v>
      </c>
      <c r="C70" s="53" t="str">
        <f t="shared" si="54"/>
        <v>1400/04/30</v>
      </c>
      <c r="D70" s="54">
        <v>0.54790000000000039</v>
      </c>
      <c r="E70" s="54">
        <v>0.41183350000000041</v>
      </c>
      <c r="F70" s="11" t="e">
        <f t="shared" si="55"/>
        <v>#N/A</v>
      </c>
      <c r="G70" s="38" t="str">
        <f t="shared" si="56"/>
        <v>تاریخ: 1400/04/30
درصد پیشرفت برنامه ای: 54.79%
درصد پیشرفت واقعی: 41.18%</v>
      </c>
      <c r="H70" s="55">
        <v>1</v>
      </c>
      <c r="I70" s="56">
        <f t="shared" si="23"/>
        <v>0.35000000000000014</v>
      </c>
      <c r="J70" s="56">
        <v>1.0000000000000004</v>
      </c>
      <c r="K70" s="56">
        <f t="shared" si="36"/>
        <v>1.0000000000000004</v>
      </c>
      <c r="L70" s="56">
        <f t="shared" si="44"/>
        <v>0.39200000000000013</v>
      </c>
      <c r="M70" s="56">
        <v>0</v>
      </c>
      <c r="N70" s="57">
        <v>0</v>
      </c>
      <c r="O70" s="16">
        <f t="shared" si="62"/>
        <v>42</v>
      </c>
      <c r="P70" s="17">
        <v>43</v>
      </c>
      <c r="Q70" s="17">
        <v>44</v>
      </c>
      <c r="R70" s="17">
        <v>42</v>
      </c>
      <c r="S70" s="17">
        <v>43</v>
      </c>
      <c r="T70" s="17">
        <v>45</v>
      </c>
      <c r="U70" s="58">
        <v>45</v>
      </c>
      <c r="V70" s="16">
        <f t="shared" si="57"/>
        <v>45</v>
      </c>
      <c r="W70" s="17">
        <f t="shared" si="58"/>
        <v>47</v>
      </c>
      <c r="X70" s="17">
        <f t="shared" si="58"/>
        <v>48</v>
      </c>
      <c r="Y70" s="17">
        <f t="shared" si="59"/>
        <v>43</v>
      </c>
      <c r="Z70" s="17">
        <f t="shared" si="45"/>
        <v>46</v>
      </c>
      <c r="AA70" s="17">
        <f t="shared" si="60"/>
        <v>46</v>
      </c>
      <c r="AB70" s="58">
        <f t="shared" si="61"/>
        <v>50</v>
      </c>
      <c r="AC70" s="67"/>
      <c r="AD70" s="67"/>
      <c r="AE70" s="67"/>
      <c r="AF70" s="67"/>
      <c r="AG70" s="67"/>
      <c r="AH70" s="67"/>
      <c r="AI70" s="73"/>
      <c r="AJ70" s="74"/>
      <c r="AK70" s="74"/>
      <c r="AL70" s="62">
        <v>0.6</v>
      </c>
      <c r="AM70" s="63">
        <v>0.9</v>
      </c>
      <c r="AN70" s="63">
        <v>0.5</v>
      </c>
      <c r="AO70" s="63">
        <v>0.5</v>
      </c>
      <c r="AP70" s="64">
        <v>0.62</v>
      </c>
      <c r="AQ70" s="62">
        <f t="shared" si="47"/>
        <v>1</v>
      </c>
      <c r="AR70" s="65">
        <v>1</v>
      </c>
      <c r="AS70" s="62">
        <f t="shared" si="48"/>
        <v>0.35000000000000014</v>
      </c>
      <c r="AT70" s="65">
        <f t="shared" si="41"/>
        <v>0.43300000000000022</v>
      </c>
      <c r="AU70" s="62">
        <f t="shared" si="49"/>
        <v>1.0000000000000004</v>
      </c>
      <c r="AV70" s="65">
        <v>1.0000000000000004</v>
      </c>
      <c r="AW70" s="62">
        <f t="shared" si="50"/>
        <v>1.0000000000000004</v>
      </c>
      <c r="AX70" s="65">
        <v>1</v>
      </c>
      <c r="AY70" s="62">
        <f t="shared" si="51"/>
        <v>0.39200000000000013</v>
      </c>
      <c r="AZ70" s="65">
        <f t="shared" si="43"/>
        <v>0.56000000000000028</v>
      </c>
      <c r="BA70" s="62">
        <f t="shared" si="52"/>
        <v>0</v>
      </c>
      <c r="BB70" s="65">
        <v>0</v>
      </c>
      <c r="BC70" s="62">
        <f t="shared" si="53"/>
        <v>0</v>
      </c>
      <c r="BD70" s="65">
        <v>0</v>
      </c>
      <c r="BE70" s="74"/>
      <c r="BF70" s="7"/>
      <c r="BG70" s="74"/>
      <c r="BH70" s="7"/>
      <c r="BI70" s="7"/>
      <c r="BJ70" s="7"/>
      <c r="BK70" s="7"/>
      <c r="BL70" s="7"/>
      <c r="BM70" s="7"/>
      <c r="BN70" s="7"/>
      <c r="BO70" s="7"/>
      <c r="BP70" s="7"/>
      <c r="BQ70" s="7"/>
    </row>
    <row r="71" spans="1:69" ht="19.8" thickBot="1" x14ac:dyDescent="0.35">
      <c r="A71" s="16">
        <v>69</v>
      </c>
      <c r="B71" s="52">
        <v>44405</v>
      </c>
      <c r="C71" s="53" t="str">
        <f t="shared" si="54"/>
        <v>1400/05/06</v>
      </c>
      <c r="D71" s="54">
        <v>0.55960000000000043</v>
      </c>
      <c r="E71" s="54">
        <v>0.42471520000000046</v>
      </c>
      <c r="F71" s="11" t="e">
        <f t="shared" si="55"/>
        <v>#N/A</v>
      </c>
      <c r="G71" s="38" t="str">
        <f t="shared" si="56"/>
        <v>تاریخ: 1400/05/06
درصد پیشرفت برنامه ای: 55.96%
درصد پیشرفت واقعی: 42.47%</v>
      </c>
      <c r="H71" s="55">
        <v>1</v>
      </c>
      <c r="I71" s="56">
        <f t="shared" si="23"/>
        <v>0.36000000000000015</v>
      </c>
      <c r="J71" s="56">
        <v>1.0000000000000004</v>
      </c>
      <c r="K71" s="56">
        <f t="shared" si="36"/>
        <v>1.0000000000000004</v>
      </c>
      <c r="L71" s="56">
        <f t="shared" si="44"/>
        <v>0.42400000000000015</v>
      </c>
      <c r="M71" s="56">
        <v>0</v>
      </c>
      <c r="N71" s="57">
        <v>0</v>
      </c>
      <c r="O71" s="16">
        <f t="shared" si="62"/>
        <v>45</v>
      </c>
      <c r="P71" s="17">
        <v>46</v>
      </c>
      <c r="Q71" s="17">
        <v>45</v>
      </c>
      <c r="R71" s="17">
        <v>46</v>
      </c>
      <c r="S71" s="17">
        <v>47</v>
      </c>
      <c r="T71" s="17">
        <v>47</v>
      </c>
      <c r="U71" s="58">
        <v>46</v>
      </c>
      <c r="V71" s="16">
        <f t="shared" si="57"/>
        <v>48</v>
      </c>
      <c r="W71" s="17">
        <f t="shared" si="58"/>
        <v>50</v>
      </c>
      <c r="X71" s="17">
        <f t="shared" si="58"/>
        <v>49</v>
      </c>
      <c r="Y71" s="17">
        <f t="shared" si="59"/>
        <v>47</v>
      </c>
      <c r="Z71" s="17">
        <f t="shared" si="45"/>
        <v>50</v>
      </c>
      <c r="AA71" s="17">
        <f t="shared" si="60"/>
        <v>48</v>
      </c>
      <c r="AB71" s="58">
        <f t="shared" si="61"/>
        <v>51</v>
      </c>
      <c r="AC71" s="67"/>
      <c r="AD71" s="67"/>
      <c r="AE71" s="67"/>
      <c r="AF71" s="67"/>
      <c r="AG71" s="67"/>
      <c r="AH71" s="67"/>
      <c r="AI71" s="73"/>
      <c r="AJ71" s="74"/>
      <c r="AK71" s="74"/>
      <c r="AL71" s="62">
        <v>0.66</v>
      </c>
      <c r="AM71" s="63">
        <v>0.7</v>
      </c>
      <c r="AN71" s="63">
        <v>0.8</v>
      </c>
      <c r="AO71" s="63">
        <v>0.55000000000000004</v>
      </c>
      <c r="AP71" s="64">
        <v>0.5</v>
      </c>
      <c r="AQ71" s="62">
        <f t="shared" si="47"/>
        <v>1</v>
      </c>
      <c r="AR71" s="65">
        <v>1</v>
      </c>
      <c r="AS71" s="62">
        <f t="shared" si="48"/>
        <v>0.36000000000000015</v>
      </c>
      <c r="AT71" s="65">
        <f t="shared" si="41"/>
        <v>0.43600000000000022</v>
      </c>
      <c r="AU71" s="62">
        <f t="shared" si="49"/>
        <v>1.0000000000000004</v>
      </c>
      <c r="AV71" s="65">
        <v>1.0000000000000004</v>
      </c>
      <c r="AW71" s="62">
        <f t="shared" si="50"/>
        <v>1.0000000000000004</v>
      </c>
      <c r="AX71" s="65">
        <v>1</v>
      </c>
      <c r="AY71" s="62">
        <f t="shared" si="51"/>
        <v>0.42400000000000015</v>
      </c>
      <c r="AZ71" s="65">
        <f t="shared" si="43"/>
        <v>0.5900000000000003</v>
      </c>
      <c r="BA71" s="62">
        <f t="shared" si="52"/>
        <v>0</v>
      </c>
      <c r="BB71" s="65">
        <v>0</v>
      </c>
      <c r="BC71" s="62">
        <f t="shared" si="53"/>
        <v>0</v>
      </c>
      <c r="BD71" s="65">
        <v>0</v>
      </c>
      <c r="BE71" s="74"/>
      <c r="BF71" s="7"/>
      <c r="BG71" s="74"/>
      <c r="BH71" s="7"/>
      <c r="BI71" s="7"/>
      <c r="BJ71" s="7"/>
      <c r="BK71" s="7"/>
      <c r="BL71" s="7"/>
      <c r="BM71" s="7"/>
      <c r="BN71" s="7"/>
      <c r="BO71" s="7"/>
      <c r="BP71" s="7"/>
      <c r="BQ71" s="7"/>
    </row>
    <row r="72" spans="1:69" ht="19.8" thickBot="1" x14ac:dyDescent="0.35">
      <c r="A72" s="16">
        <v>70</v>
      </c>
      <c r="B72" s="52">
        <v>44412</v>
      </c>
      <c r="C72" s="53" t="str">
        <f t="shared" si="54"/>
        <v>1400/05/13</v>
      </c>
      <c r="D72" s="54">
        <v>0.57130000000000047</v>
      </c>
      <c r="E72" s="54">
        <v>0.43759690000000051</v>
      </c>
      <c r="F72" s="11" t="e">
        <f t="shared" si="55"/>
        <v>#N/A</v>
      </c>
      <c r="G72" s="38" t="str">
        <f t="shared" si="56"/>
        <v>تاریخ: 1400/05/13
درصد پیشرفت برنامه ای: 57.13%
درصد پیشرفت واقعی: 43.76%</v>
      </c>
      <c r="H72" s="55">
        <v>1</v>
      </c>
      <c r="I72" s="56">
        <f t="shared" si="23"/>
        <v>0.37000000000000016</v>
      </c>
      <c r="J72" s="56">
        <v>1.0000000000000004</v>
      </c>
      <c r="K72" s="56">
        <f t="shared" si="36"/>
        <v>1.0000000000000004</v>
      </c>
      <c r="L72" s="56">
        <f t="shared" si="44"/>
        <v>0.45600000000000018</v>
      </c>
      <c r="M72" s="56">
        <v>0</v>
      </c>
      <c r="N72" s="57">
        <v>0</v>
      </c>
      <c r="O72" s="16">
        <f t="shared" si="62"/>
        <v>46</v>
      </c>
      <c r="P72" s="17">
        <v>47</v>
      </c>
      <c r="Q72" s="17">
        <v>47</v>
      </c>
      <c r="R72" s="17">
        <v>46</v>
      </c>
      <c r="S72" s="17">
        <v>45</v>
      </c>
      <c r="T72" s="17">
        <v>46</v>
      </c>
      <c r="U72" s="58">
        <v>47</v>
      </c>
      <c r="V72" s="16">
        <f t="shared" si="57"/>
        <v>49</v>
      </c>
      <c r="W72" s="17">
        <f t="shared" si="58"/>
        <v>51</v>
      </c>
      <c r="X72" s="17">
        <f t="shared" si="58"/>
        <v>51</v>
      </c>
      <c r="Y72" s="17">
        <f t="shared" si="59"/>
        <v>47</v>
      </c>
      <c r="Z72" s="17">
        <f t="shared" si="45"/>
        <v>48</v>
      </c>
      <c r="AA72" s="17">
        <f t="shared" si="60"/>
        <v>47</v>
      </c>
      <c r="AB72" s="58">
        <f t="shared" si="61"/>
        <v>52</v>
      </c>
      <c r="AC72" s="67"/>
      <c r="AD72" s="67"/>
      <c r="AE72" s="67"/>
      <c r="AF72" s="67"/>
      <c r="AG72" s="67"/>
      <c r="AH72" s="67"/>
      <c r="AI72" s="73"/>
      <c r="AJ72" s="74"/>
      <c r="AK72" s="74"/>
      <c r="AL72" s="62">
        <v>0.55000000000000004</v>
      </c>
      <c r="AM72" s="63">
        <v>0.4</v>
      </c>
      <c r="AN72" s="63">
        <v>0.4</v>
      </c>
      <c r="AO72" s="63">
        <v>0.9</v>
      </c>
      <c r="AP72" s="64">
        <v>0.8</v>
      </c>
      <c r="AQ72" s="62">
        <f t="shared" si="47"/>
        <v>1</v>
      </c>
      <c r="AR72" s="65">
        <v>1</v>
      </c>
      <c r="AS72" s="62">
        <f t="shared" si="48"/>
        <v>0.37000000000000016</v>
      </c>
      <c r="AT72" s="65">
        <f t="shared" si="41"/>
        <v>0.43900000000000022</v>
      </c>
      <c r="AU72" s="62">
        <f t="shared" si="49"/>
        <v>1.0000000000000004</v>
      </c>
      <c r="AV72" s="65">
        <v>1.0000000000000004</v>
      </c>
      <c r="AW72" s="62">
        <f t="shared" si="50"/>
        <v>1.0000000000000004</v>
      </c>
      <c r="AX72" s="65">
        <v>1</v>
      </c>
      <c r="AY72" s="62">
        <f t="shared" si="51"/>
        <v>0.45600000000000018</v>
      </c>
      <c r="AZ72" s="65">
        <f t="shared" si="43"/>
        <v>0.62000000000000033</v>
      </c>
      <c r="BA72" s="62">
        <f t="shared" si="52"/>
        <v>0</v>
      </c>
      <c r="BB72" s="65">
        <v>0</v>
      </c>
      <c r="BC72" s="62">
        <f t="shared" si="53"/>
        <v>0</v>
      </c>
      <c r="BD72" s="65">
        <v>0</v>
      </c>
      <c r="BE72" s="74"/>
      <c r="BF72" s="7"/>
      <c r="BG72" s="74"/>
      <c r="BH72" s="7"/>
      <c r="BI72" s="7"/>
      <c r="BJ72" s="7"/>
      <c r="BK72" s="7"/>
      <c r="BL72" s="7"/>
      <c r="BM72" s="7"/>
      <c r="BN72" s="7"/>
      <c r="BO72" s="7"/>
      <c r="BP72" s="7"/>
      <c r="BQ72" s="7"/>
    </row>
    <row r="73" spans="1:69" ht="19.8" thickBot="1" x14ac:dyDescent="0.35">
      <c r="A73" s="16">
        <v>71</v>
      </c>
      <c r="B73" s="52">
        <v>44419</v>
      </c>
      <c r="C73" s="53" t="str">
        <f t="shared" si="54"/>
        <v>1400/05/20</v>
      </c>
      <c r="D73" s="54">
        <v>0.58300000000000052</v>
      </c>
      <c r="E73" s="54">
        <v>0.45047860000000056</v>
      </c>
      <c r="F73" s="11" t="e">
        <f t="shared" si="55"/>
        <v>#N/A</v>
      </c>
      <c r="G73" s="38" t="str">
        <f t="shared" si="56"/>
        <v>تاریخ: 1400/05/20
درصد پیشرفت برنامه ای: 58.3%
درصد پیشرفت واقعی: 45.05%</v>
      </c>
      <c r="H73" s="55">
        <v>1</v>
      </c>
      <c r="I73" s="56">
        <f t="shared" ref="I73:I109" si="63">I72+1%</f>
        <v>0.38000000000000017</v>
      </c>
      <c r="J73" s="56">
        <v>1.0000000000000004</v>
      </c>
      <c r="K73" s="56">
        <f t="shared" si="36"/>
        <v>1.0000000000000004</v>
      </c>
      <c r="L73" s="56">
        <f t="shared" si="44"/>
        <v>0.48800000000000021</v>
      </c>
      <c r="M73" s="56">
        <v>0</v>
      </c>
      <c r="N73" s="57">
        <v>0</v>
      </c>
      <c r="O73" s="16">
        <f t="shared" si="62"/>
        <v>47</v>
      </c>
      <c r="P73" s="17">
        <v>43</v>
      </c>
      <c r="Q73" s="17">
        <v>44</v>
      </c>
      <c r="R73" s="17">
        <v>42</v>
      </c>
      <c r="S73" s="17">
        <v>43</v>
      </c>
      <c r="T73" s="17">
        <v>45</v>
      </c>
      <c r="U73" s="58">
        <v>45</v>
      </c>
      <c r="V73" s="16">
        <f t="shared" si="57"/>
        <v>50</v>
      </c>
      <c r="W73" s="17">
        <f t="shared" si="58"/>
        <v>47</v>
      </c>
      <c r="X73" s="17">
        <f t="shared" si="58"/>
        <v>48</v>
      </c>
      <c r="Y73" s="17">
        <f t="shared" si="59"/>
        <v>43</v>
      </c>
      <c r="Z73" s="17">
        <f t="shared" si="45"/>
        <v>46</v>
      </c>
      <c r="AA73" s="17">
        <f t="shared" si="60"/>
        <v>46</v>
      </c>
      <c r="AB73" s="58">
        <f t="shared" si="61"/>
        <v>50</v>
      </c>
      <c r="AC73" s="67"/>
      <c r="AD73" s="67"/>
      <c r="AE73" s="67"/>
      <c r="AF73" s="67"/>
      <c r="AG73" s="67"/>
      <c r="AH73" s="67"/>
      <c r="AI73" s="73"/>
      <c r="AJ73" s="74"/>
      <c r="AK73" s="74"/>
      <c r="AL73" s="62">
        <v>0.7</v>
      </c>
      <c r="AM73" s="63">
        <v>0.55000000000000004</v>
      </c>
      <c r="AN73" s="63">
        <v>0.1</v>
      </c>
      <c r="AO73" s="63">
        <v>0.4</v>
      </c>
      <c r="AP73" s="64">
        <v>0.9</v>
      </c>
      <c r="AQ73" s="62">
        <f t="shared" si="47"/>
        <v>1</v>
      </c>
      <c r="AR73" s="65">
        <v>1</v>
      </c>
      <c r="AS73" s="62">
        <f t="shared" si="48"/>
        <v>0.38000000000000017</v>
      </c>
      <c r="AT73" s="65">
        <f t="shared" si="41"/>
        <v>0.44200000000000023</v>
      </c>
      <c r="AU73" s="62">
        <f t="shared" si="49"/>
        <v>1.0000000000000004</v>
      </c>
      <c r="AV73" s="65">
        <v>1.0000000000000004</v>
      </c>
      <c r="AW73" s="62">
        <f t="shared" si="50"/>
        <v>1.0000000000000004</v>
      </c>
      <c r="AX73" s="65">
        <v>1</v>
      </c>
      <c r="AY73" s="62">
        <f t="shared" si="51"/>
        <v>0.48800000000000021</v>
      </c>
      <c r="AZ73" s="65">
        <f t="shared" si="43"/>
        <v>0.65000000000000036</v>
      </c>
      <c r="BA73" s="62">
        <f t="shared" si="52"/>
        <v>0</v>
      </c>
      <c r="BB73" s="65">
        <v>0</v>
      </c>
      <c r="BC73" s="62">
        <f t="shared" si="53"/>
        <v>0</v>
      </c>
      <c r="BD73" s="65">
        <v>0</v>
      </c>
      <c r="BE73" s="74"/>
      <c r="BF73" s="7"/>
      <c r="BG73" s="74"/>
      <c r="BH73" s="7"/>
      <c r="BI73" s="7"/>
      <c r="BJ73" s="7"/>
      <c r="BK73" s="7"/>
      <c r="BL73" s="7"/>
      <c r="BM73" s="7"/>
      <c r="BN73" s="7"/>
      <c r="BO73" s="7"/>
      <c r="BP73" s="7"/>
      <c r="BQ73" s="7"/>
    </row>
    <row r="74" spans="1:69" ht="19.8" thickBot="1" x14ac:dyDescent="0.35">
      <c r="A74" s="16">
        <v>72</v>
      </c>
      <c r="B74" s="52">
        <v>44426</v>
      </c>
      <c r="C74" s="53" t="str">
        <f t="shared" si="54"/>
        <v>1400/05/27</v>
      </c>
      <c r="D74" s="54">
        <v>0.59000000000000052</v>
      </c>
      <c r="E74" s="54">
        <v>0.45818560000000058</v>
      </c>
      <c r="F74" s="11" t="e">
        <f t="shared" si="55"/>
        <v>#N/A</v>
      </c>
      <c r="G74" s="38" t="str">
        <f t="shared" si="56"/>
        <v>تاریخ: 1400/05/27
درصد پیشرفت برنامه ای: 59%
درصد پیشرفت واقعی: 45.82%</v>
      </c>
      <c r="H74" s="55">
        <v>1</v>
      </c>
      <c r="I74" s="56">
        <f t="shared" si="63"/>
        <v>0.39000000000000018</v>
      </c>
      <c r="J74" s="56">
        <v>1.0000000000000004</v>
      </c>
      <c r="K74" s="56">
        <f t="shared" si="36"/>
        <v>1.0000000000000004</v>
      </c>
      <c r="L74" s="56">
        <f t="shared" si="44"/>
        <v>0.52000000000000024</v>
      </c>
      <c r="M74" s="56">
        <v>0</v>
      </c>
      <c r="N74" s="57">
        <v>0</v>
      </c>
      <c r="O74" s="16">
        <f t="shared" si="62"/>
        <v>45</v>
      </c>
      <c r="P74" s="17">
        <v>46</v>
      </c>
      <c r="Q74" s="17">
        <v>45</v>
      </c>
      <c r="R74" s="17">
        <v>46</v>
      </c>
      <c r="S74" s="17">
        <v>47</v>
      </c>
      <c r="T74" s="17">
        <v>47</v>
      </c>
      <c r="U74" s="58">
        <v>46</v>
      </c>
      <c r="V74" s="16">
        <f t="shared" si="57"/>
        <v>48</v>
      </c>
      <c r="W74" s="17">
        <f t="shared" si="58"/>
        <v>50</v>
      </c>
      <c r="X74" s="17">
        <f t="shared" si="58"/>
        <v>49</v>
      </c>
      <c r="Y74" s="17">
        <f t="shared" si="59"/>
        <v>47</v>
      </c>
      <c r="Z74" s="17">
        <f t="shared" si="45"/>
        <v>50</v>
      </c>
      <c r="AA74" s="17">
        <f t="shared" si="60"/>
        <v>48</v>
      </c>
      <c r="AB74" s="58">
        <f t="shared" si="61"/>
        <v>51</v>
      </c>
      <c r="AC74" s="67"/>
      <c r="AD74" s="67"/>
      <c r="AE74" s="67"/>
      <c r="AF74" s="67"/>
      <c r="AG74" s="67"/>
      <c r="AH74" s="67"/>
      <c r="AI74" s="73"/>
      <c r="AJ74" s="74"/>
      <c r="AK74" s="74"/>
      <c r="AL74" s="62">
        <v>0.4</v>
      </c>
      <c r="AM74" s="63">
        <v>0.69</v>
      </c>
      <c r="AN74" s="63">
        <v>0.5</v>
      </c>
      <c r="AO74" s="63">
        <v>0.2</v>
      </c>
      <c r="AP74" s="64">
        <v>0.4</v>
      </c>
      <c r="AQ74" s="62">
        <f t="shared" si="47"/>
        <v>1</v>
      </c>
      <c r="AR74" s="65">
        <v>1</v>
      </c>
      <c r="AS74" s="62">
        <f t="shared" si="48"/>
        <v>0.39000000000000018</v>
      </c>
      <c r="AT74" s="65">
        <f t="shared" si="41"/>
        <v>0.44500000000000023</v>
      </c>
      <c r="AU74" s="62">
        <f t="shared" si="49"/>
        <v>1.0000000000000004</v>
      </c>
      <c r="AV74" s="65">
        <v>1.0000000000000004</v>
      </c>
      <c r="AW74" s="62">
        <f t="shared" si="50"/>
        <v>1.0000000000000004</v>
      </c>
      <c r="AX74" s="65">
        <v>1</v>
      </c>
      <c r="AY74" s="62">
        <f t="shared" si="51"/>
        <v>0.52000000000000024</v>
      </c>
      <c r="AZ74" s="65">
        <f t="shared" si="43"/>
        <v>0.68000000000000038</v>
      </c>
      <c r="BA74" s="62">
        <f t="shared" si="52"/>
        <v>0</v>
      </c>
      <c r="BB74" s="65">
        <v>0</v>
      </c>
      <c r="BC74" s="62">
        <f t="shared" si="53"/>
        <v>0</v>
      </c>
      <c r="BD74" s="65">
        <v>0</v>
      </c>
      <c r="BE74" s="74"/>
      <c r="BF74" s="7"/>
      <c r="BG74" s="74"/>
      <c r="BH74" s="7"/>
      <c r="BI74" s="7"/>
      <c r="BJ74" s="7"/>
      <c r="BK74" s="7"/>
      <c r="BL74" s="7"/>
      <c r="BM74" s="7"/>
      <c r="BN74" s="7"/>
      <c r="BO74" s="7"/>
      <c r="BP74" s="7"/>
      <c r="BQ74" s="7"/>
    </row>
    <row r="75" spans="1:69" ht="19.8" thickBot="1" x14ac:dyDescent="0.35">
      <c r="A75" s="16">
        <v>73</v>
      </c>
      <c r="B75" s="52">
        <v>44433</v>
      </c>
      <c r="C75" s="53" t="str">
        <f t="shared" si="54"/>
        <v>1400/06/03</v>
      </c>
      <c r="D75" s="54">
        <v>0.59700000000000053</v>
      </c>
      <c r="E75" s="54">
        <v>0.4658926000000006</v>
      </c>
      <c r="F75" s="11" t="e">
        <f t="shared" si="55"/>
        <v>#N/A</v>
      </c>
      <c r="G75" s="38" t="str">
        <f t="shared" si="56"/>
        <v>تاریخ: 1400/06/03
درصد پیشرفت برنامه ای: 59.7%
درصد پیشرفت واقعی: 46.59%</v>
      </c>
      <c r="H75" s="55">
        <v>1</v>
      </c>
      <c r="I75" s="56">
        <f t="shared" si="63"/>
        <v>0.40000000000000019</v>
      </c>
      <c r="J75" s="56">
        <v>1.0000000000000004</v>
      </c>
      <c r="K75" s="56">
        <f t="shared" si="36"/>
        <v>1.0000000000000004</v>
      </c>
      <c r="L75" s="56">
        <f t="shared" si="44"/>
        <v>0.55200000000000027</v>
      </c>
      <c r="M75" s="56">
        <v>0</v>
      </c>
      <c r="N75" s="57">
        <v>0</v>
      </c>
      <c r="O75" s="16">
        <f t="shared" si="62"/>
        <v>46</v>
      </c>
      <c r="P75" s="17">
        <v>47</v>
      </c>
      <c r="Q75" s="17">
        <v>47</v>
      </c>
      <c r="R75" s="17">
        <v>46</v>
      </c>
      <c r="S75" s="17">
        <v>45</v>
      </c>
      <c r="T75" s="17">
        <v>46</v>
      </c>
      <c r="U75" s="58">
        <v>47</v>
      </c>
      <c r="V75" s="16">
        <f t="shared" si="57"/>
        <v>49</v>
      </c>
      <c r="W75" s="17">
        <f t="shared" si="58"/>
        <v>51</v>
      </c>
      <c r="X75" s="17">
        <f t="shared" si="58"/>
        <v>51</v>
      </c>
      <c r="Y75" s="17">
        <f t="shared" si="59"/>
        <v>47</v>
      </c>
      <c r="Z75" s="17">
        <f t="shared" si="45"/>
        <v>48</v>
      </c>
      <c r="AA75" s="17">
        <f t="shared" si="60"/>
        <v>47</v>
      </c>
      <c r="AB75" s="58">
        <f t="shared" si="61"/>
        <v>52</v>
      </c>
      <c r="AC75" s="67"/>
      <c r="AD75" s="67"/>
      <c r="AE75" s="67"/>
      <c r="AF75" s="67"/>
      <c r="AG75" s="67"/>
      <c r="AH75" s="67"/>
      <c r="AI75" s="73"/>
      <c r="AJ75" s="74"/>
      <c r="AK75" s="74"/>
      <c r="AL75" s="62">
        <v>0.35</v>
      </c>
      <c r="AM75" s="63">
        <v>0.4</v>
      </c>
      <c r="AN75" s="63">
        <v>0.9</v>
      </c>
      <c r="AO75" s="63">
        <v>0.8</v>
      </c>
      <c r="AP75" s="64">
        <v>0.2</v>
      </c>
      <c r="AQ75" s="62">
        <f t="shared" si="47"/>
        <v>1</v>
      </c>
      <c r="AR75" s="65">
        <v>1</v>
      </c>
      <c r="AS75" s="62">
        <f t="shared" si="48"/>
        <v>0.40000000000000019</v>
      </c>
      <c r="AT75" s="65">
        <f>AT74+0.8%</f>
        <v>0.45300000000000024</v>
      </c>
      <c r="AU75" s="62">
        <f t="shared" si="49"/>
        <v>1.0000000000000004</v>
      </c>
      <c r="AV75" s="65">
        <v>1.0000000000000004</v>
      </c>
      <c r="AW75" s="62">
        <f t="shared" si="50"/>
        <v>1.0000000000000004</v>
      </c>
      <c r="AX75" s="65">
        <v>1</v>
      </c>
      <c r="AY75" s="62">
        <f t="shared" si="51"/>
        <v>0.55200000000000027</v>
      </c>
      <c r="AZ75" s="65">
        <f t="shared" si="43"/>
        <v>0.71000000000000041</v>
      </c>
      <c r="BA75" s="62">
        <f t="shared" si="52"/>
        <v>0</v>
      </c>
      <c r="BB75" s="65">
        <v>0.04</v>
      </c>
      <c r="BC75" s="62">
        <f t="shared" si="53"/>
        <v>0</v>
      </c>
      <c r="BD75" s="65">
        <v>0</v>
      </c>
      <c r="BE75" s="74"/>
      <c r="BF75" s="7"/>
      <c r="BG75" s="74"/>
      <c r="BH75" s="7"/>
      <c r="BI75" s="7"/>
      <c r="BJ75" s="7"/>
      <c r="BK75" s="7"/>
      <c r="BL75" s="7"/>
      <c r="BM75" s="7"/>
      <c r="BN75" s="7"/>
      <c r="BO75" s="7"/>
      <c r="BP75" s="7"/>
      <c r="BQ75" s="7"/>
    </row>
    <row r="76" spans="1:69" ht="19.8" thickBot="1" x14ac:dyDescent="0.35">
      <c r="A76" s="16">
        <v>74</v>
      </c>
      <c r="B76" s="52">
        <v>44440</v>
      </c>
      <c r="C76" s="53" t="str">
        <f t="shared" si="54"/>
        <v>1400/06/10</v>
      </c>
      <c r="D76" s="54">
        <v>0.60400000000000054</v>
      </c>
      <c r="E76" s="54">
        <v>0.47359960000000062</v>
      </c>
      <c r="F76" s="11" t="e">
        <f t="shared" si="55"/>
        <v>#N/A</v>
      </c>
      <c r="G76" s="38" t="str">
        <f t="shared" si="56"/>
        <v>تاریخ: 1400/06/10
درصد پیشرفت برنامه ای: 60.4%
درصد پیشرفت واقعی: 47.36%</v>
      </c>
      <c r="H76" s="55">
        <v>1</v>
      </c>
      <c r="I76" s="56">
        <f t="shared" si="63"/>
        <v>0.4100000000000002</v>
      </c>
      <c r="J76" s="56">
        <v>1.0000000000000004</v>
      </c>
      <c r="K76" s="56">
        <f t="shared" si="36"/>
        <v>1.0000000000000004</v>
      </c>
      <c r="L76" s="56">
        <f t="shared" si="44"/>
        <v>0.5840000000000003</v>
      </c>
      <c r="M76" s="56">
        <v>0</v>
      </c>
      <c r="N76" s="57">
        <v>0</v>
      </c>
      <c r="O76" s="16">
        <f t="shared" si="62"/>
        <v>47</v>
      </c>
      <c r="P76" s="17">
        <v>43</v>
      </c>
      <c r="Q76" s="17">
        <v>44</v>
      </c>
      <c r="R76" s="17">
        <v>42</v>
      </c>
      <c r="S76" s="17">
        <v>43</v>
      </c>
      <c r="T76" s="17">
        <v>45</v>
      </c>
      <c r="U76" s="58">
        <v>45</v>
      </c>
      <c r="V76" s="16">
        <f t="shared" si="57"/>
        <v>50</v>
      </c>
      <c r="W76" s="17">
        <f t="shared" si="58"/>
        <v>47</v>
      </c>
      <c r="X76" s="17">
        <f t="shared" si="58"/>
        <v>48</v>
      </c>
      <c r="Y76" s="17">
        <f t="shared" si="59"/>
        <v>43</v>
      </c>
      <c r="Z76" s="17">
        <f t="shared" si="45"/>
        <v>46</v>
      </c>
      <c r="AA76" s="17">
        <f t="shared" si="60"/>
        <v>46</v>
      </c>
      <c r="AB76" s="58">
        <f t="shared" si="61"/>
        <v>50</v>
      </c>
      <c r="AC76" s="67"/>
      <c r="AD76" s="67"/>
      <c r="AE76" s="67"/>
      <c r="AF76" s="67"/>
      <c r="AG76" s="67"/>
      <c r="AH76" s="67"/>
      <c r="AI76" s="73"/>
      <c r="AJ76" s="74"/>
      <c r="AK76" s="74"/>
      <c r="AL76" s="62">
        <v>0.85</v>
      </c>
      <c r="AM76" s="63">
        <v>0.8</v>
      </c>
      <c r="AN76" s="63">
        <v>0.5</v>
      </c>
      <c r="AO76" s="63">
        <v>0.6</v>
      </c>
      <c r="AP76" s="64">
        <v>0.6</v>
      </c>
      <c r="AQ76" s="62">
        <f t="shared" si="47"/>
        <v>1</v>
      </c>
      <c r="AR76" s="65">
        <v>1</v>
      </c>
      <c r="AS76" s="62">
        <f t="shared" si="48"/>
        <v>0.4100000000000002</v>
      </c>
      <c r="AT76" s="65">
        <f t="shared" ref="AT76:AT85" si="64">AT75+0.8%</f>
        <v>0.46100000000000024</v>
      </c>
      <c r="AU76" s="62">
        <f t="shared" si="49"/>
        <v>1.0000000000000004</v>
      </c>
      <c r="AV76" s="65">
        <v>1.0000000000000004</v>
      </c>
      <c r="AW76" s="62">
        <f t="shared" si="50"/>
        <v>1.0000000000000004</v>
      </c>
      <c r="AX76" s="65">
        <v>1</v>
      </c>
      <c r="AY76" s="62">
        <f t="shared" si="51"/>
        <v>0.5840000000000003</v>
      </c>
      <c r="AZ76" s="65">
        <f t="shared" si="43"/>
        <v>0.74000000000000044</v>
      </c>
      <c r="BA76" s="62">
        <f t="shared" si="52"/>
        <v>0</v>
      </c>
      <c r="BB76" s="65">
        <v>0.06</v>
      </c>
      <c r="BC76" s="62">
        <f t="shared" si="53"/>
        <v>0</v>
      </c>
      <c r="BD76" s="65">
        <v>0</v>
      </c>
      <c r="BE76" s="74"/>
      <c r="BF76" s="7"/>
      <c r="BG76" s="74"/>
      <c r="BH76" s="7"/>
      <c r="BI76" s="7"/>
      <c r="BJ76" s="7"/>
      <c r="BK76" s="7"/>
      <c r="BL76" s="7"/>
      <c r="BM76" s="7"/>
      <c r="BN76" s="7"/>
      <c r="BO76" s="7"/>
      <c r="BP76" s="7"/>
      <c r="BQ76" s="7"/>
    </row>
    <row r="77" spans="1:69" ht="19.8" thickBot="1" x14ac:dyDescent="0.35">
      <c r="A77" s="16">
        <v>75</v>
      </c>
      <c r="B77" s="52">
        <v>44447</v>
      </c>
      <c r="C77" s="53" t="str">
        <f t="shared" si="54"/>
        <v>1400/06/17</v>
      </c>
      <c r="D77" s="54">
        <v>0.61100000000000054</v>
      </c>
      <c r="E77" s="54">
        <v>0.47990660000000063</v>
      </c>
      <c r="F77" s="11" t="e">
        <f t="shared" si="55"/>
        <v>#N/A</v>
      </c>
      <c r="G77" s="38" t="str">
        <f t="shared" si="56"/>
        <v>تاریخ: 1400/06/17
درصد پیشرفت برنامه ای: 61.1%
درصد پیشرفت واقعی: 47.99%</v>
      </c>
      <c r="H77" s="55">
        <v>1</v>
      </c>
      <c r="I77" s="56">
        <f t="shared" si="63"/>
        <v>0.42000000000000021</v>
      </c>
      <c r="J77" s="56">
        <v>1.0000000000000004</v>
      </c>
      <c r="K77" s="56">
        <f t="shared" si="36"/>
        <v>1.0000000000000004</v>
      </c>
      <c r="L77" s="56">
        <f t="shared" si="44"/>
        <v>0.61600000000000033</v>
      </c>
      <c r="M77" s="56">
        <v>0</v>
      </c>
      <c r="N77" s="57">
        <v>0</v>
      </c>
      <c r="O77" s="16">
        <f t="shared" si="62"/>
        <v>45</v>
      </c>
      <c r="P77" s="17">
        <v>46</v>
      </c>
      <c r="Q77" s="17">
        <v>45</v>
      </c>
      <c r="R77" s="17">
        <v>46</v>
      </c>
      <c r="S77" s="17">
        <v>47</v>
      </c>
      <c r="T77" s="17">
        <v>47</v>
      </c>
      <c r="U77" s="58">
        <v>46</v>
      </c>
      <c r="V77" s="16">
        <f t="shared" si="57"/>
        <v>48</v>
      </c>
      <c r="W77" s="17">
        <f t="shared" si="58"/>
        <v>50</v>
      </c>
      <c r="X77" s="17">
        <f t="shared" si="58"/>
        <v>49</v>
      </c>
      <c r="Y77" s="17">
        <f t="shared" si="59"/>
        <v>47</v>
      </c>
      <c r="Z77" s="17">
        <f t="shared" si="45"/>
        <v>50</v>
      </c>
      <c r="AA77" s="17">
        <f t="shared" si="60"/>
        <v>48</v>
      </c>
      <c r="AB77" s="58">
        <f t="shared" si="61"/>
        <v>51</v>
      </c>
      <c r="AC77" s="67"/>
      <c r="AD77" s="67"/>
      <c r="AE77" s="67"/>
      <c r="AF77" s="67"/>
      <c r="AG77" s="67"/>
      <c r="AH77" s="67"/>
      <c r="AI77" s="73"/>
      <c r="AJ77" s="74"/>
      <c r="AK77" s="74"/>
      <c r="AL77" s="62">
        <v>0.9</v>
      </c>
      <c r="AM77" s="63">
        <v>0.95</v>
      </c>
      <c r="AN77" s="63">
        <v>0.8</v>
      </c>
      <c r="AO77" s="63">
        <v>0.7</v>
      </c>
      <c r="AP77" s="64">
        <v>0.1</v>
      </c>
      <c r="AQ77" s="62">
        <f t="shared" si="47"/>
        <v>1</v>
      </c>
      <c r="AR77" s="65">
        <v>1</v>
      </c>
      <c r="AS77" s="62">
        <f t="shared" si="48"/>
        <v>0.42000000000000021</v>
      </c>
      <c r="AT77" s="65">
        <f t="shared" si="64"/>
        <v>0.46900000000000025</v>
      </c>
      <c r="AU77" s="62">
        <f t="shared" si="49"/>
        <v>1.0000000000000004</v>
      </c>
      <c r="AV77" s="65">
        <v>1.0000000000000004</v>
      </c>
      <c r="AW77" s="62">
        <f t="shared" si="50"/>
        <v>1.0000000000000004</v>
      </c>
      <c r="AX77" s="65">
        <v>1</v>
      </c>
      <c r="AY77" s="62">
        <f t="shared" si="51"/>
        <v>0.61600000000000033</v>
      </c>
      <c r="AZ77" s="65">
        <f t="shared" si="43"/>
        <v>0.77000000000000046</v>
      </c>
      <c r="BA77" s="62">
        <f t="shared" si="52"/>
        <v>0</v>
      </c>
      <c r="BB77" s="65">
        <f>BB76+3%</f>
        <v>0.09</v>
      </c>
      <c r="BC77" s="62">
        <f t="shared" si="53"/>
        <v>0</v>
      </c>
      <c r="BD77" s="65">
        <v>0</v>
      </c>
      <c r="BE77" s="74"/>
      <c r="BF77" s="7"/>
      <c r="BG77" s="74"/>
      <c r="BH77" s="7"/>
      <c r="BI77" s="7"/>
      <c r="BJ77" s="7"/>
      <c r="BK77" s="7"/>
      <c r="BL77" s="7"/>
      <c r="BM77" s="7"/>
      <c r="BN77" s="7"/>
      <c r="BO77" s="7"/>
      <c r="BP77" s="7"/>
      <c r="BQ77" s="7"/>
    </row>
    <row r="78" spans="1:69" ht="19.8" thickBot="1" x14ac:dyDescent="0.35">
      <c r="A78" s="16">
        <v>76</v>
      </c>
      <c r="B78" s="52">
        <v>44454</v>
      </c>
      <c r="C78" s="53" t="str">
        <f t="shared" si="54"/>
        <v>1400/06/24</v>
      </c>
      <c r="D78" s="54">
        <v>0.61800000000000055</v>
      </c>
      <c r="E78" s="54">
        <v>0.51035000000000064</v>
      </c>
      <c r="F78" s="11" t="e">
        <f t="shared" si="55"/>
        <v>#N/A</v>
      </c>
      <c r="G78" s="38" t="str">
        <f t="shared" si="56"/>
        <v>تاریخ: 1400/06/24
درصد پیشرفت برنامه ای: 61.8%
درصد پیشرفت واقعی: 51.04%</v>
      </c>
      <c r="H78" s="55">
        <v>1</v>
      </c>
      <c r="I78" s="56">
        <f t="shared" si="63"/>
        <v>0.43000000000000022</v>
      </c>
      <c r="J78" s="56">
        <v>1.0000000000000004</v>
      </c>
      <c r="K78" s="56">
        <f t="shared" si="36"/>
        <v>1.0000000000000004</v>
      </c>
      <c r="L78" s="56">
        <f t="shared" si="44"/>
        <v>0.64800000000000035</v>
      </c>
      <c r="M78" s="56">
        <v>0</v>
      </c>
      <c r="N78" s="57">
        <v>0</v>
      </c>
      <c r="O78" s="16">
        <f t="shared" si="62"/>
        <v>46</v>
      </c>
      <c r="P78" s="17">
        <v>43</v>
      </c>
      <c r="Q78" s="17">
        <v>44</v>
      </c>
      <c r="R78" s="17">
        <v>42</v>
      </c>
      <c r="S78" s="17">
        <v>43</v>
      </c>
      <c r="T78" s="17">
        <v>45</v>
      </c>
      <c r="U78" s="58">
        <v>45</v>
      </c>
      <c r="V78" s="16">
        <f t="shared" si="57"/>
        <v>49</v>
      </c>
      <c r="W78" s="17">
        <f t="shared" si="58"/>
        <v>47</v>
      </c>
      <c r="X78" s="17">
        <f t="shared" si="58"/>
        <v>48</v>
      </c>
      <c r="Y78" s="17">
        <f t="shared" si="59"/>
        <v>43</v>
      </c>
      <c r="Z78" s="17">
        <f t="shared" si="45"/>
        <v>46</v>
      </c>
      <c r="AA78" s="17">
        <f t="shared" si="60"/>
        <v>46</v>
      </c>
      <c r="AB78" s="58">
        <f t="shared" si="61"/>
        <v>50</v>
      </c>
      <c r="AC78" s="67"/>
      <c r="AD78" s="67"/>
      <c r="AE78" s="67"/>
      <c r="AF78" s="67"/>
      <c r="AG78" s="67"/>
      <c r="AH78" s="67"/>
      <c r="AI78" s="73"/>
      <c r="AJ78" s="74"/>
      <c r="AK78" s="74"/>
      <c r="AL78" s="62">
        <v>0.7</v>
      </c>
      <c r="AM78" s="63">
        <v>0.68</v>
      </c>
      <c r="AN78" s="63">
        <v>0.5</v>
      </c>
      <c r="AO78" s="63">
        <v>0.9</v>
      </c>
      <c r="AP78" s="64">
        <v>0.55000000000000004</v>
      </c>
      <c r="AQ78" s="62">
        <f t="shared" si="47"/>
        <v>1</v>
      </c>
      <c r="AR78" s="65">
        <v>1</v>
      </c>
      <c r="AS78" s="62">
        <f t="shared" si="48"/>
        <v>0.43000000000000022</v>
      </c>
      <c r="AT78" s="65">
        <f t="shared" si="64"/>
        <v>0.47700000000000026</v>
      </c>
      <c r="AU78" s="62">
        <f t="shared" si="49"/>
        <v>1.0000000000000004</v>
      </c>
      <c r="AV78" s="65">
        <v>1.0000000000000004</v>
      </c>
      <c r="AW78" s="62">
        <f t="shared" si="50"/>
        <v>1.0000000000000004</v>
      </c>
      <c r="AX78" s="65">
        <v>1</v>
      </c>
      <c r="AY78" s="62">
        <f t="shared" si="51"/>
        <v>0.64800000000000035</v>
      </c>
      <c r="AZ78" s="65">
        <f t="shared" si="43"/>
        <v>0.80000000000000049</v>
      </c>
      <c r="BA78" s="62">
        <f t="shared" si="52"/>
        <v>0</v>
      </c>
      <c r="BB78" s="65">
        <f t="shared" ref="BB78:BB107" si="65">BB77+3%</f>
        <v>0.12</v>
      </c>
      <c r="BC78" s="62">
        <f t="shared" si="53"/>
        <v>0</v>
      </c>
      <c r="BD78" s="65">
        <v>0</v>
      </c>
      <c r="BE78" s="74"/>
      <c r="BF78" s="7"/>
      <c r="BG78" s="74"/>
      <c r="BH78" s="7"/>
      <c r="BI78" s="7"/>
      <c r="BJ78" s="7"/>
      <c r="BK78" s="7"/>
      <c r="BL78" s="7"/>
      <c r="BM78" s="7"/>
      <c r="BN78" s="7"/>
      <c r="BO78" s="7"/>
      <c r="BP78" s="7"/>
      <c r="BQ78" s="7"/>
    </row>
    <row r="79" spans="1:69" ht="19.8" thickBot="1" x14ac:dyDescent="0.35">
      <c r="A79" s="16">
        <v>77</v>
      </c>
      <c r="B79" s="52">
        <v>44461</v>
      </c>
      <c r="C79" s="53" t="str">
        <f t="shared" si="54"/>
        <v>1400/06/31</v>
      </c>
      <c r="D79" s="54">
        <v>0.62100000000000055</v>
      </c>
      <c r="E79" s="54">
        <v>0.51035000000000064</v>
      </c>
      <c r="F79" s="11" t="e">
        <f t="shared" si="55"/>
        <v>#N/A</v>
      </c>
      <c r="G79" s="38" t="str">
        <f t="shared" si="56"/>
        <v>تاریخ: 1400/06/31
درصد پیشرفت برنامه ای: 62.1%
درصد پیشرفت واقعی: 51.04%</v>
      </c>
      <c r="H79" s="55">
        <v>1</v>
      </c>
      <c r="I79" s="56">
        <f t="shared" si="63"/>
        <v>0.44000000000000022</v>
      </c>
      <c r="J79" s="56">
        <v>1.0000000000000004</v>
      </c>
      <c r="K79" s="56">
        <f t="shared" si="36"/>
        <v>1.0000000000000004</v>
      </c>
      <c r="L79" s="56">
        <f t="shared" si="44"/>
        <v>0.68000000000000038</v>
      </c>
      <c r="M79" s="56">
        <v>0</v>
      </c>
      <c r="N79" s="57">
        <v>0</v>
      </c>
      <c r="O79" s="16">
        <f t="shared" si="62"/>
        <v>45</v>
      </c>
      <c r="P79" s="17">
        <v>40</v>
      </c>
      <c r="Q79" s="17">
        <v>41</v>
      </c>
      <c r="R79" s="17">
        <v>40</v>
      </c>
      <c r="S79" s="17">
        <v>42</v>
      </c>
      <c r="T79" s="17">
        <v>43</v>
      </c>
      <c r="U79" s="58">
        <v>42</v>
      </c>
      <c r="V79" s="16">
        <f t="shared" si="57"/>
        <v>48</v>
      </c>
      <c r="W79" s="17">
        <f t="shared" si="58"/>
        <v>44</v>
      </c>
      <c r="X79" s="17">
        <f t="shared" si="58"/>
        <v>45</v>
      </c>
      <c r="Y79" s="17">
        <f t="shared" si="59"/>
        <v>41</v>
      </c>
      <c r="Z79" s="17">
        <f t="shared" si="45"/>
        <v>45</v>
      </c>
      <c r="AA79" s="17">
        <f t="shared" si="60"/>
        <v>44</v>
      </c>
      <c r="AB79" s="58">
        <f t="shared" si="61"/>
        <v>47</v>
      </c>
      <c r="AC79" s="67"/>
      <c r="AD79" s="67"/>
      <c r="AE79" s="67"/>
      <c r="AF79" s="67"/>
      <c r="AG79" s="67"/>
      <c r="AH79" s="67"/>
      <c r="AI79" s="73"/>
      <c r="AJ79" s="74"/>
      <c r="AK79" s="74"/>
      <c r="AL79" s="62">
        <v>0.6</v>
      </c>
      <c r="AM79" s="63">
        <v>0.5</v>
      </c>
      <c r="AN79" s="63">
        <v>0.66</v>
      </c>
      <c r="AO79" s="63">
        <v>0.5</v>
      </c>
      <c r="AP79" s="64">
        <v>0.9</v>
      </c>
      <c r="AQ79" s="62">
        <f t="shared" si="47"/>
        <v>1</v>
      </c>
      <c r="AR79" s="65">
        <v>1</v>
      </c>
      <c r="AS79" s="62">
        <f t="shared" si="48"/>
        <v>0.44000000000000022</v>
      </c>
      <c r="AT79" s="65">
        <f t="shared" si="64"/>
        <v>0.48500000000000026</v>
      </c>
      <c r="AU79" s="62">
        <f t="shared" si="49"/>
        <v>1.0000000000000004</v>
      </c>
      <c r="AV79" s="65">
        <v>1.0000000000000004</v>
      </c>
      <c r="AW79" s="62">
        <f t="shared" si="50"/>
        <v>1.0000000000000004</v>
      </c>
      <c r="AX79" s="65">
        <v>1</v>
      </c>
      <c r="AY79" s="62">
        <f t="shared" si="51"/>
        <v>0.68000000000000038</v>
      </c>
      <c r="AZ79" s="65">
        <f t="shared" si="43"/>
        <v>0.83000000000000052</v>
      </c>
      <c r="BA79" s="62">
        <f t="shared" si="52"/>
        <v>0</v>
      </c>
      <c r="BB79" s="65">
        <f t="shared" si="65"/>
        <v>0.15</v>
      </c>
      <c r="BC79" s="62">
        <f t="shared" si="53"/>
        <v>0</v>
      </c>
      <c r="BD79" s="65">
        <v>0</v>
      </c>
      <c r="BE79" s="74"/>
      <c r="BF79" s="7"/>
      <c r="BG79" s="74"/>
      <c r="BH79" s="7"/>
      <c r="BI79" s="7"/>
      <c r="BJ79" s="7"/>
      <c r="BK79" s="7"/>
      <c r="BL79" s="7"/>
      <c r="BM79" s="7"/>
      <c r="BN79" s="7"/>
      <c r="BO79" s="7"/>
      <c r="BP79" s="7"/>
      <c r="BQ79" s="7"/>
    </row>
    <row r="80" spans="1:69" ht="19.8" thickBot="1" x14ac:dyDescent="0.35">
      <c r="A80" s="16">
        <v>78</v>
      </c>
      <c r="B80" s="52">
        <v>44468</v>
      </c>
      <c r="C80" s="53" t="str">
        <f t="shared" si="54"/>
        <v>1400/07/07</v>
      </c>
      <c r="D80" s="54">
        <v>0.62400000000000055</v>
      </c>
      <c r="E80" s="54">
        <v>0.51035000000000064</v>
      </c>
      <c r="F80" s="11" t="e">
        <f t="shared" si="55"/>
        <v>#N/A</v>
      </c>
      <c r="G80" s="38" t="str">
        <f t="shared" si="56"/>
        <v>تاریخ: 1400/07/07
درصد پیشرفت برنامه ای: 62.4%
درصد پیشرفت واقعی: 51.04%</v>
      </c>
      <c r="H80" s="55">
        <v>1</v>
      </c>
      <c r="I80" s="56">
        <f t="shared" si="63"/>
        <v>0.45000000000000023</v>
      </c>
      <c r="J80" s="56">
        <v>1.0000000000000004</v>
      </c>
      <c r="K80" s="56">
        <f t="shared" si="36"/>
        <v>1.0000000000000004</v>
      </c>
      <c r="L80" s="56">
        <f t="shared" si="44"/>
        <v>0.71200000000000041</v>
      </c>
      <c r="M80" s="56">
        <v>0</v>
      </c>
      <c r="N80" s="57">
        <v>0</v>
      </c>
      <c r="O80" s="16">
        <f t="shared" si="62"/>
        <v>42</v>
      </c>
      <c r="P80" s="17">
        <v>36</v>
      </c>
      <c r="Q80" s="17">
        <v>37</v>
      </c>
      <c r="R80" s="17">
        <v>36</v>
      </c>
      <c r="S80" s="17">
        <v>38</v>
      </c>
      <c r="T80" s="17">
        <v>36</v>
      </c>
      <c r="U80" s="58">
        <v>36</v>
      </c>
      <c r="V80" s="16">
        <f t="shared" si="57"/>
        <v>45</v>
      </c>
      <c r="W80" s="17">
        <f t="shared" si="58"/>
        <v>40</v>
      </c>
      <c r="X80" s="17">
        <f t="shared" si="58"/>
        <v>41</v>
      </c>
      <c r="Y80" s="17">
        <f t="shared" si="59"/>
        <v>37</v>
      </c>
      <c r="Z80" s="17">
        <f t="shared" si="45"/>
        <v>41</v>
      </c>
      <c r="AA80" s="17">
        <f t="shared" si="60"/>
        <v>37</v>
      </c>
      <c r="AB80" s="58">
        <f t="shared" si="61"/>
        <v>41</v>
      </c>
      <c r="AC80" s="67"/>
      <c r="AD80" s="67"/>
      <c r="AE80" s="67"/>
      <c r="AF80" s="67"/>
      <c r="AG80" s="67"/>
      <c r="AH80" s="67"/>
      <c r="AI80" s="73"/>
      <c r="AJ80" s="74"/>
      <c r="AK80" s="74"/>
      <c r="AL80" s="62">
        <v>0.55000000000000004</v>
      </c>
      <c r="AM80" s="63">
        <v>0.62</v>
      </c>
      <c r="AN80" s="63">
        <v>0.78</v>
      </c>
      <c r="AO80" s="63">
        <v>0.42</v>
      </c>
      <c r="AP80" s="64">
        <v>0.8</v>
      </c>
      <c r="AQ80" s="62">
        <f t="shared" si="47"/>
        <v>1</v>
      </c>
      <c r="AR80" s="65">
        <v>1</v>
      </c>
      <c r="AS80" s="62">
        <f t="shared" si="48"/>
        <v>0.45000000000000023</v>
      </c>
      <c r="AT80" s="65">
        <f t="shared" si="64"/>
        <v>0.49300000000000027</v>
      </c>
      <c r="AU80" s="62">
        <f t="shared" si="49"/>
        <v>1.0000000000000004</v>
      </c>
      <c r="AV80" s="65">
        <v>1.0000000000000004</v>
      </c>
      <c r="AW80" s="62">
        <f t="shared" si="50"/>
        <v>1.0000000000000004</v>
      </c>
      <c r="AX80" s="65">
        <v>1</v>
      </c>
      <c r="AY80" s="62">
        <f t="shared" si="51"/>
        <v>0.71200000000000041</v>
      </c>
      <c r="AZ80" s="65">
        <f t="shared" si="43"/>
        <v>0.86000000000000054</v>
      </c>
      <c r="BA80" s="62">
        <f t="shared" si="52"/>
        <v>0</v>
      </c>
      <c r="BB80" s="65">
        <f t="shared" si="65"/>
        <v>0.18</v>
      </c>
      <c r="BC80" s="62">
        <f t="shared" si="53"/>
        <v>0</v>
      </c>
      <c r="BD80" s="65">
        <v>0</v>
      </c>
      <c r="BE80" s="74"/>
      <c r="BF80" s="7"/>
      <c r="BG80" s="74"/>
      <c r="BH80" s="7"/>
      <c r="BI80" s="7"/>
      <c r="BJ80" s="7"/>
      <c r="BK80" s="7"/>
      <c r="BL80" s="7"/>
      <c r="BM80" s="7"/>
      <c r="BN80" s="7"/>
      <c r="BO80" s="7"/>
      <c r="BP80" s="7"/>
      <c r="BQ80" s="7"/>
    </row>
    <row r="81" spans="1:69" ht="19.8" thickBot="1" x14ac:dyDescent="0.35">
      <c r="A81" s="16">
        <v>79</v>
      </c>
      <c r="B81" s="52">
        <v>44475</v>
      </c>
      <c r="C81" s="53" t="str">
        <f t="shared" si="54"/>
        <v>1400/07/14</v>
      </c>
      <c r="D81" s="54">
        <v>0.62700000000000056</v>
      </c>
      <c r="E81" s="54">
        <v>0.51035000000000064</v>
      </c>
      <c r="F81" s="11" t="e">
        <f t="shared" si="55"/>
        <v>#N/A</v>
      </c>
      <c r="G81" s="38" t="str">
        <f t="shared" si="56"/>
        <v>تاریخ: 1400/07/14
درصد پیشرفت برنامه ای: 62.7%
درصد پیشرفت واقعی: 51.04%</v>
      </c>
      <c r="H81" s="55">
        <v>1</v>
      </c>
      <c r="I81" s="56">
        <f t="shared" si="63"/>
        <v>0.46000000000000024</v>
      </c>
      <c r="J81" s="56">
        <v>1.0000000000000004</v>
      </c>
      <c r="K81" s="56">
        <f t="shared" si="36"/>
        <v>1.0000000000000004</v>
      </c>
      <c r="L81" s="56">
        <f t="shared" si="44"/>
        <v>0.74400000000000044</v>
      </c>
      <c r="M81" s="56">
        <v>0</v>
      </c>
      <c r="N81" s="57">
        <v>0</v>
      </c>
      <c r="O81" s="16">
        <f t="shared" si="62"/>
        <v>36</v>
      </c>
      <c r="P81" s="17">
        <v>22</v>
      </c>
      <c r="Q81" s="17">
        <v>22</v>
      </c>
      <c r="R81" s="17">
        <v>23</v>
      </c>
      <c r="S81" s="17">
        <v>21</v>
      </c>
      <c r="T81" s="17">
        <v>22</v>
      </c>
      <c r="U81" s="58">
        <v>24</v>
      </c>
      <c r="V81" s="16">
        <f t="shared" si="57"/>
        <v>39</v>
      </c>
      <c r="W81" s="17">
        <f t="shared" si="58"/>
        <v>26</v>
      </c>
      <c r="X81" s="17">
        <f t="shared" si="58"/>
        <v>26</v>
      </c>
      <c r="Y81" s="17">
        <f t="shared" si="59"/>
        <v>24</v>
      </c>
      <c r="Z81" s="17">
        <f t="shared" si="45"/>
        <v>24</v>
      </c>
      <c r="AA81" s="17">
        <f t="shared" si="60"/>
        <v>23</v>
      </c>
      <c r="AB81" s="58">
        <f t="shared" si="61"/>
        <v>29</v>
      </c>
      <c r="AC81" s="67"/>
      <c r="AD81" s="67"/>
      <c r="AE81" s="67"/>
      <c r="AF81" s="67"/>
      <c r="AG81" s="67"/>
      <c r="AH81" s="67"/>
      <c r="AI81" s="73"/>
      <c r="AJ81" s="74"/>
      <c r="AK81" s="74"/>
      <c r="AL81" s="62">
        <v>0.6</v>
      </c>
      <c r="AM81" s="63">
        <v>0.9</v>
      </c>
      <c r="AN81" s="63">
        <v>0.5</v>
      </c>
      <c r="AO81" s="63">
        <v>0.5</v>
      </c>
      <c r="AP81" s="64">
        <v>0.62</v>
      </c>
      <c r="AQ81" s="62">
        <f t="shared" si="47"/>
        <v>1</v>
      </c>
      <c r="AR81" s="65">
        <v>1</v>
      </c>
      <c r="AS81" s="62">
        <f t="shared" si="48"/>
        <v>0.46000000000000024</v>
      </c>
      <c r="AT81" s="65">
        <f t="shared" si="64"/>
        <v>0.50100000000000022</v>
      </c>
      <c r="AU81" s="62">
        <f t="shared" si="49"/>
        <v>1.0000000000000004</v>
      </c>
      <c r="AV81" s="65">
        <v>1.0000000000000004</v>
      </c>
      <c r="AW81" s="62">
        <f t="shared" si="50"/>
        <v>1.0000000000000004</v>
      </c>
      <c r="AX81" s="65">
        <v>1</v>
      </c>
      <c r="AY81" s="62">
        <f t="shared" si="51"/>
        <v>0.74400000000000044</v>
      </c>
      <c r="AZ81" s="65">
        <f t="shared" si="43"/>
        <v>0.89000000000000057</v>
      </c>
      <c r="BA81" s="62">
        <f t="shared" si="52"/>
        <v>0</v>
      </c>
      <c r="BB81" s="65">
        <f t="shared" si="65"/>
        <v>0.21</v>
      </c>
      <c r="BC81" s="62">
        <f t="shared" si="53"/>
        <v>0</v>
      </c>
      <c r="BD81" s="65">
        <v>0</v>
      </c>
      <c r="BE81" s="74"/>
      <c r="BF81" s="7"/>
      <c r="BG81" s="74"/>
      <c r="BH81" s="7"/>
      <c r="BI81" s="7"/>
      <c r="BJ81" s="7"/>
      <c r="BK81" s="7"/>
      <c r="BL81" s="7"/>
      <c r="BM81" s="7"/>
      <c r="BN81" s="7"/>
      <c r="BO81" s="7"/>
      <c r="BP81" s="7"/>
      <c r="BQ81" s="7"/>
    </row>
    <row r="82" spans="1:69" ht="19.8" thickBot="1" x14ac:dyDescent="0.35">
      <c r="A82" s="16">
        <v>80</v>
      </c>
      <c r="B82" s="52">
        <v>44482</v>
      </c>
      <c r="C82" s="53" t="str">
        <f t="shared" si="54"/>
        <v>1400/07/21</v>
      </c>
      <c r="D82" s="54">
        <v>0.63000000000000056</v>
      </c>
      <c r="E82" s="54">
        <v>0.51035000000000064</v>
      </c>
      <c r="F82" s="11" t="e">
        <f t="shared" si="55"/>
        <v>#N/A</v>
      </c>
      <c r="G82" s="38" t="str">
        <f t="shared" si="56"/>
        <v>تاریخ: 1400/07/21
درصد پیشرفت برنامه ای: 63%
درصد پیشرفت واقعی: 51.04%</v>
      </c>
      <c r="H82" s="55">
        <v>1</v>
      </c>
      <c r="I82" s="56">
        <f t="shared" si="63"/>
        <v>0.47000000000000025</v>
      </c>
      <c r="J82" s="56">
        <v>1.0000000000000004</v>
      </c>
      <c r="K82" s="56">
        <f t="shared" si="36"/>
        <v>1.0000000000000004</v>
      </c>
      <c r="L82" s="56">
        <f t="shared" si="44"/>
        <v>0.77600000000000047</v>
      </c>
      <c r="M82" s="56">
        <f>L58</f>
        <v>0.03</v>
      </c>
      <c r="N82" s="57">
        <v>0</v>
      </c>
      <c r="O82" s="16">
        <f t="shared" si="62"/>
        <v>24</v>
      </c>
      <c r="P82" s="17">
        <v>23</v>
      </c>
      <c r="Q82" s="17">
        <v>24</v>
      </c>
      <c r="R82" s="17">
        <v>23</v>
      </c>
      <c r="S82" s="17">
        <v>25</v>
      </c>
      <c r="T82" s="17">
        <v>25</v>
      </c>
      <c r="U82" s="58">
        <v>26</v>
      </c>
      <c r="V82" s="16">
        <f t="shared" si="57"/>
        <v>27</v>
      </c>
      <c r="W82" s="17">
        <f t="shared" si="58"/>
        <v>27</v>
      </c>
      <c r="X82" s="17">
        <f t="shared" si="58"/>
        <v>28</v>
      </c>
      <c r="Y82" s="17">
        <f t="shared" si="59"/>
        <v>24</v>
      </c>
      <c r="Z82" s="17">
        <f t="shared" si="45"/>
        <v>28</v>
      </c>
      <c r="AA82" s="17">
        <f t="shared" si="60"/>
        <v>26</v>
      </c>
      <c r="AB82" s="58">
        <f t="shared" si="61"/>
        <v>31</v>
      </c>
      <c r="AC82" s="67"/>
      <c r="AD82" s="67"/>
      <c r="AE82" s="67"/>
      <c r="AF82" s="67"/>
      <c r="AG82" s="67"/>
      <c r="AH82" s="67"/>
      <c r="AI82" s="73"/>
      <c r="AJ82" s="74"/>
      <c r="AK82" s="74"/>
      <c r="AL82" s="62">
        <v>0.66</v>
      </c>
      <c r="AM82" s="63">
        <v>0.7</v>
      </c>
      <c r="AN82" s="63">
        <v>0.8</v>
      </c>
      <c r="AO82" s="63">
        <v>0.55000000000000004</v>
      </c>
      <c r="AP82" s="64">
        <v>0.5</v>
      </c>
      <c r="AQ82" s="62">
        <f t="shared" si="47"/>
        <v>1</v>
      </c>
      <c r="AR82" s="65">
        <v>1</v>
      </c>
      <c r="AS82" s="62">
        <f t="shared" si="48"/>
        <v>0.47000000000000025</v>
      </c>
      <c r="AT82" s="65">
        <f t="shared" si="64"/>
        <v>0.50900000000000023</v>
      </c>
      <c r="AU82" s="62">
        <f t="shared" si="49"/>
        <v>1.0000000000000004</v>
      </c>
      <c r="AV82" s="65">
        <v>1.0000000000000004</v>
      </c>
      <c r="AW82" s="62">
        <f t="shared" si="50"/>
        <v>1.0000000000000004</v>
      </c>
      <c r="AX82" s="65">
        <v>1</v>
      </c>
      <c r="AY82" s="62">
        <f t="shared" si="51"/>
        <v>0.77600000000000047</v>
      </c>
      <c r="AZ82" s="65">
        <f t="shared" si="43"/>
        <v>0.9200000000000006</v>
      </c>
      <c r="BA82" s="62">
        <f t="shared" si="52"/>
        <v>0.03</v>
      </c>
      <c r="BB82" s="65">
        <f t="shared" si="65"/>
        <v>0.24</v>
      </c>
      <c r="BC82" s="62">
        <f t="shared" si="53"/>
        <v>0</v>
      </c>
      <c r="BD82" s="65">
        <v>0</v>
      </c>
      <c r="BE82" s="74"/>
      <c r="BF82" s="7"/>
      <c r="BG82" s="74"/>
      <c r="BH82" s="7"/>
      <c r="BI82" s="7"/>
      <c r="BJ82" s="7"/>
      <c r="BK82" s="7"/>
      <c r="BL82" s="7"/>
      <c r="BM82" s="7"/>
      <c r="BN82" s="7"/>
      <c r="BO82" s="7"/>
      <c r="BP82" s="7"/>
      <c r="BQ82" s="7"/>
    </row>
    <row r="83" spans="1:69" ht="19.8" thickBot="1" x14ac:dyDescent="0.35">
      <c r="A83" s="16">
        <v>81</v>
      </c>
      <c r="B83" s="52">
        <v>44489</v>
      </c>
      <c r="C83" s="53" t="str">
        <f t="shared" si="54"/>
        <v>1400/07/28</v>
      </c>
      <c r="D83" s="54">
        <v>0.63300000000000056</v>
      </c>
      <c r="E83" s="54">
        <v>0.51035000000000064</v>
      </c>
      <c r="F83" s="11" t="e">
        <f t="shared" si="55"/>
        <v>#N/A</v>
      </c>
      <c r="G83" s="38" t="str">
        <f t="shared" si="56"/>
        <v>تاریخ: 1400/07/28
درصد پیشرفت برنامه ای: 63.3%
درصد پیشرفت واقعی: 51.04%</v>
      </c>
      <c r="H83" s="55">
        <v>1</v>
      </c>
      <c r="I83" s="56">
        <f t="shared" si="63"/>
        <v>0.48000000000000026</v>
      </c>
      <c r="J83" s="56">
        <v>1.0000000000000004</v>
      </c>
      <c r="K83" s="56">
        <f t="shared" si="36"/>
        <v>1.0000000000000004</v>
      </c>
      <c r="L83" s="56">
        <f t="shared" si="44"/>
        <v>0.8080000000000005</v>
      </c>
      <c r="M83" s="56">
        <f t="shared" si="44"/>
        <v>0.04</v>
      </c>
      <c r="N83" s="57">
        <v>0</v>
      </c>
      <c r="O83" s="16">
        <f t="shared" si="62"/>
        <v>26</v>
      </c>
      <c r="P83" s="17">
        <v>25</v>
      </c>
      <c r="Q83" s="17">
        <v>25</v>
      </c>
      <c r="R83" s="17">
        <v>26</v>
      </c>
      <c r="S83" s="17">
        <v>26</v>
      </c>
      <c r="T83" s="17">
        <v>25</v>
      </c>
      <c r="U83" s="58">
        <v>25</v>
      </c>
      <c r="V83" s="16">
        <f t="shared" si="57"/>
        <v>29</v>
      </c>
      <c r="W83" s="17">
        <f t="shared" si="58"/>
        <v>29</v>
      </c>
      <c r="X83" s="17">
        <f t="shared" si="58"/>
        <v>29</v>
      </c>
      <c r="Y83" s="17">
        <f t="shared" si="59"/>
        <v>27</v>
      </c>
      <c r="Z83" s="17">
        <f t="shared" si="45"/>
        <v>29</v>
      </c>
      <c r="AA83" s="17">
        <f t="shared" si="60"/>
        <v>26</v>
      </c>
      <c r="AB83" s="58">
        <f t="shared" si="61"/>
        <v>30</v>
      </c>
      <c r="AC83" s="67"/>
      <c r="AD83" s="67"/>
      <c r="AE83" s="67"/>
      <c r="AF83" s="67"/>
      <c r="AG83" s="67"/>
      <c r="AH83" s="67"/>
      <c r="AI83" s="73"/>
      <c r="AJ83" s="74"/>
      <c r="AK83" s="74"/>
      <c r="AL83" s="62">
        <v>0.55000000000000004</v>
      </c>
      <c r="AM83" s="63">
        <v>0.4</v>
      </c>
      <c r="AN83" s="63">
        <v>0.4</v>
      </c>
      <c r="AO83" s="63">
        <v>0.9</v>
      </c>
      <c r="AP83" s="64">
        <v>0.8</v>
      </c>
      <c r="AQ83" s="62">
        <f t="shared" si="47"/>
        <v>1</v>
      </c>
      <c r="AR83" s="65">
        <v>1</v>
      </c>
      <c r="AS83" s="62">
        <f t="shared" si="48"/>
        <v>0.48000000000000026</v>
      </c>
      <c r="AT83" s="65">
        <f t="shared" si="64"/>
        <v>0.51700000000000024</v>
      </c>
      <c r="AU83" s="62">
        <f t="shared" si="49"/>
        <v>1.0000000000000004</v>
      </c>
      <c r="AV83" s="65">
        <v>1.0000000000000004</v>
      </c>
      <c r="AW83" s="62">
        <f t="shared" si="50"/>
        <v>1.0000000000000004</v>
      </c>
      <c r="AX83" s="65">
        <v>1</v>
      </c>
      <c r="AY83" s="62">
        <f t="shared" si="51"/>
        <v>0.8080000000000005</v>
      </c>
      <c r="AZ83" s="65">
        <f t="shared" si="43"/>
        <v>0.95000000000000062</v>
      </c>
      <c r="BA83" s="62">
        <f t="shared" si="52"/>
        <v>0.04</v>
      </c>
      <c r="BB83" s="65">
        <f t="shared" si="65"/>
        <v>0.27</v>
      </c>
      <c r="BC83" s="62">
        <f t="shared" si="53"/>
        <v>0</v>
      </c>
      <c r="BD83" s="65">
        <v>0</v>
      </c>
      <c r="BE83" s="74"/>
      <c r="BF83" s="7"/>
      <c r="BG83" s="74"/>
      <c r="BH83" s="7"/>
      <c r="BI83" s="7"/>
      <c r="BJ83" s="7"/>
      <c r="BK83" s="7"/>
      <c r="BL83" s="7"/>
      <c r="BM83" s="7"/>
      <c r="BN83" s="7"/>
      <c r="BO83" s="7"/>
      <c r="BP83" s="7"/>
      <c r="BQ83" s="7"/>
    </row>
    <row r="84" spans="1:69" ht="19.8" thickBot="1" x14ac:dyDescent="0.35">
      <c r="A84" s="16">
        <v>82</v>
      </c>
      <c r="B84" s="52">
        <v>44496</v>
      </c>
      <c r="C84" s="53" t="str">
        <f t="shared" si="54"/>
        <v>1400/08/05</v>
      </c>
      <c r="D84" s="54">
        <v>0.63600000000000056</v>
      </c>
      <c r="E84" s="54">
        <v>0.51035000000000064</v>
      </c>
      <c r="F84" s="11" t="e">
        <f t="shared" si="55"/>
        <v>#N/A</v>
      </c>
      <c r="G84" s="38" t="str">
        <f t="shared" si="56"/>
        <v>تاریخ: 1400/08/05
درصد پیشرفت برنامه ای: 63.6%
درصد پیشرفت واقعی: 51.04%</v>
      </c>
      <c r="H84" s="55">
        <v>1</v>
      </c>
      <c r="I84" s="56">
        <f t="shared" si="63"/>
        <v>0.49000000000000027</v>
      </c>
      <c r="J84" s="56">
        <v>1.0000000000000004</v>
      </c>
      <c r="K84" s="56">
        <f t="shared" si="36"/>
        <v>1.0000000000000004</v>
      </c>
      <c r="L84" s="56">
        <f t="shared" si="44"/>
        <v>0.84000000000000052</v>
      </c>
      <c r="M84" s="56">
        <f t="shared" si="44"/>
        <v>7.2000000000000008E-2</v>
      </c>
      <c r="N84" s="57">
        <v>0</v>
      </c>
      <c r="O84" s="16">
        <f t="shared" si="62"/>
        <v>25</v>
      </c>
      <c r="P84" s="17">
        <v>15</v>
      </c>
      <c r="Q84" s="17">
        <v>15</v>
      </c>
      <c r="R84" s="17">
        <v>18</v>
      </c>
      <c r="S84" s="17">
        <v>17</v>
      </c>
      <c r="T84" s="17">
        <v>18</v>
      </c>
      <c r="U84" s="58">
        <v>19</v>
      </c>
      <c r="V84" s="16">
        <f t="shared" si="57"/>
        <v>28</v>
      </c>
      <c r="W84" s="17">
        <f t="shared" si="58"/>
        <v>19</v>
      </c>
      <c r="X84" s="17">
        <f t="shared" si="58"/>
        <v>19</v>
      </c>
      <c r="Y84" s="17">
        <f t="shared" si="59"/>
        <v>19</v>
      </c>
      <c r="Z84" s="17">
        <f t="shared" si="45"/>
        <v>20</v>
      </c>
      <c r="AA84" s="17">
        <f t="shared" si="60"/>
        <v>19</v>
      </c>
      <c r="AB84" s="58">
        <f t="shared" si="61"/>
        <v>24</v>
      </c>
      <c r="AC84" s="67"/>
      <c r="AD84" s="67"/>
      <c r="AE84" s="67"/>
      <c r="AF84" s="67"/>
      <c r="AG84" s="67"/>
      <c r="AH84" s="67"/>
      <c r="AI84" s="73"/>
      <c r="AJ84" s="74"/>
      <c r="AK84" s="74"/>
      <c r="AL84" s="62">
        <v>0.7</v>
      </c>
      <c r="AM84" s="63">
        <v>0.55000000000000004</v>
      </c>
      <c r="AN84" s="63">
        <v>0.1</v>
      </c>
      <c r="AO84" s="63">
        <v>0.4</v>
      </c>
      <c r="AP84" s="64">
        <v>0.9</v>
      </c>
      <c r="AQ84" s="62">
        <f t="shared" si="47"/>
        <v>1</v>
      </c>
      <c r="AR84" s="65">
        <v>1</v>
      </c>
      <c r="AS84" s="62">
        <f t="shared" si="48"/>
        <v>0.49000000000000027</v>
      </c>
      <c r="AT84" s="65">
        <f t="shared" si="64"/>
        <v>0.52500000000000024</v>
      </c>
      <c r="AU84" s="62">
        <f t="shared" si="49"/>
        <v>1.0000000000000004</v>
      </c>
      <c r="AV84" s="65">
        <v>1.0000000000000004</v>
      </c>
      <c r="AW84" s="62">
        <f t="shared" si="50"/>
        <v>1.0000000000000004</v>
      </c>
      <c r="AX84" s="65">
        <v>1</v>
      </c>
      <c r="AY84" s="62">
        <f t="shared" si="51"/>
        <v>0.84000000000000052</v>
      </c>
      <c r="AZ84" s="65">
        <f t="shared" si="43"/>
        <v>0.98000000000000065</v>
      </c>
      <c r="BA84" s="62">
        <f t="shared" si="52"/>
        <v>7.2000000000000008E-2</v>
      </c>
      <c r="BB84" s="65">
        <f t="shared" si="65"/>
        <v>0.30000000000000004</v>
      </c>
      <c r="BC84" s="62">
        <f t="shared" si="53"/>
        <v>0</v>
      </c>
      <c r="BD84" s="65">
        <v>0</v>
      </c>
      <c r="BE84" s="74"/>
      <c r="BF84" s="7"/>
      <c r="BG84" s="74"/>
      <c r="BH84" s="7"/>
      <c r="BI84" s="7"/>
      <c r="BJ84" s="7"/>
      <c r="BK84" s="7"/>
      <c r="BL84" s="7"/>
      <c r="BM84" s="7"/>
      <c r="BN84" s="7"/>
      <c r="BO84" s="7"/>
      <c r="BP84" s="7"/>
      <c r="BQ84" s="7"/>
    </row>
    <row r="85" spans="1:69" ht="19.8" thickBot="1" x14ac:dyDescent="0.35">
      <c r="A85" s="16">
        <v>83</v>
      </c>
      <c r="B85" s="52">
        <v>44503</v>
      </c>
      <c r="C85" s="53" t="str">
        <f t="shared" si="54"/>
        <v>1400/08/12</v>
      </c>
      <c r="D85" s="54">
        <v>0.63900000000000057</v>
      </c>
      <c r="E85" s="54">
        <v>0.51035000000000064</v>
      </c>
      <c r="F85" s="11" t="e">
        <f t="shared" si="55"/>
        <v>#N/A</v>
      </c>
      <c r="G85" s="38" t="str">
        <f t="shared" si="56"/>
        <v>تاریخ: 1400/08/12
درصد پیشرفت برنامه ای: 63.9%
درصد پیشرفت واقعی: 51.04%</v>
      </c>
      <c r="H85" s="55">
        <v>1</v>
      </c>
      <c r="I85" s="56">
        <f t="shared" si="63"/>
        <v>0.50000000000000022</v>
      </c>
      <c r="J85" s="56">
        <v>1.0000000000000004</v>
      </c>
      <c r="K85" s="56">
        <f t="shared" si="36"/>
        <v>1.0000000000000004</v>
      </c>
      <c r="L85" s="56">
        <f t="shared" si="44"/>
        <v>0.87200000000000055</v>
      </c>
      <c r="M85" s="56">
        <f t="shared" si="44"/>
        <v>0.10400000000000001</v>
      </c>
      <c r="N85" s="57">
        <v>0</v>
      </c>
      <c r="O85" s="16">
        <f t="shared" si="62"/>
        <v>19</v>
      </c>
      <c r="P85" s="17">
        <v>19</v>
      </c>
      <c r="Q85" s="17">
        <v>17</v>
      </c>
      <c r="R85" s="17">
        <v>17</v>
      </c>
      <c r="S85" s="17">
        <v>19</v>
      </c>
      <c r="T85" s="17">
        <v>20</v>
      </c>
      <c r="U85" s="58">
        <v>21</v>
      </c>
      <c r="V85" s="16">
        <f t="shared" si="57"/>
        <v>22</v>
      </c>
      <c r="W85" s="17">
        <f t="shared" si="58"/>
        <v>23</v>
      </c>
      <c r="X85" s="17">
        <f t="shared" si="58"/>
        <v>21</v>
      </c>
      <c r="Y85" s="17">
        <f t="shared" si="59"/>
        <v>18</v>
      </c>
      <c r="Z85" s="17">
        <f t="shared" si="45"/>
        <v>22</v>
      </c>
      <c r="AA85" s="17">
        <f t="shared" si="60"/>
        <v>21</v>
      </c>
      <c r="AB85" s="58">
        <f t="shared" si="61"/>
        <v>26</v>
      </c>
      <c r="AC85" s="67"/>
      <c r="AD85" s="67"/>
      <c r="AE85" s="67"/>
      <c r="AF85" s="67"/>
      <c r="AG85" s="67"/>
      <c r="AH85" s="67"/>
      <c r="AI85" s="73"/>
      <c r="AJ85" s="74"/>
      <c r="AK85" s="74"/>
      <c r="AL85" s="62">
        <v>0.4</v>
      </c>
      <c r="AM85" s="63">
        <v>0.69</v>
      </c>
      <c r="AN85" s="63">
        <v>0.5</v>
      </c>
      <c r="AO85" s="63">
        <v>0.2</v>
      </c>
      <c r="AP85" s="64">
        <v>0.4</v>
      </c>
      <c r="AQ85" s="62">
        <f t="shared" si="47"/>
        <v>1</v>
      </c>
      <c r="AR85" s="65">
        <v>1</v>
      </c>
      <c r="AS85" s="62">
        <f t="shared" si="48"/>
        <v>0.50000000000000022</v>
      </c>
      <c r="AT85" s="65">
        <f t="shared" si="64"/>
        <v>0.53300000000000025</v>
      </c>
      <c r="AU85" s="62">
        <f t="shared" si="49"/>
        <v>1.0000000000000004</v>
      </c>
      <c r="AV85" s="65">
        <v>1.0000000000000004</v>
      </c>
      <c r="AW85" s="62">
        <f t="shared" si="50"/>
        <v>1.0000000000000004</v>
      </c>
      <c r="AX85" s="65">
        <v>1</v>
      </c>
      <c r="AY85" s="62">
        <f t="shared" si="51"/>
        <v>0.87200000000000055</v>
      </c>
      <c r="AZ85" s="65">
        <v>1.0000000000000004</v>
      </c>
      <c r="BA85" s="62">
        <f t="shared" si="52"/>
        <v>0.10400000000000001</v>
      </c>
      <c r="BB85" s="65">
        <f t="shared" si="65"/>
        <v>0.33000000000000007</v>
      </c>
      <c r="BC85" s="62">
        <f t="shared" si="53"/>
        <v>0</v>
      </c>
      <c r="BD85" s="65">
        <v>0</v>
      </c>
      <c r="BE85" s="74"/>
      <c r="BF85" s="7"/>
      <c r="BG85" s="74"/>
      <c r="BH85" s="7"/>
      <c r="BI85" s="7"/>
      <c r="BJ85" s="7"/>
      <c r="BK85" s="7"/>
      <c r="BL85" s="7"/>
      <c r="BM85" s="7"/>
      <c r="BN85" s="7"/>
      <c r="BO85" s="7"/>
      <c r="BP85" s="7"/>
      <c r="BQ85" s="7"/>
    </row>
    <row r="86" spans="1:69" ht="19.8" thickBot="1" x14ac:dyDescent="0.35">
      <c r="A86" s="16">
        <v>84</v>
      </c>
      <c r="B86" s="52">
        <v>44510</v>
      </c>
      <c r="C86" s="53" t="str">
        <f t="shared" si="54"/>
        <v>1400/08/19</v>
      </c>
      <c r="D86" s="54">
        <v>0.64200000000000057</v>
      </c>
      <c r="E86" s="54">
        <v>0.51035000000000064</v>
      </c>
      <c r="F86" s="11" t="e">
        <f t="shared" si="55"/>
        <v>#N/A</v>
      </c>
      <c r="G86" s="38" t="str">
        <f t="shared" si="56"/>
        <v>تاریخ: 1400/08/19
درصد پیشرفت برنامه ای: 64.2%
درصد پیشرفت واقعی: 51.04%</v>
      </c>
      <c r="H86" s="55">
        <v>1</v>
      </c>
      <c r="I86" s="56">
        <f t="shared" si="63"/>
        <v>0.51000000000000023</v>
      </c>
      <c r="J86" s="56">
        <v>1.0000000000000004</v>
      </c>
      <c r="K86" s="56">
        <f t="shared" si="36"/>
        <v>1.0000000000000004</v>
      </c>
      <c r="L86" s="56">
        <f t="shared" si="44"/>
        <v>0.90400000000000058</v>
      </c>
      <c r="M86" s="56">
        <f t="shared" si="44"/>
        <v>0.13600000000000001</v>
      </c>
      <c r="N86" s="57">
        <v>0</v>
      </c>
      <c r="O86" s="16">
        <f t="shared" si="62"/>
        <v>21</v>
      </c>
      <c r="P86" s="17">
        <v>22</v>
      </c>
      <c r="Q86" s="17">
        <v>22</v>
      </c>
      <c r="R86" s="17">
        <v>23</v>
      </c>
      <c r="S86" s="17">
        <v>21</v>
      </c>
      <c r="T86" s="17">
        <v>22</v>
      </c>
      <c r="U86" s="58">
        <v>24</v>
      </c>
      <c r="V86" s="16">
        <f t="shared" si="57"/>
        <v>24</v>
      </c>
      <c r="W86" s="17">
        <f t="shared" si="58"/>
        <v>26</v>
      </c>
      <c r="X86" s="17">
        <f t="shared" si="58"/>
        <v>26</v>
      </c>
      <c r="Y86" s="17">
        <f t="shared" si="59"/>
        <v>24</v>
      </c>
      <c r="Z86" s="17">
        <f t="shared" si="45"/>
        <v>24</v>
      </c>
      <c r="AA86" s="17">
        <f t="shared" si="60"/>
        <v>23</v>
      </c>
      <c r="AB86" s="58">
        <f t="shared" si="61"/>
        <v>29</v>
      </c>
      <c r="AC86" s="67"/>
      <c r="AD86" s="67"/>
      <c r="AE86" s="67"/>
      <c r="AF86" s="67"/>
      <c r="AG86" s="67"/>
      <c r="AH86" s="67"/>
      <c r="AI86" s="73"/>
      <c r="AJ86" s="74"/>
      <c r="AK86" s="74"/>
      <c r="AL86" s="62">
        <v>0.35</v>
      </c>
      <c r="AM86" s="63">
        <v>0.4</v>
      </c>
      <c r="AN86" s="63">
        <v>0.9</v>
      </c>
      <c r="AO86" s="63">
        <v>0.8</v>
      </c>
      <c r="AP86" s="64">
        <v>0.2</v>
      </c>
      <c r="AQ86" s="62">
        <f t="shared" si="47"/>
        <v>1</v>
      </c>
      <c r="AR86" s="65">
        <v>1</v>
      </c>
      <c r="AS86" s="62">
        <f t="shared" si="48"/>
        <v>0.51000000000000023</v>
      </c>
      <c r="AT86" s="65">
        <f t="shared" si="41"/>
        <v>0.53600000000000025</v>
      </c>
      <c r="AU86" s="62">
        <f t="shared" si="49"/>
        <v>1.0000000000000004</v>
      </c>
      <c r="AV86" s="65">
        <v>1.0000000000000004</v>
      </c>
      <c r="AW86" s="62">
        <f t="shared" si="50"/>
        <v>1.0000000000000004</v>
      </c>
      <c r="AX86" s="65">
        <v>1</v>
      </c>
      <c r="AY86" s="62">
        <f t="shared" si="51"/>
        <v>0.90400000000000058</v>
      </c>
      <c r="AZ86" s="65">
        <v>1.0000000000000004</v>
      </c>
      <c r="BA86" s="62">
        <f t="shared" si="52"/>
        <v>0.13600000000000001</v>
      </c>
      <c r="BB86" s="65">
        <f t="shared" si="65"/>
        <v>0.3600000000000001</v>
      </c>
      <c r="BC86" s="62">
        <f t="shared" si="53"/>
        <v>0</v>
      </c>
      <c r="BD86" s="65">
        <v>0</v>
      </c>
      <c r="BE86" s="74"/>
      <c r="BF86" s="7"/>
      <c r="BG86" s="74"/>
      <c r="BH86" s="7"/>
      <c r="BI86" s="7"/>
      <c r="BJ86" s="7"/>
      <c r="BK86" s="7"/>
      <c r="BL86" s="7"/>
      <c r="BM86" s="7"/>
      <c r="BN86" s="7"/>
      <c r="BO86" s="7"/>
      <c r="BP86" s="7"/>
      <c r="BQ86" s="7"/>
    </row>
    <row r="87" spans="1:69" ht="19.8" thickBot="1" x14ac:dyDescent="0.35">
      <c r="A87" s="16">
        <v>85</v>
      </c>
      <c r="B87" s="52">
        <v>44517</v>
      </c>
      <c r="C87" s="53" t="str">
        <f t="shared" si="54"/>
        <v>1400/08/26</v>
      </c>
      <c r="D87" s="54">
        <v>0.64500000000000057</v>
      </c>
      <c r="E87" s="54">
        <v>0.51035000000000064</v>
      </c>
      <c r="F87" s="11" t="e">
        <f t="shared" si="55"/>
        <v>#N/A</v>
      </c>
      <c r="G87" s="38" t="str">
        <f t="shared" si="56"/>
        <v>تاریخ: 1400/08/26
درصد پیشرفت برنامه ای: 64.5%
درصد پیشرفت واقعی: 51.04%</v>
      </c>
      <c r="H87" s="55">
        <v>1</v>
      </c>
      <c r="I87" s="56">
        <f t="shared" si="63"/>
        <v>0.52000000000000024</v>
      </c>
      <c r="J87" s="56">
        <v>1.0000000000000004</v>
      </c>
      <c r="K87" s="56">
        <f t="shared" si="36"/>
        <v>1.0000000000000004</v>
      </c>
      <c r="L87" s="56">
        <f t="shared" si="44"/>
        <v>0.93600000000000061</v>
      </c>
      <c r="M87" s="56">
        <f t="shared" si="44"/>
        <v>0.16800000000000001</v>
      </c>
      <c r="N87" s="57">
        <v>0</v>
      </c>
      <c r="O87" s="16">
        <f t="shared" si="62"/>
        <v>24</v>
      </c>
      <c r="P87" s="17">
        <v>15</v>
      </c>
      <c r="Q87" s="17">
        <v>15</v>
      </c>
      <c r="R87" s="17">
        <v>18</v>
      </c>
      <c r="S87" s="17">
        <v>17</v>
      </c>
      <c r="T87" s="17">
        <v>18</v>
      </c>
      <c r="U87" s="58">
        <v>19</v>
      </c>
      <c r="V87" s="16">
        <f t="shared" si="57"/>
        <v>27</v>
      </c>
      <c r="W87" s="17">
        <f t="shared" si="58"/>
        <v>19</v>
      </c>
      <c r="X87" s="17">
        <f t="shared" si="58"/>
        <v>19</v>
      </c>
      <c r="Y87" s="17">
        <f t="shared" si="59"/>
        <v>19</v>
      </c>
      <c r="Z87" s="17">
        <f t="shared" si="45"/>
        <v>20</v>
      </c>
      <c r="AA87" s="17">
        <f t="shared" si="60"/>
        <v>19</v>
      </c>
      <c r="AB87" s="58">
        <f t="shared" si="61"/>
        <v>24</v>
      </c>
      <c r="AC87" s="67"/>
      <c r="AD87" s="67"/>
      <c r="AE87" s="67"/>
      <c r="AF87" s="67"/>
      <c r="AG87" s="67"/>
      <c r="AH87" s="67"/>
      <c r="AI87" s="73"/>
      <c r="AJ87" s="74"/>
      <c r="AK87" s="74"/>
      <c r="AL87" s="62">
        <v>0.85</v>
      </c>
      <c r="AM87" s="63">
        <v>0.8</v>
      </c>
      <c r="AN87" s="63">
        <v>0.5</v>
      </c>
      <c r="AO87" s="63">
        <v>0.6</v>
      </c>
      <c r="AP87" s="64">
        <v>0.6</v>
      </c>
      <c r="AQ87" s="62">
        <f t="shared" si="47"/>
        <v>1</v>
      </c>
      <c r="AR87" s="65">
        <v>1</v>
      </c>
      <c r="AS87" s="62">
        <f t="shared" si="48"/>
        <v>0.52000000000000024</v>
      </c>
      <c r="AT87" s="65">
        <f>AT86+0.9%</f>
        <v>0.54500000000000026</v>
      </c>
      <c r="AU87" s="62">
        <f t="shared" si="49"/>
        <v>1.0000000000000004</v>
      </c>
      <c r="AV87" s="65">
        <v>1.0000000000000004</v>
      </c>
      <c r="AW87" s="62">
        <f t="shared" si="50"/>
        <v>1.0000000000000004</v>
      </c>
      <c r="AX87" s="65">
        <v>1</v>
      </c>
      <c r="AY87" s="62">
        <f t="shared" si="51"/>
        <v>0.93600000000000061</v>
      </c>
      <c r="AZ87" s="65">
        <v>1.0000000000000004</v>
      </c>
      <c r="BA87" s="62">
        <f t="shared" si="52"/>
        <v>0.16800000000000001</v>
      </c>
      <c r="BB87" s="65">
        <f t="shared" si="65"/>
        <v>0.39000000000000012</v>
      </c>
      <c r="BC87" s="62">
        <f t="shared" si="53"/>
        <v>0</v>
      </c>
      <c r="BD87" s="65">
        <v>0</v>
      </c>
      <c r="BE87" s="74"/>
      <c r="BF87" s="7"/>
      <c r="BG87" s="74"/>
      <c r="BH87" s="7"/>
      <c r="BI87" s="7"/>
      <c r="BJ87" s="7"/>
      <c r="BK87" s="7"/>
      <c r="BL87" s="7"/>
      <c r="BM87" s="7"/>
      <c r="BN87" s="7"/>
      <c r="BO87" s="7"/>
      <c r="BP87" s="7"/>
      <c r="BQ87" s="7"/>
    </row>
    <row r="88" spans="1:69" ht="19.8" thickBot="1" x14ac:dyDescent="0.35">
      <c r="A88" s="16">
        <v>86</v>
      </c>
      <c r="B88" s="52">
        <v>44524</v>
      </c>
      <c r="C88" s="53" t="str">
        <f t="shared" si="54"/>
        <v>1400/09/03</v>
      </c>
      <c r="D88" s="54">
        <v>0.64800000000000058</v>
      </c>
      <c r="E88" s="54">
        <v>0.51035000000000064</v>
      </c>
      <c r="F88" s="11" t="e">
        <f t="shared" si="55"/>
        <v>#N/A</v>
      </c>
      <c r="G88" s="38" t="str">
        <f t="shared" si="56"/>
        <v>تاریخ: 1400/09/03
درصد پیشرفت برنامه ای: 64.8%
درصد پیشرفت واقعی: 51.04%</v>
      </c>
      <c r="H88" s="55">
        <v>1</v>
      </c>
      <c r="I88" s="56">
        <f t="shared" si="63"/>
        <v>0.53000000000000025</v>
      </c>
      <c r="J88" s="56">
        <v>1.0000000000000004</v>
      </c>
      <c r="K88" s="56">
        <f t="shared" si="36"/>
        <v>1.0000000000000004</v>
      </c>
      <c r="L88" s="56">
        <f t="shared" si="44"/>
        <v>0.96800000000000064</v>
      </c>
      <c r="M88" s="56">
        <f t="shared" si="44"/>
        <v>0.2</v>
      </c>
      <c r="N88" s="57">
        <v>0</v>
      </c>
      <c r="O88" s="16">
        <f t="shared" si="62"/>
        <v>19</v>
      </c>
      <c r="P88" s="17">
        <v>19</v>
      </c>
      <c r="Q88" s="17">
        <v>17</v>
      </c>
      <c r="R88" s="17">
        <v>17</v>
      </c>
      <c r="S88" s="17">
        <v>19</v>
      </c>
      <c r="T88" s="17">
        <v>20</v>
      </c>
      <c r="U88" s="58">
        <v>21</v>
      </c>
      <c r="V88" s="16">
        <f t="shared" si="57"/>
        <v>22</v>
      </c>
      <c r="W88" s="17">
        <f t="shared" si="58"/>
        <v>23</v>
      </c>
      <c r="X88" s="17">
        <f t="shared" si="58"/>
        <v>21</v>
      </c>
      <c r="Y88" s="17">
        <f t="shared" si="59"/>
        <v>18</v>
      </c>
      <c r="Z88" s="17">
        <f t="shared" si="45"/>
        <v>22</v>
      </c>
      <c r="AA88" s="17">
        <f t="shared" si="60"/>
        <v>21</v>
      </c>
      <c r="AB88" s="58">
        <f t="shared" si="61"/>
        <v>26</v>
      </c>
      <c r="AC88" s="67"/>
      <c r="AD88" s="67"/>
      <c r="AE88" s="67"/>
      <c r="AF88" s="67"/>
      <c r="AG88" s="67"/>
      <c r="AH88" s="67"/>
      <c r="AI88" s="73"/>
      <c r="AJ88" s="74"/>
      <c r="AK88" s="74"/>
      <c r="AL88" s="62">
        <v>0.9</v>
      </c>
      <c r="AM88" s="63">
        <v>0.95</v>
      </c>
      <c r="AN88" s="63">
        <v>0.8</v>
      </c>
      <c r="AO88" s="63">
        <v>0.7</v>
      </c>
      <c r="AP88" s="64">
        <v>0.1</v>
      </c>
      <c r="AQ88" s="62">
        <f t="shared" si="47"/>
        <v>1</v>
      </c>
      <c r="AR88" s="65">
        <v>1</v>
      </c>
      <c r="AS88" s="62">
        <f t="shared" si="48"/>
        <v>0.53000000000000025</v>
      </c>
      <c r="AT88" s="65">
        <f t="shared" ref="AT88:AT116" si="66">AT87+0.9%</f>
        <v>0.55400000000000027</v>
      </c>
      <c r="AU88" s="62">
        <f t="shared" si="49"/>
        <v>1.0000000000000004</v>
      </c>
      <c r="AV88" s="65">
        <v>1.0000000000000004</v>
      </c>
      <c r="AW88" s="62">
        <f t="shared" si="50"/>
        <v>1.0000000000000004</v>
      </c>
      <c r="AX88" s="65">
        <v>1</v>
      </c>
      <c r="AY88" s="62">
        <f t="shared" si="51"/>
        <v>0.96800000000000064</v>
      </c>
      <c r="AZ88" s="65">
        <v>1.0000000000000004</v>
      </c>
      <c r="BA88" s="62">
        <f t="shared" si="52"/>
        <v>0.2</v>
      </c>
      <c r="BB88" s="65">
        <f t="shared" si="65"/>
        <v>0.42000000000000015</v>
      </c>
      <c r="BC88" s="62">
        <f t="shared" si="53"/>
        <v>0</v>
      </c>
      <c r="BD88" s="65">
        <v>0</v>
      </c>
      <c r="BE88" s="74"/>
      <c r="BF88" s="7"/>
      <c r="BG88" s="74"/>
      <c r="BH88" s="7"/>
      <c r="BI88" s="7"/>
      <c r="BJ88" s="7"/>
      <c r="BK88" s="7"/>
      <c r="BL88" s="7"/>
      <c r="BM88" s="7"/>
      <c r="BN88" s="7"/>
      <c r="BO88" s="7"/>
      <c r="BP88" s="7"/>
      <c r="BQ88" s="7"/>
    </row>
    <row r="89" spans="1:69" ht="19.8" thickBot="1" x14ac:dyDescent="0.35">
      <c r="A89" s="16">
        <v>87</v>
      </c>
      <c r="B89" s="52">
        <v>44531</v>
      </c>
      <c r="C89" s="53" t="str">
        <f t="shared" si="54"/>
        <v>1400/09/10</v>
      </c>
      <c r="D89" s="54">
        <v>0.65500000000000058</v>
      </c>
      <c r="E89" s="54">
        <v>0.51035000000000064</v>
      </c>
      <c r="F89" s="11" t="e">
        <f t="shared" si="55"/>
        <v>#N/A</v>
      </c>
      <c r="G89" s="38" t="str">
        <f t="shared" si="56"/>
        <v>تاریخ: 1400/09/10
درصد پیشرفت برنامه ای: 65.5%
درصد پیشرفت واقعی: 51.04%</v>
      </c>
      <c r="H89" s="55">
        <v>1</v>
      </c>
      <c r="I89" s="56">
        <f t="shared" si="63"/>
        <v>0.54000000000000026</v>
      </c>
      <c r="J89" s="56">
        <v>1.0000000000000004</v>
      </c>
      <c r="K89" s="56">
        <f t="shared" si="36"/>
        <v>1.0000000000000004</v>
      </c>
      <c r="L89" s="56">
        <f t="shared" si="44"/>
        <v>1.0000000000000004</v>
      </c>
      <c r="M89" s="56">
        <f t="shared" si="44"/>
        <v>0.23200000000000001</v>
      </c>
      <c r="N89" s="57">
        <v>0</v>
      </c>
      <c r="O89" s="16">
        <f t="shared" si="62"/>
        <v>21</v>
      </c>
      <c r="P89" s="17">
        <v>15</v>
      </c>
      <c r="Q89" s="17">
        <v>15</v>
      </c>
      <c r="R89" s="17">
        <v>18</v>
      </c>
      <c r="S89" s="17">
        <v>17</v>
      </c>
      <c r="T89" s="17">
        <v>18</v>
      </c>
      <c r="U89" s="58">
        <v>19</v>
      </c>
      <c r="V89" s="16">
        <f t="shared" si="57"/>
        <v>24</v>
      </c>
      <c r="W89" s="17">
        <f t="shared" si="58"/>
        <v>19</v>
      </c>
      <c r="X89" s="17">
        <f t="shared" si="58"/>
        <v>19</v>
      </c>
      <c r="Y89" s="17">
        <f t="shared" si="59"/>
        <v>19</v>
      </c>
      <c r="Z89" s="17">
        <f t="shared" si="45"/>
        <v>20</v>
      </c>
      <c r="AA89" s="17">
        <f t="shared" si="60"/>
        <v>19</v>
      </c>
      <c r="AB89" s="58">
        <f t="shared" si="61"/>
        <v>24</v>
      </c>
      <c r="AC89" s="67"/>
      <c r="AD89" s="67"/>
      <c r="AE89" s="67"/>
      <c r="AF89" s="67"/>
      <c r="AG89" s="67"/>
      <c r="AH89" s="67"/>
      <c r="AI89" s="73"/>
      <c r="AJ89" s="74"/>
      <c r="AK89" s="74"/>
      <c r="AL89" s="62">
        <v>0.7</v>
      </c>
      <c r="AM89" s="63">
        <v>0.68</v>
      </c>
      <c r="AN89" s="63">
        <v>0.5</v>
      </c>
      <c r="AO89" s="63">
        <v>0.9</v>
      </c>
      <c r="AP89" s="64">
        <v>0.55000000000000004</v>
      </c>
      <c r="AQ89" s="62">
        <f t="shared" si="47"/>
        <v>1</v>
      </c>
      <c r="AR89" s="65">
        <v>1</v>
      </c>
      <c r="AS89" s="62">
        <f t="shared" si="48"/>
        <v>0.54000000000000026</v>
      </c>
      <c r="AT89" s="65">
        <f t="shared" si="66"/>
        <v>0.56300000000000028</v>
      </c>
      <c r="AU89" s="62">
        <f t="shared" si="49"/>
        <v>1.0000000000000004</v>
      </c>
      <c r="AV89" s="65">
        <v>1.0000000000000004</v>
      </c>
      <c r="AW89" s="62">
        <f t="shared" si="50"/>
        <v>1.0000000000000004</v>
      </c>
      <c r="AX89" s="65">
        <v>1</v>
      </c>
      <c r="AY89" s="62">
        <f t="shared" si="51"/>
        <v>1.0000000000000004</v>
      </c>
      <c r="AZ89" s="65">
        <v>1.0000000000000004</v>
      </c>
      <c r="BA89" s="62">
        <f t="shared" si="52"/>
        <v>0.23200000000000001</v>
      </c>
      <c r="BB89" s="65">
        <f t="shared" si="65"/>
        <v>0.45000000000000018</v>
      </c>
      <c r="BC89" s="62">
        <f t="shared" si="53"/>
        <v>0</v>
      </c>
      <c r="BD89" s="65">
        <v>0</v>
      </c>
      <c r="BE89" s="74"/>
      <c r="BF89" s="7"/>
      <c r="BG89" s="74"/>
      <c r="BH89" s="7"/>
      <c r="BI89" s="7"/>
      <c r="BJ89" s="7"/>
      <c r="BK89" s="7"/>
      <c r="BL89" s="7"/>
      <c r="BM89" s="7"/>
      <c r="BN89" s="7"/>
      <c r="BO89" s="7"/>
      <c r="BP89" s="7"/>
      <c r="BQ89" s="7"/>
    </row>
    <row r="90" spans="1:69" ht="19.8" thickBot="1" x14ac:dyDescent="0.35">
      <c r="A90" s="16">
        <v>88</v>
      </c>
      <c r="B90" s="52">
        <v>44538</v>
      </c>
      <c r="C90" s="53" t="str">
        <f t="shared" si="54"/>
        <v>1400/09/17</v>
      </c>
      <c r="D90" s="54">
        <v>0.66200000000000059</v>
      </c>
      <c r="E90" s="54">
        <v>0.51602700000000068</v>
      </c>
      <c r="F90" s="11" t="e">
        <f t="shared" si="55"/>
        <v>#N/A</v>
      </c>
      <c r="G90" s="38" t="str">
        <f t="shared" si="56"/>
        <v>تاریخ: 1400/09/17
درصد پیشرفت برنامه ای: 66.2%
درصد پیشرفت واقعی: 51.6%</v>
      </c>
      <c r="H90" s="55">
        <v>1</v>
      </c>
      <c r="I90" s="56">
        <f t="shared" si="63"/>
        <v>0.55000000000000027</v>
      </c>
      <c r="J90" s="56">
        <v>1.0000000000000004</v>
      </c>
      <c r="K90" s="56">
        <f t="shared" si="36"/>
        <v>1.0000000000000004</v>
      </c>
      <c r="L90" s="56">
        <f t="shared" si="44"/>
        <v>1.0000000000000004</v>
      </c>
      <c r="M90" s="56">
        <f t="shared" si="44"/>
        <v>0.26400000000000001</v>
      </c>
      <c r="N90" s="57">
        <v>0</v>
      </c>
      <c r="O90" s="16">
        <f t="shared" si="62"/>
        <v>19</v>
      </c>
      <c r="P90" s="17">
        <v>19</v>
      </c>
      <c r="Q90" s="17">
        <v>17</v>
      </c>
      <c r="R90" s="17">
        <v>17</v>
      </c>
      <c r="S90" s="17">
        <v>19</v>
      </c>
      <c r="T90" s="17">
        <v>20</v>
      </c>
      <c r="U90" s="58">
        <v>21</v>
      </c>
      <c r="V90" s="16">
        <f t="shared" si="57"/>
        <v>22</v>
      </c>
      <c r="W90" s="17">
        <f t="shared" si="58"/>
        <v>23</v>
      </c>
      <c r="X90" s="17">
        <f t="shared" si="58"/>
        <v>21</v>
      </c>
      <c r="Y90" s="17">
        <f t="shared" si="59"/>
        <v>18</v>
      </c>
      <c r="Z90" s="17">
        <f t="shared" si="45"/>
        <v>22</v>
      </c>
      <c r="AA90" s="17">
        <f t="shared" si="60"/>
        <v>21</v>
      </c>
      <c r="AB90" s="58">
        <f t="shared" si="61"/>
        <v>26</v>
      </c>
      <c r="AC90" s="67"/>
      <c r="AD90" s="67"/>
      <c r="AE90" s="67"/>
      <c r="AF90" s="67"/>
      <c r="AG90" s="67"/>
      <c r="AH90" s="67"/>
      <c r="AI90" s="73"/>
      <c r="AJ90" s="74"/>
      <c r="AK90" s="74"/>
      <c r="AL90" s="62">
        <v>0.6</v>
      </c>
      <c r="AM90" s="63">
        <v>0.5</v>
      </c>
      <c r="AN90" s="63">
        <v>0.66</v>
      </c>
      <c r="AO90" s="63">
        <v>0.5</v>
      </c>
      <c r="AP90" s="64">
        <v>0.9</v>
      </c>
      <c r="AQ90" s="62">
        <f t="shared" si="47"/>
        <v>1</v>
      </c>
      <c r="AR90" s="65">
        <v>1</v>
      </c>
      <c r="AS90" s="62">
        <f t="shared" si="48"/>
        <v>0.55000000000000027</v>
      </c>
      <c r="AT90" s="65">
        <f t="shared" si="66"/>
        <v>0.57200000000000029</v>
      </c>
      <c r="AU90" s="62">
        <f t="shared" si="49"/>
        <v>1.0000000000000004</v>
      </c>
      <c r="AV90" s="65">
        <v>1.0000000000000004</v>
      </c>
      <c r="AW90" s="62">
        <f t="shared" si="50"/>
        <v>1.0000000000000004</v>
      </c>
      <c r="AX90" s="65">
        <v>1</v>
      </c>
      <c r="AY90" s="62">
        <f t="shared" si="51"/>
        <v>1.0000000000000004</v>
      </c>
      <c r="AZ90" s="65">
        <v>1.0000000000000004</v>
      </c>
      <c r="BA90" s="62">
        <f t="shared" si="52"/>
        <v>0.26400000000000001</v>
      </c>
      <c r="BB90" s="65">
        <f t="shared" si="65"/>
        <v>0.4800000000000002</v>
      </c>
      <c r="BC90" s="62">
        <f t="shared" si="53"/>
        <v>0</v>
      </c>
      <c r="BD90" s="65">
        <v>0</v>
      </c>
      <c r="BE90" s="74"/>
      <c r="BF90" s="7"/>
      <c r="BG90" s="74"/>
      <c r="BH90" s="7"/>
      <c r="BI90" s="7"/>
      <c r="BJ90" s="7"/>
      <c r="BK90" s="7"/>
      <c r="BL90" s="7"/>
      <c r="BM90" s="7"/>
      <c r="BN90" s="7"/>
      <c r="BO90" s="7"/>
      <c r="BP90" s="7"/>
      <c r="BQ90" s="7"/>
    </row>
    <row r="91" spans="1:69" ht="19.8" thickBot="1" x14ac:dyDescent="0.35">
      <c r="A91" s="16">
        <v>89</v>
      </c>
      <c r="B91" s="52">
        <v>44545</v>
      </c>
      <c r="C91" s="53" t="str">
        <f t="shared" si="54"/>
        <v>1400/09/24</v>
      </c>
      <c r="D91" s="54">
        <v>0.66900000000000059</v>
      </c>
      <c r="E91" s="54">
        <v>0.52170400000000072</v>
      </c>
      <c r="F91" s="11" t="e">
        <f t="shared" si="55"/>
        <v>#N/A</v>
      </c>
      <c r="G91" s="38" t="str">
        <f t="shared" si="56"/>
        <v>تاریخ: 1400/09/24
درصد پیشرفت برنامه ای: 66.9%
درصد پیشرفت واقعی: 52.17%</v>
      </c>
      <c r="H91" s="55">
        <v>1</v>
      </c>
      <c r="I91" s="56">
        <f t="shared" si="63"/>
        <v>0.56000000000000028</v>
      </c>
      <c r="J91" s="56">
        <v>1.0000000000000004</v>
      </c>
      <c r="K91" s="56">
        <f t="shared" si="36"/>
        <v>1.0000000000000004</v>
      </c>
      <c r="L91" s="56">
        <f t="shared" si="44"/>
        <v>1.0000000000000004</v>
      </c>
      <c r="M91" s="56">
        <f t="shared" si="44"/>
        <v>0.29600000000000004</v>
      </c>
      <c r="N91" s="57">
        <v>0</v>
      </c>
      <c r="O91" s="16">
        <f t="shared" si="62"/>
        <v>21</v>
      </c>
      <c r="P91" s="17">
        <v>15</v>
      </c>
      <c r="Q91" s="17">
        <v>15</v>
      </c>
      <c r="R91" s="17">
        <v>18</v>
      </c>
      <c r="S91" s="17">
        <v>14</v>
      </c>
      <c r="T91" s="17">
        <v>15</v>
      </c>
      <c r="U91" s="58">
        <v>13</v>
      </c>
      <c r="V91" s="16">
        <f t="shared" si="57"/>
        <v>24</v>
      </c>
      <c r="W91" s="17">
        <f t="shared" si="58"/>
        <v>19</v>
      </c>
      <c r="X91" s="17">
        <f t="shared" si="58"/>
        <v>19</v>
      </c>
      <c r="Y91" s="17">
        <f t="shared" si="59"/>
        <v>19</v>
      </c>
      <c r="Z91" s="17">
        <f t="shared" si="45"/>
        <v>17</v>
      </c>
      <c r="AA91" s="17">
        <f t="shared" si="60"/>
        <v>16</v>
      </c>
      <c r="AB91" s="58">
        <f t="shared" si="61"/>
        <v>18</v>
      </c>
      <c r="AC91" s="67"/>
      <c r="AD91" s="67"/>
      <c r="AE91" s="67"/>
      <c r="AF91" s="67"/>
      <c r="AG91" s="67"/>
      <c r="AH91" s="67"/>
      <c r="AI91" s="73"/>
      <c r="AJ91" s="74"/>
      <c r="AK91" s="74"/>
      <c r="AL91" s="62">
        <v>0.55000000000000004</v>
      </c>
      <c r="AM91" s="63">
        <v>0.62</v>
      </c>
      <c r="AN91" s="63">
        <v>0.78</v>
      </c>
      <c r="AO91" s="63">
        <v>0.42</v>
      </c>
      <c r="AP91" s="64">
        <v>0.8</v>
      </c>
      <c r="AQ91" s="62">
        <f t="shared" si="47"/>
        <v>1</v>
      </c>
      <c r="AR91" s="65">
        <v>1</v>
      </c>
      <c r="AS91" s="62">
        <f t="shared" si="48"/>
        <v>0.56000000000000028</v>
      </c>
      <c r="AT91" s="65">
        <f t="shared" si="66"/>
        <v>0.58100000000000029</v>
      </c>
      <c r="AU91" s="62">
        <f t="shared" si="49"/>
        <v>1.0000000000000004</v>
      </c>
      <c r="AV91" s="65">
        <v>1.0000000000000004</v>
      </c>
      <c r="AW91" s="62">
        <f t="shared" si="50"/>
        <v>1.0000000000000004</v>
      </c>
      <c r="AX91" s="65">
        <v>1</v>
      </c>
      <c r="AY91" s="62">
        <f t="shared" si="51"/>
        <v>1.0000000000000004</v>
      </c>
      <c r="AZ91" s="65">
        <v>1.0000000000000004</v>
      </c>
      <c r="BA91" s="62">
        <f t="shared" si="52"/>
        <v>0.29600000000000004</v>
      </c>
      <c r="BB91" s="65">
        <f t="shared" si="65"/>
        <v>0.51000000000000023</v>
      </c>
      <c r="BC91" s="62">
        <f t="shared" si="53"/>
        <v>0</v>
      </c>
      <c r="BD91" s="65">
        <v>0</v>
      </c>
      <c r="BE91" s="74"/>
      <c r="BF91" s="7"/>
      <c r="BG91" s="74"/>
      <c r="BH91" s="7"/>
      <c r="BI91" s="7"/>
      <c r="BJ91" s="7"/>
      <c r="BK91" s="7"/>
      <c r="BL91" s="7"/>
      <c r="BM91" s="7"/>
      <c r="BN91" s="7"/>
      <c r="BO91" s="7"/>
      <c r="BP91" s="7"/>
      <c r="BQ91" s="7"/>
    </row>
    <row r="92" spans="1:69" ht="19.8" thickBot="1" x14ac:dyDescent="0.35">
      <c r="A92" s="16">
        <v>90</v>
      </c>
      <c r="B92" s="52">
        <v>44552</v>
      </c>
      <c r="C92" s="53" t="str">
        <f t="shared" si="54"/>
        <v>1400/10/01</v>
      </c>
      <c r="D92" s="54">
        <v>0.6760000000000006</v>
      </c>
      <c r="E92" s="54">
        <v>0.52633100000000077</v>
      </c>
      <c r="F92" s="11" t="e">
        <f t="shared" si="55"/>
        <v>#N/A</v>
      </c>
      <c r="G92" s="38" t="str">
        <f t="shared" si="56"/>
        <v>تاریخ: 1400/10/01
درصد پیشرفت برنامه ای: 67.6%
درصد پیشرفت واقعی: 52.63%</v>
      </c>
      <c r="H92" s="55">
        <v>1</v>
      </c>
      <c r="I92" s="56">
        <f t="shared" si="63"/>
        <v>0.57000000000000028</v>
      </c>
      <c r="J92" s="56">
        <v>1.0000000000000004</v>
      </c>
      <c r="K92" s="56">
        <f t="shared" si="36"/>
        <v>1.0000000000000004</v>
      </c>
      <c r="L92" s="56">
        <f t="shared" si="44"/>
        <v>1.0000000000000004</v>
      </c>
      <c r="M92" s="56">
        <f t="shared" si="44"/>
        <v>0.32800000000000007</v>
      </c>
      <c r="N92" s="57">
        <v>0</v>
      </c>
      <c r="O92" s="16">
        <f t="shared" si="62"/>
        <v>13</v>
      </c>
      <c r="P92" s="17">
        <v>12</v>
      </c>
      <c r="Q92" s="17">
        <v>13</v>
      </c>
      <c r="R92" s="17">
        <v>14</v>
      </c>
      <c r="S92" s="17">
        <v>12</v>
      </c>
      <c r="T92" s="17">
        <v>12</v>
      </c>
      <c r="U92" s="58">
        <v>11</v>
      </c>
      <c r="V92" s="16">
        <f t="shared" si="57"/>
        <v>16</v>
      </c>
      <c r="W92" s="17">
        <f t="shared" si="58"/>
        <v>16</v>
      </c>
      <c r="X92" s="17">
        <f t="shared" si="58"/>
        <v>17</v>
      </c>
      <c r="Y92" s="17">
        <f t="shared" si="59"/>
        <v>15</v>
      </c>
      <c r="Z92" s="17">
        <f t="shared" si="45"/>
        <v>15</v>
      </c>
      <c r="AA92" s="17">
        <f t="shared" si="60"/>
        <v>13</v>
      </c>
      <c r="AB92" s="58">
        <f t="shared" si="61"/>
        <v>16</v>
      </c>
      <c r="AC92" s="67"/>
      <c r="AD92" s="67"/>
      <c r="AE92" s="67"/>
      <c r="AF92" s="67"/>
      <c r="AG92" s="67"/>
      <c r="AH92" s="67"/>
      <c r="AI92" s="73"/>
      <c r="AJ92" s="74"/>
      <c r="AK92" s="74"/>
      <c r="AL92" s="62">
        <v>0.6</v>
      </c>
      <c r="AM92" s="63">
        <v>0.9</v>
      </c>
      <c r="AN92" s="63">
        <v>0.5</v>
      </c>
      <c r="AO92" s="63">
        <v>0.5</v>
      </c>
      <c r="AP92" s="64">
        <v>0.62</v>
      </c>
      <c r="AQ92" s="62">
        <f t="shared" si="47"/>
        <v>1</v>
      </c>
      <c r="AR92" s="65">
        <v>1</v>
      </c>
      <c r="AS92" s="62">
        <f t="shared" si="48"/>
        <v>0.57000000000000028</v>
      </c>
      <c r="AT92" s="65">
        <f t="shared" si="66"/>
        <v>0.5900000000000003</v>
      </c>
      <c r="AU92" s="62">
        <f t="shared" si="49"/>
        <v>1.0000000000000004</v>
      </c>
      <c r="AV92" s="65">
        <v>1.0000000000000004</v>
      </c>
      <c r="AW92" s="62">
        <f t="shared" si="50"/>
        <v>1.0000000000000004</v>
      </c>
      <c r="AX92" s="65">
        <v>1</v>
      </c>
      <c r="AY92" s="62">
        <f t="shared" si="51"/>
        <v>1.0000000000000004</v>
      </c>
      <c r="AZ92" s="65">
        <v>1.0000000000000004</v>
      </c>
      <c r="BA92" s="62">
        <f t="shared" si="52"/>
        <v>0.32800000000000007</v>
      </c>
      <c r="BB92" s="65">
        <f t="shared" si="65"/>
        <v>0.54000000000000026</v>
      </c>
      <c r="BC92" s="62">
        <f t="shared" si="53"/>
        <v>0</v>
      </c>
      <c r="BD92" s="65">
        <v>0</v>
      </c>
      <c r="BE92" s="74"/>
      <c r="BF92" s="7"/>
      <c r="BG92" s="74"/>
      <c r="BH92" s="7"/>
      <c r="BI92" s="7"/>
      <c r="BJ92" s="7"/>
      <c r="BK92" s="7"/>
      <c r="BL92" s="7"/>
      <c r="BM92" s="7"/>
      <c r="BN92" s="7"/>
      <c r="BO92" s="7"/>
      <c r="BP92" s="7"/>
      <c r="BQ92" s="7"/>
    </row>
    <row r="93" spans="1:69" ht="19.8" thickBot="1" x14ac:dyDescent="0.35">
      <c r="A93" s="16">
        <v>91</v>
      </c>
      <c r="B93" s="52">
        <v>44559</v>
      </c>
      <c r="C93" s="53" t="str">
        <f t="shared" si="54"/>
        <v>1400/10/08</v>
      </c>
      <c r="D93" s="54">
        <v>0.68300000000000061</v>
      </c>
      <c r="E93" s="54">
        <v>0.53095800000000082</v>
      </c>
      <c r="F93" s="11" t="e">
        <f t="shared" si="55"/>
        <v>#N/A</v>
      </c>
      <c r="G93" s="38" t="str">
        <f t="shared" si="56"/>
        <v>تاریخ: 1400/10/08
درصد پیشرفت برنامه ای: 68.3%
درصد پیشرفت واقعی: 53.1%</v>
      </c>
      <c r="H93" s="55">
        <v>1</v>
      </c>
      <c r="I93" s="56">
        <f t="shared" si="63"/>
        <v>0.58000000000000029</v>
      </c>
      <c r="J93" s="56">
        <v>1.0000000000000004</v>
      </c>
      <c r="K93" s="56">
        <f t="shared" si="36"/>
        <v>1.0000000000000004</v>
      </c>
      <c r="L93" s="56">
        <f t="shared" si="44"/>
        <v>1.0000000000000004</v>
      </c>
      <c r="M93" s="56">
        <f t="shared" si="44"/>
        <v>0.3600000000000001</v>
      </c>
      <c r="N93" s="57">
        <v>0</v>
      </c>
      <c r="O93" s="16">
        <f t="shared" si="62"/>
        <v>11</v>
      </c>
      <c r="P93" s="17">
        <v>10</v>
      </c>
      <c r="Q93" s="17">
        <v>10</v>
      </c>
      <c r="R93" s="17">
        <v>12</v>
      </c>
      <c r="S93" s="17">
        <v>11</v>
      </c>
      <c r="T93" s="17">
        <v>10</v>
      </c>
      <c r="U93" s="58">
        <v>9</v>
      </c>
      <c r="V93" s="16">
        <f t="shared" si="57"/>
        <v>14</v>
      </c>
      <c r="W93" s="17">
        <f t="shared" si="58"/>
        <v>14</v>
      </c>
      <c r="X93" s="17">
        <f t="shared" si="58"/>
        <v>14</v>
      </c>
      <c r="Y93" s="17">
        <f t="shared" si="59"/>
        <v>13</v>
      </c>
      <c r="Z93" s="17">
        <f t="shared" si="45"/>
        <v>14</v>
      </c>
      <c r="AA93" s="17">
        <f t="shared" si="60"/>
        <v>11</v>
      </c>
      <c r="AB93" s="58">
        <f t="shared" si="61"/>
        <v>14</v>
      </c>
      <c r="AC93" s="67"/>
      <c r="AD93" s="67"/>
      <c r="AE93" s="67"/>
      <c r="AF93" s="67"/>
      <c r="AG93" s="67"/>
      <c r="AH93" s="67"/>
      <c r="AI93" s="73"/>
      <c r="AJ93" s="74"/>
      <c r="AK93" s="74"/>
      <c r="AL93" s="62">
        <v>0.66</v>
      </c>
      <c r="AM93" s="63">
        <v>0.7</v>
      </c>
      <c r="AN93" s="63">
        <v>0.8</v>
      </c>
      <c r="AO93" s="63">
        <v>0.55000000000000004</v>
      </c>
      <c r="AP93" s="64">
        <v>0.5</v>
      </c>
      <c r="AQ93" s="62">
        <f t="shared" si="47"/>
        <v>1</v>
      </c>
      <c r="AR93" s="65">
        <v>1</v>
      </c>
      <c r="AS93" s="62">
        <f t="shared" si="48"/>
        <v>0.58000000000000029</v>
      </c>
      <c r="AT93" s="65">
        <f t="shared" si="66"/>
        <v>0.59900000000000031</v>
      </c>
      <c r="AU93" s="62">
        <f t="shared" si="49"/>
        <v>1.0000000000000004</v>
      </c>
      <c r="AV93" s="65">
        <v>1.0000000000000004</v>
      </c>
      <c r="AW93" s="62">
        <f t="shared" si="50"/>
        <v>1.0000000000000004</v>
      </c>
      <c r="AX93" s="65">
        <v>1</v>
      </c>
      <c r="AY93" s="62">
        <f t="shared" si="51"/>
        <v>1.0000000000000004</v>
      </c>
      <c r="AZ93" s="65">
        <v>1.0000000000000004</v>
      </c>
      <c r="BA93" s="62">
        <f t="shared" si="52"/>
        <v>0.3600000000000001</v>
      </c>
      <c r="BB93" s="65">
        <f t="shared" si="65"/>
        <v>0.57000000000000028</v>
      </c>
      <c r="BC93" s="62">
        <f t="shared" si="53"/>
        <v>0</v>
      </c>
      <c r="BD93" s="65">
        <v>0</v>
      </c>
      <c r="BE93" s="74"/>
      <c r="BF93" s="7"/>
      <c r="BG93" s="74"/>
      <c r="BH93" s="7"/>
      <c r="BI93" s="7"/>
      <c r="BJ93" s="7"/>
      <c r="BK93" s="7"/>
      <c r="BL93" s="7"/>
      <c r="BM93" s="7"/>
      <c r="BN93" s="7"/>
      <c r="BO93" s="7"/>
      <c r="BP93" s="7"/>
      <c r="BQ93" s="7"/>
    </row>
    <row r="94" spans="1:69" ht="19.8" thickBot="1" x14ac:dyDescent="0.35">
      <c r="A94" s="16">
        <v>92</v>
      </c>
      <c r="B94" s="52">
        <v>44566</v>
      </c>
      <c r="C94" s="53" t="str">
        <f t="shared" si="54"/>
        <v>1400/10/15</v>
      </c>
      <c r="D94" s="54">
        <v>0.69000000000000061</v>
      </c>
      <c r="E94" s="54">
        <v>0.53558500000000087</v>
      </c>
      <c r="F94" s="11" t="e">
        <f t="shared" si="55"/>
        <v>#N/A</v>
      </c>
      <c r="G94" s="38" t="str">
        <f t="shared" si="56"/>
        <v>تاریخ: 1400/10/15
درصد پیشرفت برنامه ای: 69%
درصد پیشرفت واقعی: 53.56%</v>
      </c>
      <c r="H94" s="55">
        <v>1</v>
      </c>
      <c r="I94" s="56">
        <f t="shared" si="63"/>
        <v>0.5900000000000003</v>
      </c>
      <c r="J94" s="56">
        <v>1.0000000000000004</v>
      </c>
      <c r="K94" s="56">
        <f t="shared" si="36"/>
        <v>1.0000000000000004</v>
      </c>
      <c r="L94" s="56">
        <f t="shared" si="44"/>
        <v>1.0000000000000004</v>
      </c>
      <c r="M94" s="56">
        <f t="shared" si="44"/>
        <v>0.39200000000000013</v>
      </c>
      <c r="N94" s="57">
        <v>0</v>
      </c>
      <c r="O94" s="16">
        <f t="shared" si="62"/>
        <v>9</v>
      </c>
      <c r="P94" s="17">
        <v>9</v>
      </c>
      <c r="Q94" s="17">
        <v>9</v>
      </c>
      <c r="R94" s="17">
        <v>8</v>
      </c>
      <c r="S94" s="17">
        <v>10</v>
      </c>
      <c r="T94" s="17">
        <v>11</v>
      </c>
      <c r="U94" s="58">
        <v>10</v>
      </c>
      <c r="V94" s="16">
        <f t="shared" si="57"/>
        <v>12</v>
      </c>
      <c r="W94" s="17">
        <f t="shared" si="58"/>
        <v>13</v>
      </c>
      <c r="X94" s="17">
        <f t="shared" si="58"/>
        <v>13</v>
      </c>
      <c r="Y94" s="17">
        <f t="shared" si="59"/>
        <v>9</v>
      </c>
      <c r="Z94" s="17">
        <f t="shared" si="45"/>
        <v>13</v>
      </c>
      <c r="AA94" s="17">
        <f t="shared" si="60"/>
        <v>12</v>
      </c>
      <c r="AB94" s="58">
        <f t="shared" si="61"/>
        <v>15</v>
      </c>
      <c r="AC94" s="67"/>
      <c r="AD94" s="67"/>
      <c r="AE94" s="67"/>
      <c r="AF94" s="67"/>
      <c r="AG94" s="67"/>
      <c r="AH94" s="67"/>
      <c r="AI94" s="73"/>
      <c r="AJ94" s="74"/>
      <c r="AK94" s="74"/>
      <c r="AL94" s="62">
        <v>0.55000000000000004</v>
      </c>
      <c r="AM94" s="63">
        <v>0.4</v>
      </c>
      <c r="AN94" s="63">
        <v>0.4</v>
      </c>
      <c r="AO94" s="63">
        <v>0.9</v>
      </c>
      <c r="AP94" s="64">
        <v>0.8</v>
      </c>
      <c r="AQ94" s="62">
        <f t="shared" si="47"/>
        <v>1</v>
      </c>
      <c r="AR94" s="65">
        <v>1</v>
      </c>
      <c r="AS94" s="62">
        <f t="shared" si="48"/>
        <v>0.5900000000000003</v>
      </c>
      <c r="AT94" s="65">
        <f t="shared" si="66"/>
        <v>0.60800000000000032</v>
      </c>
      <c r="AU94" s="62">
        <f t="shared" si="49"/>
        <v>1.0000000000000004</v>
      </c>
      <c r="AV94" s="65">
        <v>1.0000000000000004</v>
      </c>
      <c r="AW94" s="62">
        <f t="shared" si="50"/>
        <v>1.0000000000000004</v>
      </c>
      <c r="AX94" s="65">
        <v>1</v>
      </c>
      <c r="AY94" s="62">
        <f t="shared" si="51"/>
        <v>1.0000000000000004</v>
      </c>
      <c r="AZ94" s="65">
        <v>1.0000000000000004</v>
      </c>
      <c r="BA94" s="62">
        <f t="shared" si="52"/>
        <v>0.39200000000000013</v>
      </c>
      <c r="BB94" s="65">
        <f t="shared" si="65"/>
        <v>0.60000000000000031</v>
      </c>
      <c r="BC94" s="62">
        <f t="shared" si="53"/>
        <v>0</v>
      </c>
      <c r="BD94" s="65">
        <v>0.04</v>
      </c>
      <c r="BE94" s="74"/>
      <c r="BF94" s="7"/>
      <c r="BG94" s="74"/>
      <c r="BH94" s="7"/>
      <c r="BI94" s="7"/>
      <c r="BJ94" s="7"/>
      <c r="BK94" s="7"/>
      <c r="BL94" s="7"/>
      <c r="BM94" s="7"/>
      <c r="BN94" s="7"/>
      <c r="BO94" s="7"/>
      <c r="BP94" s="7"/>
      <c r="BQ94" s="7"/>
    </row>
    <row r="95" spans="1:69" ht="19.8" thickBot="1" x14ac:dyDescent="0.35">
      <c r="A95" s="16">
        <v>93</v>
      </c>
      <c r="B95" s="52">
        <v>44573</v>
      </c>
      <c r="C95" s="53" t="str">
        <f t="shared" si="54"/>
        <v>1400/10/22</v>
      </c>
      <c r="D95" s="54">
        <v>0.69700000000000062</v>
      </c>
      <c r="E95" s="54">
        <v>0.54021200000000091</v>
      </c>
      <c r="F95" s="11" t="e">
        <f t="shared" si="55"/>
        <v>#N/A</v>
      </c>
      <c r="G95" s="38" t="str">
        <f t="shared" si="56"/>
        <v>تاریخ: 1400/10/22
درصد پیشرفت برنامه ای: 69.7%
درصد پیشرفت واقعی: 54.02%</v>
      </c>
      <c r="H95" s="55">
        <v>1</v>
      </c>
      <c r="I95" s="56">
        <f t="shared" si="63"/>
        <v>0.60000000000000031</v>
      </c>
      <c r="J95" s="56">
        <v>1.0000000000000004</v>
      </c>
      <c r="K95" s="56">
        <f t="shared" si="36"/>
        <v>1.0000000000000004</v>
      </c>
      <c r="L95" s="56">
        <f t="shared" si="44"/>
        <v>1.0000000000000004</v>
      </c>
      <c r="M95" s="56">
        <f t="shared" si="44"/>
        <v>0.42400000000000015</v>
      </c>
      <c r="N95" s="57">
        <v>0</v>
      </c>
      <c r="O95" s="16">
        <f t="shared" si="62"/>
        <v>10</v>
      </c>
      <c r="P95" s="17">
        <v>10</v>
      </c>
      <c r="Q95" s="17">
        <v>9</v>
      </c>
      <c r="R95" s="17">
        <v>8</v>
      </c>
      <c r="S95" s="17">
        <v>7</v>
      </c>
      <c r="T95" s="17">
        <v>5</v>
      </c>
      <c r="U95" s="58">
        <v>4</v>
      </c>
      <c r="V95" s="16">
        <f t="shared" si="57"/>
        <v>13</v>
      </c>
      <c r="W95" s="17">
        <f t="shared" si="58"/>
        <v>14</v>
      </c>
      <c r="X95" s="17">
        <f t="shared" si="58"/>
        <v>13</v>
      </c>
      <c r="Y95" s="17">
        <f t="shared" si="59"/>
        <v>9</v>
      </c>
      <c r="Z95" s="17">
        <f t="shared" si="45"/>
        <v>10</v>
      </c>
      <c r="AA95" s="17">
        <f t="shared" si="60"/>
        <v>6</v>
      </c>
      <c r="AB95" s="58">
        <f t="shared" si="61"/>
        <v>9</v>
      </c>
      <c r="AC95" s="67"/>
      <c r="AD95" s="67"/>
      <c r="AE95" s="67"/>
      <c r="AF95" s="67"/>
      <c r="AG95" s="67"/>
      <c r="AH95" s="67"/>
      <c r="AI95" s="73"/>
      <c r="AJ95" s="74"/>
      <c r="AK95" s="74"/>
      <c r="AL95" s="62">
        <v>0.7</v>
      </c>
      <c r="AM95" s="63">
        <v>0.55000000000000004</v>
      </c>
      <c r="AN95" s="63">
        <v>0.1</v>
      </c>
      <c r="AO95" s="63">
        <v>0.4</v>
      </c>
      <c r="AP95" s="64">
        <v>0.9</v>
      </c>
      <c r="AQ95" s="62">
        <f t="shared" si="47"/>
        <v>1</v>
      </c>
      <c r="AR95" s="65">
        <v>1</v>
      </c>
      <c r="AS95" s="62">
        <f t="shared" si="48"/>
        <v>0.60000000000000031</v>
      </c>
      <c r="AT95" s="65">
        <f t="shared" si="66"/>
        <v>0.61700000000000033</v>
      </c>
      <c r="AU95" s="62">
        <f t="shared" si="49"/>
        <v>1.0000000000000004</v>
      </c>
      <c r="AV95" s="65">
        <v>1.0000000000000004</v>
      </c>
      <c r="AW95" s="62">
        <f t="shared" si="50"/>
        <v>1.0000000000000004</v>
      </c>
      <c r="AX95" s="65">
        <v>1</v>
      </c>
      <c r="AY95" s="62">
        <f t="shared" si="51"/>
        <v>1.0000000000000004</v>
      </c>
      <c r="AZ95" s="65">
        <v>1.0000000000000004</v>
      </c>
      <c r="BA95" s="62">
        <f t="shared" si="52"/>
        <v>0.42400000000000015</v>
      </c>
      <c r="BB95" s="65">
        <f t="shared" si="65"/>
        <v>0.63000000000000034</v>
      </c>
      <c r="BC95" s="62">
        <f t="shared" si="53"/>
        <v>0</v>
      </c>
      <c r="BD95" s="65">
        <v>0.06</v>
      </c>
      <c r="BE95" s="74"/>
      <c r="BF95" s="7"/>
      <c r="BG95" s="74"/>
      <c r="BH95" s="7"/>
      <c r="BI95" s="7"/>
      <c r="BJ95" s="7"/>
      <c r="BK95" s="7"/>
      <c r="BL95" s="7"/>
      <c r="BM95" s="7"/>
      <c r="BN95" s="7"/>
      <c r="BO95" s="7"/>
      <c r="BP95" s="7"/>
      <c r="BQ95" s="7"/>
    </row>
    <row r="96" spans="1:69" ht="19.8" thickBot="1" x14ac:dyDescent="0.35">
      <c r="A96" s="16">
        <v>94</v>
      </c>
      <c r="B96" s="52">
        <v>44580</v>
      </c>
      <c r="C96" s="53" t="str">
        <f t="shared" si="54"/>
        <v>1400/10/29</v>
      </c>
      <c r="D96" s="54">
        <v>0.70400000000000063</v>
      </c>
      <c r="E96" s="54">
        <v>0.54483900000000096</v>
      </c>
      <c r="F96" s="11" t="e">
        <f t="shared" si="55"/>
        <v>#N/A</v>
      </c>
      <c r="G96" s="38" t="str">
        <f t="shared" si="56"/>
        <v>تاریخ: 1400/10/29
درصد پیشرفت برنامه ای: 70.4%
درصد پیشرفت واقعی: 54.48%</v>
      </c>
      <c r="H96" s="55">
        <v>1</v>
      </c>
      <c r="I96" s="56">
        <f t="shared" si="63"/>
        <v>0.61000000000000032</v>
      </c>
      <c r="J96" s="56">
        <v>1.0000000000000004</v>
      </c>
      <c r="K96" s="56">
        <f t="shared" si="36"/>
        <v>1.0000000000000004</v>
      </c>
      <c r="L96" s="56">
        <f t="shared" si="44"/>
        <v>1.0000000000000004</v>
      </c>
      <c r="M96" s="56">
        <f t="shared" si="44"/>
        <v>0.45600000000000018</v>
      </c>
      <c r="N96" s="57">
        <v>0</v>
      </c>
      <c r="O96" s="16">
        <f t="shared" si="62"/>
        <v>4</v>
      </c>
      <c r="P96" s="17">
        <v>4</v>
      </c>
      <c r="Q96" s="17">
        <v>5</v>
      </c>
      <c r="R96" s="17">
        <v>5</v>
      </c>
      <c r="S96" s="17">
        <v>6</v>
      </c>
      <c r="T96" s="17">
        <v>5</v>
      </c>
      <c r="U96" s="58">
        <v>6</v>
      </c>
      <c r="V96" s="16">
        <f t="shared" si="57"/>
        <v>7</v>
      </c>
      <c r="W96" s="17">
        <f t="shared" si="58"/>
        <v>8</v>
      </c>
      <c r="X96" s="17">
        <f t="shared" si="58"/>
        <v>9</v>
      </c>
      <c r="Y96" s="17">
        <f t="shared" si="59"/>
        <v>6</v>
      </c>
      <c r="Z96" s="17">
        <f t="shared" si="45"/>
        <v>9</v>
      </c>
      <c r="AA96" s="17">
        <f t="shared" si="60"/>
        <v>6</v>
      </c>
      <c r="AB96" s="58">
        <f t="shared" si="61"/>
        <v>11</v>
      </c>
      <c r="AC96" s="67"/>
      <c r="AD96" s="67"/>
      <c r="AE96" s="67"/>
      <c r="AF96" s="67"/>
      <c r="AG96" s="67"/>
      <c r="AH96" s="67"/>
      <c r="AI96" s="73"/>
      <c r="AJ96" s="74"/>
      <c r="AK96" s="74"/>
      <c r="AL96" s="62">
        <v>0.4</v>
      </c>
      <c r="AM96" s="63">
        <v>0.69</v>
      </c>
      <c r="AN96" s="63">
        <v>0.5</v>
      </c>
      <c r="AO96" s="63">
        <v>0.2</v>
      </c>
      <c r="AP96" s="64">
        <v>0.4</v>
      </c>
      <c r="AQ96" s="62">
        <f t="shared" si="47"/>
        <v>1</v>
      </c>
      <c r="AR96" s="65">
        <v>1</v>
      </c>
      <c r="AS96" s="62">
        <f t="shared" si="48"/>
        <v>0.61000000000000032</v>
      </c>
      <c r="AT96" s="65">
        <f t="shared" si="66"/>
        <v>0.62600000000000033</v>
      </c>
      <c r="AU96" s="62">
        <f t="shared" si="49"/>
        <v>1.0000000000000004</v>
      </c>
      <c r="AV96" s="65">
        <v>1.0000000000000004</v>
      </c>
      <c r="AW96" s="62">
        <f t="shared" si="50"/>
        <v>1.0000000000000004</v>
      </c>
      <c r="AX96" s="65">
        <v>1</v>
      </c>
      <c r="AY96" s="62">
        <f t="shared" si="51"/>
        <v>1.0000000000000004</v>
      </c>
      <c r="AZ96" s="65">
        <v>1.0000000000000004</v>
      </c>
      <c r="BA96" s="62">
        <f t="shared" si="52"/>
        <v>0.45600000000000018</v>
      </c>
      <c r="BB96" s="65">
        <f t="shared" si="65"/>
        <v>0.66000000000000036</v>
      </c>
      <c r="BC96" s="62">
        <f t="shared" si="53"/>
        <v>0</v>
      </c>
      <c r="BD96" s="65">
        <v>0.09</v>
      </c>
      <c r="BE96" s="74"/>
      <c r="BF96" s="7"/>
      <c r="BG96" s="74"/>
      <c r="BH96" s="7"/>
      <c r="BI96" s="7"/>
      <c r="BJ96" s="7"/>
      <c r="BK96" s="7"/>
      <c r="BL96" s="7"/>
      <c r="BM96" s="7"/>
      <c r="BN96" s="7"/>
      <c r="BO96" s="7"/>
      <c r="BP96" s="7"/>
      <c r="BQ96" s="7"/>
    </row>
    <row r="97" spans="1:69" ht="19.8" thickBot="1" x14ac:dyDescent="0.35">
      <c r="A97" s="16">
        <v>95</v>
      </c>
      <c r="B97" s="52">
        <v>44587</v>
      </c>
      <c r="C97" s="53" t="str">
        <f t="shared" si="54"/>
        <v>1400/11/06</v>
      </c>
      <c r="D97" s="54">
        <v>0.71100000000000063</v>
      </c>
      <c r="E97" s="54">
        <v>0.54946600000000101</v>
      </c>
      <c r="F97" s="11" t="e">
        <f t="shared" si="55"/>
        <v>#N/A</v>
      </c>
      <c r="G97" s="38" t="str">
        <f t="shared" si="56"/>
        <v>تاریخ: 1400/11/06
درصد پیشرفت برنامه ای: 71.1%
درصد پیشرفت واقعی: 54.95%</v>
      </c>
      <c r="H97" s="55">
        <v>1</v>
      </c>
      <c r="I97" s="56">
        <v>0.61000000000000032</v>
      </c>
      <c r="J97" s="56">
        <v>1.0000000000000004</v>
      </c>
      <c r="K97" s="56">
        <f t="shared" si="36"/>
        <v>1.0000000000000004</v>
      </c>
      <c r="L97" s="56">
        <f t="shared" si="44"/>
        <v>1.0000000000000004</v>
      </c>
      <c r="M97" s="56">
        <f t="shared" si="44"/>
        <v>0.48800000000000021</v>
      </c>
      <c r="N97" s="57">
        <v>0</v>
      </c>
      <c r="O97" s="16">
        <f t="shared" si="62"/>
        <v>6</v>
      </c>
      <c r="P97" s="17">
        <v>6</v>
      </c>
      <c r="Q97" s="17">
        <v>5</v>
      </c>
      <c r="R97" s="17">
        <v>4</v>
      </c>
      <c r="S97" s="17">
        <v>6</v>
      </c>
      <c r="T97" s="17">
        <v>5</v>
      </c>
      <c r="U97" s="58">
        <v>4</v>
      </c>
      <c r="V97" s="16">
        <f t="shared" si="57"/>
        <v>9</v>
      </c>
      <c r="W97" s="17">
        <f t="shared" si="58"/>
        <v>10</v>
      </c>
      <c r="X97" s="17">
        <f t="shared" si="58"/>
        <v>9</v>
      </c>
      <c r="Y97" s="17">
        <f t="shared" si="59"/>
        <v>5</v>
      </c>
      <c r="Z97" s="17">
        <f t="shared" si="45"/>
        <v>9</v>
      </c>
      <c r="AA97" s="17">
        <f t="shared" si="60"/>
        <v>6</v>
      </c>
      <c r="AB97" s="58">
        <f t="shared" si="61"/>
        <v>9</v>
      </c>
      <c r="AC97" s="67"/>
      <c r="AD97" s="67"/>
      <c r="AE97" s="67"/>
      <c r="AF97" s="67"/>
      <c r="AG97" s="67"/>
      <c r="AH97" s="67"/>
      <c r="AI97" s="73"/>
      <c r="AJ97" s="74"/>
      <c r="AK97" s="74"/>
      <c r="AL97" s="62">
        <v>0.35</v>
      </c>
      <c r="AM97" s="63">
        <v>0.4</v>
      </c>
      <c r="AN97" s="63">
        <v>0.9</v>
      </c>
      <c r="AO97" s="63">
        <v>0.8</v>
      </c>
      <c r="AP97" s="64">
        <v>0.2</v>
      </c>
      <c r="AQ97" s="62">
        <f t="shared" si="47"/>
        <v>1</v>
      </c>
      <c r="AR97" s="65">
        <v>1</v>
      </c>
      <c r="AS97" s="62">
        <f t="shared" si="48"/>
        <v>0.61000000000000032</v>
      </c>
      <c r="AT97" s="65">
        <f t="shared" si="66"/>
        <v>0.63500000000000034</v>
      </c>
      <c r="AU97" s="62">
        <f t="shared" si="49"/>
        <v>1.0000000000000004</v>
      </c>
      <c r="AV97" s="65">
        <v>1.0000000000000004</v>
      </c>
      <c r="AW97" s="62">
        <f t="shared" si="50"/>
        <v>1.0000000000000004</v>
      </c>
      <c r="AX97" s="65">
        <v>1</v>
      </c>
      <c r="AY97" s="62">
        <f t="shared" si="51"/>
        <v>1.0000000000000004</v>
      </c>
      <c r="AZ97" s="65">
        <v>1.0000000000000004</v>
      </c>
      <c r="BA97" s="62">
        <f t="shared" si="52"/>
        <v>0.48800000000000021</v>
      </c>
      <c r="BB97" s="65">
        <f t="shared" si="65"/>
        <v>0.69000000000000039</v>
      </c>
      <c r="BC97" s="62">
        <f t="shared" si="53"/>
        <v>0</v>
      </c>
      <c r="BD97" s="65">
        <v>0.12</v>
      </c>
      <c r="BE97" s="74"/>
      <c r="BF97" s="7"/>
      <c r="BG97" s="74"/>
      <c r="BH97" s="7"/>
      <c r="BI97" s="7"/>
      <c r="BJ97" s="7"/>
      <c r="BK97" s="7"/>
      <c r="BL97" s="7"/>
      <c r="BM97" s="7"/>
      <c r="BN97" s="7"/>
      <c r="BO97" s="7"/>
      <c r="BP97" s="7"/>
      <c r="BQ97" s="7"/>
    </row>
    <row r="98" spans="1:69" ht="19.8" thickBot="1" x14ac:dyDescent="0.35">
      <c r="A98" s="16">
        <v>96</v>
      </c>
      <c r="B98" s="52">
        <v>44594</v>
      </c>
      <c r="C98" s="53" t="str">
        <f t="shared" si="54"/>
        <v>1400/11/13</v>
      </c>
      <c r="D98" s="54">
        <v>0.71500000000000064</v>
      </c>
      <c r="E98" s="54">
        <v>0.55211000000000099</v>
      </c>
      <c r="F98" s="11" t="e">
        <f t="shared" si="55"/>
        <v>#N/A</v>
      </c>
      <c r="G98" s="38" t="str">
        <f t="shared" si="56"/>
        <v>تاریخ: 1400/11/13
درصد پیشرفت برنامه ای: 71.5%
درصد پیشرفت واقعی: 55.21%</v>
      </c>
      <c r="H98" s="55">
        <v>1</v>
      </c>
      <c r="I98" s="56">
        <v>0.61000000000000032</v>
      </c>
      <c r="J98" s="56">
        <v>1.0000000000000004</v>
      </c>
      <c r="K98" s="56">
        <f t="shared" si="36"/>
        <v>1.0000000000000004</v>
      </c>
      <c r="L98" s="56">
        <f t="shared" si="44"/>
        <v>1.0000000000000004</v>
      </c>
      <c r="M98" s="56">
        <f t="shared" si="44"/>
        <v>0.52000000000000024</v>
      </c>
      <c r="N98" s="57">
        <v>0</v>
      </c>
      <c r="O98" s="16">
        <f t="shared" si="62"/>
        <v>4</v>
      </c>
      <c r="P98" s="17">
        <v>4</v>
      </c>
      <c r="Q98" s="17">
        <v>5</v>
      </c>
      <c r="R98" s="17">
        <v>5</v>
      </c>
      <c r="S98" s="17">
        <v>6</v>
      </c>
      <c r="T98" s="17">
        <v>5</v>
      </c>
      <c r="U98" s="58">
        <v>6</v>
      </c>
      <c r="V98" s="16">
        <f t="shared" si="57"/>
        <v>7</v>
      </c>
      <c r="W98" s="17">
        <f t="shared" si="58"/>
        <v>8</v>
      </c>
      <c r="X98" s="17">
        <f t="shared" si="58"/>
        <v>9</v>
      </c>
      <c r="Y98" s="17">
        <f t="shared" si="59"/>
        <v>6</v>
      </c>
      <c r="Z98" s="17">
        <f t="shared" si="45"/>
        <v>9</v>
      </c>
      <c r="AA98" s="17">
        <f t="shared" si="60"/>
        <v>6</v>
      </c>
      <c r="AB98" s="58">
        <f t="shared" si="61"/>
        <v>11</v>
      </c>
      <c r="AC98" s="67"/>
      <c r="AD98" s="67"/>
      <c r="AE98" s="67"/>
      <c r="AF98" s="67"/>
      <c r="AG98" s="67"/>
      <c r="AH98" s="67"/>
      <c r="AI98" s="73"/>
      <c r="AJ98" s="74"/>
      <c r="AK98" s="74"/>
      <c r="AL98" s="62">
        <v>0.85</v>
      </c>
      <c r="AM98" s="63">
        <v>0.8</v>
      </c>
      <c r="AN98" s="63">
        <v>0.5</v>
      </c>
      <c r="AO98" s="63">
        <v>0.6</v>
      </c>
      <c r="AP98" s="64">
        <v>0.6</v>
      </c>
      <c r="AQ98" s="62">
        <f t="shared" si="47"/>
        <v>1</v>
      </c>
      <c r="AR98" s="65">
        <v>1</v>
      </c>
      <c r="AS98" s="62">
        <f t="shared" si="48"/>
        <v>0.61000000000000032</v>
      </c>
      <c r="AT98" s="65">
        <f t="shared" si="66"/>
        <v>0.64400000000000035</v>
      </c>
      <c r="AU98" s="62">
        <f t="shared" si="49"/>
        <v>1.0000000000000004</v>
      </c>
      <c r="AV98" s="65">
        <v>1.0000000000000004</v>
      </c>
      <c r="AW98" s="62">
        <f t="shared" si="50"/>
        <v>1.0000000000000004</v>
      </c>
      <c r="AX98" s="65">
        <v>1</v>
      </c>
      <c r="AY98" s="62">
        <f t="shared" si="51"/>
        <v>1.0000000000000004</v>
      </c>
      <c r="AZ98" s="65">
        <v>1.0000000000000004</v>
      </c>
      <c r="BA98" s="62">
        <f t="shared" si="52"/>
        <v>0.52000000000000024</v>
      </c>
      <c r="BB98" s="65">
        <f t="shared" si="65"/>
        <v>0.72000000000000042</v>
      </c>
      <c r="BC98" s="62">
        <f t="shared" si="53"/>
        <v>0</v>
      </c>
      <c r="BD98" s="65">
        <v>0.15</v>
      </c>
      <c r="BE98" s="74"/>
      <c r="BF98" s="7"/>
      <c r="BG98" s="74"/>
      <c r="BH98" s="7"/>
      <c r="BI98" s="7"/>
      <c r="BJ98" s="7"/>
      <c r="BK98" s="7"/>
      <c r="BL98" s="7"/>
      <c r="BM98" s="7"/>
      <c r="BN98" s="7"/>
      <c r="BO98" s="7"/>
      <c r="BP98" s="7"/>
      <c r="BQ98" s="7"/>
    </row>
    <row r="99" spans="1:69" ht="19.8" thickBot="1" x14ac:dyDescent="0.35">
      <c r="A99" s="16">
        <v>97</v>
      </c>
      <c r="B99" s="52">
        <v>44601</v>
      </c>
      <c r="C99" s="53" t="str">
        <f t="shared" si="54"/>
        <v>1400/11/20</v>
      </c>
      <c r="D99" s="54">
        <v>0.71900000000000064</v>
      </c>
      <c r="E99" s="54">
        <v>0.55475400000000097</v>
      </c>
      <c r="F99" s="11" t="e">
        <f t="shared" si="55"/>
        <v>#N/A</v>
      </c>
      <c r="G99" s="38" t="str">
        <f t="shared" si="56"/>
        <v>تاریخ: 1400/11/20
درصد پیشرفت برنامه ای: 71.9%
درصد پیشرفت واقعی: 55.48%</v>
      </c>
      <c r="H99" s="55">
        <v>1</v>
      </c>
      <c r="I99" s="56">
        <v>0.61000000000000032</v>
      </c>
      <c r="J99" s="56">
        <v>1.0000000000000004</v>
      </c>
      <c r="K99" s="56">
        <f t="shared" ref="K99:K162" si="67">J82</f>
        <v>1.0000000000000004</v>
      </c>
      <c r="L99" s="56">
        <f t="shared" si="44"/>
        <v>1.0000000000000004</v>
      </c>
      <c r="M99" s="56">
        <f t="shared" si="44"/>
        <v>0.55200000000000027</v>
      </c>
      <c r="N99" s="57">
        <v>0</v>
      </c>
      <c r="O99" s="16">
        <f t="shared" si="62"/>
        <v>6</v>
      </c>
      <c r="P99" s="17">
        <v>6</v>
      </c>
      <c r="Q99" s="17">
        <v>5</v>
      </c>
      <c r="R99" s="17">
        <v>4</v>
      </c>
      <c r="S99" s="17">
        <v>6</v>
      </c>
      <c r="T99" s="17">
        <v>5</v>
      </c>
      <c r="U99" s="58">
        <v>4</v>
      </c>
      <c r="V99" s="16">
        <f t="shared" si="57"/>
        <v>9</v>
      </c>
      <c r="W99" s="17">
        <f t="shared" si="58"/>
        <v>10</v>
      </c>
      <c r="X99" s="17">
        <f t="shared" si="58"/>
        <v>9</v>
      </c>
      <c r="Y99" s="17">
        <f t="shared" si="59"/>
        <v>5</v>
      </c>
      <c r="Z99" s="17">
        <f t="shared" si="45"/>
        <v>9</v>
      </c>
      <c r="AA99" s="17">
        <f t="shared" si="60"/>
        <v>6</v>
      </c>
      <c r="AB99" s="58">
        <f t="shared" si="61"/>
        <v>9</v>
      </c>
      <c r="AC99" s="67"/>
      <c r="AD99" s="67"/>
      <c r="AE99" s="67"/>
      <c r="AF99" s="67"/>
      <c r="AG99" s="67"/>
      <c r="AH99" s="67"/>
      <c r="AI99" s="73"/>
      <c r="AJ99" s="74"/>
      <c r="AK99" s="74"/>
      <c r="AL99" s="62">
        <v>0.9</v>
      </c>
      <c r="AM99" s="63">
        <v>0.95</v>
      </c>
      <c r="AN99" s="63">
        <v>0.8</v>
      </c>
      <c r="AO99" s="63">
        <v>0.7</v>
      </c>
      <c r="AP99" s="64">
        <v>0.1</v>
      </c>
      <c r="AQ99" s="62">
        <f t="shared" si="47"/>
        <v>1</v>
      </c>
      <c r="AR99" s="65">
        <v>1</v>
      </c>
      <c r="AS99" s="62">
        <f t="shared" si="48"/>
        <v>0.61000000000000032</v>
      </c>
      <c r="AT99" s="65">
        <f t="shared" si="66"/>
        <v>0.65300000000000036</v>
      </c>
      <c r="AU99" s="62">
        <f t="shared" si="49"/>
        <v>1.0000000000000004</v>
      </c>
      <c r="AV99" s="65">
        <v>1.0000000000000004</v>
      </c>
      <c r="AW99" s="62">
        <f t="shared" si="50"/>
        <v>1.0000000000000004</v>
      </c>
      <c r="AX99" s="65">
        <v>1</v>
      </c>
      <c r="AY99" s="62">
        <f t="shared" si="51"/>
        <v>1.0000000000000004</v>
      </c>
      <c r="AZ99" s="65">
        <v>1.0000000000000004</v>
      </c>
      <c r="BA99" s="62">
        <f t="shared" si="52"/>
        <v>0.55200000000000027</v>
      </c>
      <c r="BB99" s="65">
        <f t="shared" si="65"/>
        <v>0.75000000000000044</v>
      </c>
      <c r="BC99" s="62">
        <f t="shared" si="53"/>
        <v>0</v>
      </c>
      <c r="BD99" s="65">
        <v>0.18</v>
      </c>
      <c r="BE99" s="74"/>
      <c r="BF99" s="7"/>
      <c r="BG99" s="74"/>
      <c r="BH99" s="7"/>
      <c r="BI99" s="7"/>
      <c r="BJ99" s="7"/>
      <c r="BK99" s="7"/>
      <c r="BL99" s="7"/>
      <c r="BM99" s="7"/>
      <c r="BN99" s="7"/>
      <c r="BO99" s="7"/>
      <c r="BP99" s="7"/>
      <c r="BQ99" s="7"/>
    </row>
    <row r="100" spans="1:69" ht="19.8" thickBot="1" x14ac:dyDescent="0.35">
      <c r="A100" s="16">
        <v>98</v>
      </c>
      <c r="B100" s="52">
        <v>44608</v>
      </c>
      <c r="C100" s="53" t="str">
        <f t="shared" si="54"/>
        <v>1400/11/27</v>
      </c>
      <c r="D100" s="54">
        <v>0.72300000000000064</v>
      </c>
      <c r="E100" s="54">
        <v>0.55739800000000095</v>
      </c>
      <c r="F100" s="11" t="e">
        <f t="shared" si="55"/>
        <v>#N/A</v>
      </c>
      <c r="G100" s="38" t="str">
        <f t="shared" si="56"/>
        <v>تاریخ: 1400/11/27
درصد پیشرفت برنامه ای: 72.3%
درصد پیشرفت واقعی: 55.74%</v>
      </c>
      <c r="H100" s="55">
        <v>1</v>
      </c>
      <c r="I100" s="56">
        <v>0.61000000000000032</v>
      </c>
      <c r="J100" s="56">
        <v>1.0000000000000004</v>
      </c>
      <c r="K100" s="56">
        <f t="shared" si="67"/>
        <v>1.0000000000000004</v>
      </c>
      <c r="L100" s="56">
        <f t="shared" si="44"/>
        <v>1.0000000000000004</v>
      </c>
      <c r="M100" s="56">
        <f t="shared" si="44"/>
        <v>0.5840000000000003</v>
      </c>
      <c r="N100" s="57">
        <v>0</v>
      </c>
      <c r="O100" s="16">
        <f t="shared" si="62"/>
        <v>4</v>
      </c>
      <c r="P100" s="17">
        <v>4</v>
      </c>
      <c r="Q100" s="17">
        <v>5</v>
      </c>
      <c r="R100" s="17">
        <v>5</v>
      </c>
      <c r="S100" s="17">
        <v>6</v>
      </c>
      <c r="T100" s="17">
        <v>5</v>
      </c>
      <c r="U100" s="58">
        <v>6</v>
      </c>
      <c r="V100" s="16">
        <f t="shared" si="57"/>
        <v>7</v>
      </c>
      <c r="W100" s="17">
        <f t="shared" si="58"/>
        <v>8</v>
      </c>
      <c r="X100" s="17">
        <f t="shared" si="58"/>
        <v>9</v>
      </c>
      <c r="Y100" s="17">
        <f t="shared" si="59"/>
        <v>6</v>
      </c>
      <c r="Z100" s="17">
        <f t="shared" si="45"/>
        <v>9</v>
      </c>
      <c r="AA100" s="17">
        <f t="shared" si="60"/>
        <v>6</v>
      </c>
      <c r="AB100" s="58">
        <f t="shared" si="61"/>
        <v>11</v>
      </c>
      <c r="AC100" s="67"/>
      <c r="AD100" s="67"/>
      <c r="AE100" s="67"/>
      <c r="AF100" s="67"/>
      <c r="AG100" s="67"/>
      <c r="AH100" s="67"/>
      <c r="AI100" s="73"/>
      <c r="AJ100" s="74"/>
      <c r="AK100" s="74"/>
      <c r="AL100" s="62">
        <v>0.7</v>
      </c>
      <c r="AM100" s="63">
        <v>0.68</v>
      </c>
      <c r="AN100" s="63">
        <v>0.5</v>
      </c>
      <c r="AO100" s="63">
        <v>0.9</v>
      </c>
      <c r="AP100" s="64">
        <v>0.55000000000000004</v>
      </c>
      <c r="AQ100" s="62">
        <f t="shared" si="47"/>
        <v>1</v>
      </c>
      <c r="AR100" s="65">
        <v>1</v>
      </c>
      <c r="AS100" s="62">
        <f t="shared" si="48"/>
        <v>0.61000000000000032</v>
      </c>
      <c r="AT100" s="65">
        <f t="shared" si="66"/>
        <v>0.66200000000000037</v>
      </c>
      <c r="AU100" s="62">
        <f t="shared" si="49"/>
        <v>1.0000000000000004</v>
      </c>
      <c r="AV100" s="65">
        <v>1.0000000000000004</v>
      </c>
      <c r="AW100" s="62">
        <f t="shared" si="50"/>
        <v>1.0000000000000004</v>
      </c>
      <c r="AX100" s="65">
        <v>1</v>
      </c>
      <c r="AY100" s="62">
        <f t="shared" si="51"/>
        <v>1.0000000000000004</v>
      </c>
      <c r="AZ100" s="65">
        <v>1.0000000000000004</v>
      </c>
      <c r="BA100" s="62">
        <f t="shared" si="52"/>
        <v>0.5840000000000003</v>
      </c>
      <c r="BB100" s="65">
        <f t="shared" si="65"/>
        <v>0.78000000000000047</v>
      </c>
      <c r="BC100" s="62">
        <f t="shared" si="53"/>
        <v>0</v>
      </c>
      <c r="BD100" s="65">
        <v>0.21</v>
      </c>
      <c r="BE100" s="74"/>
      <c r="BF100" s="7"/>
      <c r="BG100" s="74"/>
      <c r="BH100" s="7"/>
      <c r="BI100" s="7"/>
      <c r="BJ100" s="7"/>
      <c r="BK100" s="7"/>
      <c r="BL100" s="7"/>
      <c r="BM100" s="7"/>
      <c r="BN100" s="7"/>
      <c r="BO100" s="7"/>
      <c r="BP100" s="7"/>
      <c r="BQ100" s="7"/>
    </row>
    <row r="101" spans="1:69" ht="19.8" thickBot="1" x14ac:dyDescent="0.35">
      <c r="A101" s="16">
        <v>99</v>
      </c>
      <c r="B101" s="52">
        <v>44615</v>
      </c>
      <c r="C101" s="53" t="str">
        <f t="shared" si="54"/>
        <v>1400/12/04</v>
      </c>
      <c r="D101" s="54">
        <v>0.72700000000000065</v>
      </c>
      <c r="E101" s="54">
        <v>0.58361900000000111</v>
      </c>
      <c r="F101" s="11" t="e">
        <f t="shared" si="55"/>
        <v>#N/A</v>
      </c>
      <c r="G101" s="38" t="str">
        <f t="shared" si="56"/>
        <v>تاریخ: 1400/12/04
درصد پیشرفت برنامه ای: 72.7%
درصد پیشرفت واقعی: 58.36%</v>
      </c>
      <c r="H101" s="55">
        <v>1</v>
      </c>
      <c r="I101" s="56">
        <v>0.61000000000000032</v>
      </c>
      <c r="J101" s="56">
        <v>1.0000000000000004</v>
      </c>
      <c r="K101" s="56">
        <f t="shared" si="67"/>
        <v>1.0000000000000004</v>
      </c>
      <c r="L101" s="56">
        <f t="shared" si="44"/>
        <v>1.0000000000000004</v>
      </c>
      <c r="M101" s="56">
        <f t="shared" si="44"/>
        <v>0.61600000000000033</v>
      </c>
      <c r="N101" s="57">
        <f>M82</f>
        <v>0.03</v>
      </c>
      <c r="O101" s="16">
        <f t="shared" si="62"/>
        <v>6</v>
      </c>
      <c r="P101" s="17">
        <v>6</v>
      </c>
      <c r="Q101" s="17">
        <v>5</v>
      </c>
      <c r="R101" s="17">
        <v>4</v>
      </c>
      <c r="S101" s="17">
        <v>6</v>
      </c>
      <c r="T101" s="17">
        <v>5</v>
      </c>
      <c r="U101" s="58">
        <v>4</v>
      </c>
      <c r="V101" s="16">
        <f t="shared" si="57"/>
        <v>9</v>
      </c>
      <c r="W101" s="17">
        <f t="shared" si="58"/>
        <v>10</v>
      </c>
      <c r="X101" s="17">
        <f t="shared" si="58"/>
        <v>9</v>
      </c>
      <c r="Y101" s="17">
        <f t="shared" si="59"/>
        <v>5</v>
      </c>
      <c r="Z101" s="17">
        <f t="shared" si="45"/>
        <v>9</v>
      </c>
      <c r="AA101" s="17">
        <f t="shared" si="60"/>
        <v>6</v>
      </c>
      <c r="AB101" s="58">
        <f t="shared" si="61"/>
        <v>9</v>
      </c>
      <c r="AC101" s="67"/>
      <c r="AD101" s="67"/>
      <c r="AE101" s="67"/>
      <c r="AF101" s="67"/>
      <c r="AG101" s="67"/>
      <c r="AH101" s="67"/>
      <c r="AI101" s="73"/>
      <c r="AJ101" s="74"/>
      <c r="AK101" s="74"/>
      <c r="AL101" s="62">
        <v>0.6</v>
      </c>
      <c r="AM101" s="63">
        <v>0.5</v>
      </c>
      <c r="AN101" s="63">
        <v>0.66</v>
      </c>
      <c r="AO101" s="63">
        <v>0.5</v>
      </c>
      <c r="AP101" s="64">
        <v>0.9</v>
      </c>
      <c r="AQ101" s="62">
        <f t="shared" si="47"/>
        <v>1</v>
      </c>
      <c r="AR101" s="65">
        <v>1</v>
      </c>
      <c r="AS101" s="62">
        <f t="shared" si="48"/>
        <v>0.61000000000000032</v>
      </c>
      <c r="AT101" s="65">
        <f t="shared" si="66"/>
        <v>0.67100000000000037</v>
      </c>
      <c r="AU101" s="62">
        <f t="shared" si="49"/>
        <v>1.0000000000000004</v>
      </c>
      <c r="AV101" s="65">
        <v>1.0000000000000004</v>
      </c>
      <c r="AW101" s="62">
        <f t="shared" si="50"/>
        <v>1.0000000000000004</v>
      </c>
      <c r="AX101" s="65">
        <v>1</v>
      </c>
      <c r="AY101" s="62">
        <f t="shared" si="51"/>
        <v>1.0000000000000004</v>
      </c>
      <c r="AZ101" s="65">
        <v>1.0000000000000004</v>
      </c>
      <c r="BA101" s="62">
        <f t="shared" si="52"/>
        <v>0.61600000000000033</v>
      </c>
      <c r="BB101" s="65">
        <f t="shared" si="65"/>
        <v>0.8100000000000005</v>
      </c>
      <c r="BC101" s="62">
        <f t="shared" si="53"/>
        <v>0.03</v>
      </c>
      <c r="BD101" s="65">
        <v>0.24</v>
      </c>
      <c r="BE101" s="74"/>
      <c r="BF101" s="7"/>
      <c r="BG101" s="74"/>
      <c r="BH101" s="7"/>
      <c r="BI101" s="7"/>
      <c r="BJ101" s="7"/>
      <c r="BK101" s="7"/>
      <c r="BL101" s="7"/>
      <c r="BM101" s="7"/>
      <c r="BN101" s="7"/>
      <c r="BO101" s="7"/>
      <c r="BP101" s="7"/>
      <c r="BQ101" s="7"/>
    </row>
    <row r="102" spans="1:69" ht="19.8" thickBot="1" x14ac:dyDescent="0.35">
      <c r="A102" s="16">
        <v>100</v>
      </c>
      <c r="B102" s="52">
        <v>44622</v>
      </c>
      <c r="C102" s="53" t="str">
        <f t="shared" si="54"/>
        <v>1400/12/11</v>
      </c>
      <c r="D102" s="54">
        <v>0.72900000000000065</v>
      </c>
      <c r="E102" s="54">
        <v>0.58361900000000111</v>
      </c>
      <c r="F102" s="11" t="e">
        <f t="shared" si="55"/>
        <v>#N/A</v>
      </c>
      <c r="G102" s="38" t="str">
        <f t="shared" si="56"/>
        <v>تاریخ: 1400/12/11
درصد پیشرفت برنامه ای: 72.9%
درصد پیشرفت واقعی: 58.36%</v>
      </c>
      <c r="H102" s="55">
        <v>1</v>
      </c>
      <c r="I102" s="56">
        <v>0.61000000000000032</v>
      </c>
      <c r="J102" s="56">
        <v>1.0000000000000004</v>
      </c>
      <c r="K102" s="56">
        <f t="shared" si="67"/>
        <v>1.0000000000000004</v>
      </c>
      <c r="L102" s="56">
        <f t="shared" si="44"/>
        <v>1.0000000000000004</v>
      </c>
      <c r="M102" s="56">
        <f t="shared" si="44"/>
        <v>0.64800000000000035</v>
      </c>
      <c r="N102" s="57">
        <f t="shared" ref="N102:N165" si="68">M83</f>
        <v>0.04</v>
      </c>
      <c r="O102" s="16">
        <f t="shared" si="62"/>
        <v>4</v>
      </c>
      <c r="P102" s="17">
        <v>10</v>
      </c>
      <c r="Q102" s="17">
        <v>9</v>
      </c>
      <c r="R102" s="17">
        <v>8</v>
      </c>
      <c r="S102" s="17">
        <v>7</v>
      </c>
      <c r="T102" s="17">
        <v>5</v>
      </c>
      <c r="U102" s="58">
        <v>4</v>
      </c>
      <c r="V102" s="16">
        <f t="shared" si="57"/>
        <v>7</v>
      </c>
      <c r="W102" s="17">
        <f t="shared" si="58"/>
        <v>14</v>
      </c>
      <c r="X102" s="17">
        <f t="shared" si="58"/>
        <v>13</v>
      </c>
      <c r="Y102" s="17">
        <f t="shared" si="59"/>
        <v>9</v>
      </c>
      <c r="Z102" s="17">
        <f t="shared" si="45"/>
        <v>10</v>
      </c>
      <c r="AA102" s="17">
        <f t="shared" si="60"/>
        <v>6</v>
      </c>
      <c r="AB102" s="58">
        <f t="shared" si="61"/>
        <v>9</v>
      </c>
      <c r="AC102" s="67"/>
      <c r="AD102" s="67"/>
      <c r="AE102" s="67"/>
      <c r="AF102" s="67"/>
      <c r="AG102" s="67"/>
      <c r="AH102" s="67"/>
      <c r="AI102" s="73"/>
      <c r="AJ102" s="74"/>
      <c r="AK102" s="74"/>
      <c r="AL102" s="62">
        <v>0.55000000000000004</v>
      </c>
      <c r="AM102" s="63">
        <v>0.62</v>
      </c>
      <c r="AN102" s="63">
        <v>0.78</v>
      </c>
      <c r="AO102" s="63">
        <v>0.42</v>
      </c>
      <c r="AP102" s="64">
        <v>0.8</v>
      </c>
      <c r="AQ102" s="62">
        <f t="shared" si="47"/>
        <v>1</v>
      </c>
      <c r="AR102" s="65">
        <v>1</v>
      </c>
      <c r="AS102" s="62">
        <f t="shared" si="48"/>
        <v>0.61000000000000032</v>
      </c>
      <c r="AT102" s="65">
        <f t="shared" si="66"/>
        <v>0.68000000000000038</v>
      </c>
      <c r="AU102" s="62">
        <f t="shared" si="49"/>
        <v>1.0000000000000004</v>
      </c>
      <c r="AV102" s="65">
        <v>1.0000000000000004</v>
      </c>
      <c r="AW102" s="62">
        <f t="shared" si="50"/>
        <v>1.0000000000000004</v>
      </c>
      <c r="AX102" s="65">
        <v>1</v>
      </c>
      <c r="AY102" s="62">
        <f t="shared" si="51"/>
        <v>1.0000000000000004</v>
      </c>
      <c r="AZ102" s="65">
        <v>1.0000000000000004</v>
      </c>
      <c r="BA102" s="62">
        <f t="shared" si="52"/>
        <v>0.64800000000000035</v>
      </c>
      <c r="BB102" s="65">
        <f t="shared" si="65"/>
        <v>0.84000000000000052</v>
      </c>
      <c r="BC102" s="62">
        <f t="shared" si="53"/>
        <v>0.04</v>
      </c>
      <c r="BD102" s="65">
        <v>0.27</v>
      </c>
      <c r="BE102" s="74"/>
      <c r="BF102" s="7"/>
      <c r="BG102" s="74"/>
      <c r="BH102" s="7"/>
      <c r="BI102" s="7"/>
      <c r="BJ102" s="7"/>
      <c r="BK102" s="7"/>
      <c r="BL102" s="7"/>
      <c r="BM102" s="7"/>
      <c r="BN102" s="7"/>
      <c r="BO102" s="7"/>
      <c r="BP102" s="7"/>
      <c r="BQ102" s="7"/>
    </row>
    <row r="103" spans="1:69" ht="19.8" thickBot="1" x14ac:dyDescent="0.35">
      <c r="A103" s="16">
        <v>101</v>
      </c>
      <c r="B103" s="52">
        <v>44629</v>
      </c>
      <c r="C103" s="53" t="str">
        <f t="shared" si="54"/>
        <v>1400/12/18</v>
      </c>
      <c r="D103" s="54">
        <v>0.73100000000000065</v>
      </c>
      <c r="E103" s="54">
        <v>0.58361900000000111</v>
      </c>
      <c r="F103" s="11" t="e">
        <f t="shared" si="55"/>
        <v>#N/A</v>
      </c>
      <c r="G103" s="38" t="str">
        <f t="shared" si="56"/>
        <v>تاریخ: 1400/12/18
درصد پیشرفت برنامه ای: 73.1%
درصد پیشرفت واقعی: 58.36%</v>
      </c>
      <c r="H103" s="55">
        <v>1</v>
      </c>
      <c r="I103" s="56">
        <f t="shared" si="63"/>
        <v>0.62000000000000033</v>
      </c>
      <c r="J103" s="56">
        <v>1.0000000000000004</v>
      </c>
      <c r="K103" s="56">
        <f t="shared" si="67"/>
        <v>1.0000000000000004</v>
      </c>
      <c r="L103" s="56">
        <f t="shared" si="44"/>
        <v>1.0000000000000004</v>
      </c>
      <c r="M103" s="56">
        <f t="shared" si="44"/>
        <v>0.68000000000000038</v>
      </c>
      <c r="N103" s="57">
        <f t="shared" si="68"/>
        <v>7.2000000000000008E-2</v>
      </c>
      <c r="O103" s="16">
        <f t="shared" si="62"/>
        <v>4</v>
      </c>
      <c r="P103" s="17">
        <v>10</v>
      </c>
      <c r="Q103" s="17">
        <v>9</v>
      </c>
      <c r="R103" s="17">
        <v>10</v>
      </c>
      <c r="S103" s="17">
        <v>11</v>
      </c>
      <c r="T103" s="17">
        <v>10</v>
      </c>
      <c r="U103" s="58">
        <v>11</v>
      </c>
      <c r="V103" s="16">
        <f t="shared" si="57"/>
        <v>7</v>
      </c>
      <c r="W103" s="17">
        <f t="shared" si="58"/>
        <v>14</v>
      </c>
      <c r="X103" s="17">
        <f t="shared" si="58"/>
        <v>13</v>
      </c>
      <c r="Y103" s="17">
        <f t="shared" si="59"/>
        <v>11</v>
      </c>
      <c r="Z103" s="17">
        <f t="shared" si="45"/>
        <v>14</v>
      </c>
      <c r="AA103" s="17">
        <f t="shared" si="60"/>
        <v>11</v>
      </c>
      <c r="AB103" s="58">
        <f t="shared" si="61"/>
        <v>16</v>
      </c>
      <c r="AC103" s="67"/>
      <c r="AD103" s="67"/>
      <c r="AE103" s="67"/>
      <c r="AF103" s="67"/>
      <c r="AG103" s="67"/>
      <c r="AH103" s="67"/>
      <c r="AI103" s="73"/>
      <c r="AJ103" s="74"/>
      <c r="AK103" s="74"/>
      <c r="AL103" s="62">
        <v>0.6</v>
      </c>
      <c r="AM103" s="63">
        <v>0.9</v>
      </c>
      <c r="AN103" s="63">
        <v>0.5</v>
      </c>
      <c r="AO103" s="63">
        <v>0.5</v>
      </c>
      <c r="AP103" s="64">
        <v>0.62</v>
      </c>
      <c r="AQ103" s="62">
        <f t="shared" si="47"/>
        <v>1</v>
      </c>
      <c r="AR103" s="65">
        <v>1</v>
      </c>
      <c r="AS103" s="62">
        <f t="shared" si="48"/>
        <v>0.62000000000000033</v>
      </c>
      <c r="AT103" s="65">
        <f t="shared" si="66"/>
        <v>0.68900000000000039</v>
      </c>
      <c r="AU103" s="62">
        <f t="shared" si="49"/>
        <v>1.0000000000000004</v>
      </c>
      <c r="AV103" s="65">
        <v>1.0000000000000004</v>
      </c>
      <c r="AW103" s="62">
        <f t="shared" si="50"/>
        <v>1.0000000000000004</v>
      </c>
      <c r="AX103" s="65">
        <v>1</v>
      </c>
      <c r="AY103" s="62">
        <f t="shared" si="51"/>
        <v>1.0000000000000004</v>
      </c>
      <c r="AZ103" s="65">
        <v>1.0000000000000004</v>
      </c>
      <c r="BA103" s="62">
        <f t="shared" si="52"/>
        <v>0.68000000000000038</v>
      </c>
      <c r="BB103" s="65">
        <f t="shared" si="65"/>
        <v>0.87000000000000055</v>
      </c>
      <c r="BC103" s="62">
        <f t="shared" si="53"/>
        <v>7.2000000000000008E-2</v>
      </c>
      <c r="BD103" s="65">
        <v>0.30000000000000004</v>
      </c>
      <c r="BE103" s="74"/>
      <c r="BF103" s="7"/>
      <c r="BG103" s="74"/>
      <c r="BH103" s="7"/>
      <c r="BI103" s="7"/>
      <c r="BJ103" s="7"/>
      <c r="BK103" s="7"/>
      <c r="BL103" s="7"/>
      <c r="BM103" s="7"/>
      <c r="BN103" s="7"/>
      <c r="BO103" s="7"/>
      <c r="BP103" s="7"/>
      <c r="BQ103" s="7"/>
    </row>
    <row r="104" spans="1:69" ht="19.8" thickBot="1" x14ac:dyDescent="0.35">
      <c r="A104" s="16">
        <v>102</v>
      </c>
      <c r="B104" s="52">
        <v>44636</v>
      </c>
      <c r="C104" s="53" t="str">
        <f t="shared" si="54"/>
        <v>1400/12/25</v>
      </c>
      <c r="D104" s="54">
        <v>0.73300000000000065</v>
      </c>
      <c r="E104" s="54">
        <v>0.58494100000000115</v>
      </c>
      <c r="F104" s="11" t="e">
        <f t="shared" si="55"/>
        <v>#N/A</v>
      </c>
      <c r="G104" s="38" t="str">
        <f t="shared" si="56"/>
        <v>تاریخ: 1400/12/25
درصد پیشرفت برنامه ای: 73.3%
درصد پیشرفت واقعی: 58.49%</v>
      </c>
      <c r="H104" s="55">
        <v>1</v>
      </c>
      <c r="I104" s="56">
        <f t="shared" si="63"/>
        <v>0.63000000000000034</v>
      </c>
      <c r="J104" s="56">
        <v>1.0000000000000004</v>
      </c>
      <c r="K104" s="56">
        <f t="shared" si="67"/>
        <v>1.0000000000000004</v>
      </c>
      <c r="L104" s="56">
        <f t="shared" si="44"/>
        <v>1.0000000000000004</v>
      </c>
      <c r="M104" s="56">
        <f t="shared" si="44"/>
        <v>0.71200000000000041</v>
      </c>
      <c r="N104" s="57">
        <f t="shared" si="68"/>
        <v>0.10400000000000001</v>
      </c>
      <c r="O104" s="16">
        <f t="shared" si="62"/>
        <v>11</v>
      </c>
      <c r="P104" s="17">
        <v>12</v>
      </c>
      <c r="Q104" s="17">
        <v>11</v>
      </c>
      <c r="R104" s="17">
        <v>13</v>
      </c>
      <c r="S104" s="17">
        <v>11</v>
      </c>
      <c r="T104" s="17">
        <v>12</v>
      </c>
      <c r="U104" s="58">
        <v>13</v>
      </c>
      <c r="V104" s="16">
        <f t="shared" si="57"/>
        <v>14</v>
      </c>
      <c r="W104" s="17">
        <f t="shared" si="58"/>
        <v>16</v>
      </c>
      <c r="X104" s="17">
        <f t="shared" si="58"/>
        <v>15</v>
      </c>
      <c r="Y104" s="17">
        <f t="shared" si="59"/>
        <v>14</v>
      </c>
      <c r="Z104" s="17">
        <f t="shared" si="45"/>
        <v>14</v>
      </c>
      <c r="AA104" s="17">
        <f t="shared" si="60"/>
        <v>13</v>
      </c>
      <c r="AB104" s="58">
        <f t="shared" si="61"/>
        <v>18</v>
      </c>
      <c r="AC104" s="67"/>
      <c r="AD104" s="67"/>
      <c r="AE104" s="67"/>
      <c r="AF104" s="67"/>
      <c r="AG104" s="67"/>
      <c r="AH104" s="67"/>
      <c r="AI104" s="73"/>
      <c r="AJ104" s="74"/>
      <c r="AK104" s="74"/>
      <c r="AL104" s="62">
        <v>0.66</v>
      </c>
      <c r="AM104" s="63">
        <v>0.7</v>
      </c>
      <c r="AN104" s="63">
        <v>0.8</v>
      </c>
      <c r="AO104" s="63">
        <v>0.55000000000000004</v>
      </c>
      <c r="AP104" s="64">
        <v>0.5</v>
      </c>
      <c r="AQ104" s="62">
        <f t="shared" si="47"/>
        <v>1</v>
      </c>
      <c r="AR104" s="65">
        <v>1</v>
      </c>
      <c r="AS104" s="62">
        <f t="shared" si="48"/>
        <v>0.63000000000000034</v>
      </c>
      <c r="AT104" s="65">
        <f t="shared" si="66"/>
        <v>0.6980000000000004</v>
      </c>
      <c r="AU104" s="62">
        <f t="shared" si="49"/>
        <v>1.0000000000000004</v>
      </c>
      <c r="AV104" s="65">
        <v>1.0000000000000004</v>
      </c>
      <c r="AW104" s="62">
        <f t="shared" si="50"/>
        <v>1.0000000000000004</v>
      </c>
      <c r="AX104" s="65">
        <v>1</v>
      </c>
      <c r="AY104" s="62">
        <f t="shared" si="51"/>
        <v>1.0000000000000004</v>
      </c>
      <c r="AZ104" s="65">
        <v>1.0000000000000004</v>
      </c>
      <c r="BA104" s="62">
        <f t="shared" si="52"/>
        <v>0.71200000000000041</v>
      </c>
      <c r="BB104" s="65">
        <f t="shared" si="65"/>
        <v>0.90000000000000058</v>
      </c>
      <c r="BC104" s="62">
        <f t="shared" si="53"/>
        <v>0.10400000000000001</v>
      </c>
      <c r="BD104" s="65">
        <v>0.33000000000000007</v>
      </c>
      <c r="BE104" s="74"/>
      <c r="BF104" s="7"/>
      <c r="BG104" s="74"/>
      <c r="BH104" s="7"/>
      <c r="BI104" s="7"/>
      <c r="BJ104" s="7"/>
      <c r="BK104" s="7"/>
      <c r="BL104" s="7"/>
      <c r="BM104" s="7"/>
      <c r="BN104" s="7"/>
      <c r="BO104" s="7"/>
      <c r="BP104" s="7"/>
      <c r="BQ104" s="7"/>
    </row>
    <row r="105" spans="1:69" ht="19.8" thickBot="1" x14ac:dyDescent="0.35">
      <c r="A105" s="16">
        <v>103</v>
      </c>
      <c r="B105" s="52">
        <v>44643</v>
      </c>
      <c r="C105" s="53" t="str">
        <f t="shared" si="54"/>
        <v>1401/01/03</v>
      </c>
      <c r="D105" s="54">
        <v>0.73500000000000065</v>
      </c>
      <c r="E105" s="54">
        <v>0.58586300000000113</v>
      </c>
      <c r="F105" s="11" t="e">
        <f t="shared" si="55"/>
        <v>#N/A</v>
      </c>
      <c r="G105" s="38" t="str">
        <f t="shared" si="56"/>
        <v>تاریخ: 1401/01/03
درصد پیشرفت برنامه ای: 73.5%
درصد پیشرفت واقعی: 58.59%</v>
      </c>
      <c r="H105" s="55">
        <v>1</v>
      </c>
      <c r="I105" s="56">
        <f t="shared" si="63"/>
        <v>0.64000000000000035</v>
      </c>
      <c r="J105" s="56">
        <v>1.0000000000000004</v>
      </c>
      <c r="K105" s="56">
        <f t="shared" si="67"/>
        <v>1.0000000000000004</v>
      </c>
      <c r="L105" s="56">
        <f t="shared" si="44"/>
        <v>1.0000000000000004</v>
      </c>
      <c r="M105" s="56">
        <f t="shared" si="44"/>
        <v>0.74400000000000044</v>
      </c>
      <c r="N105" s="57">
        <f t="shared" si="68"/>
        <v>0.13600000000000001</v>
      </c>
      <c r="O105" s="16">
        <f t="shared" si="62"/>
        <v>13</v>
      </c>
      <c r="P105" s="17">
        <v>16</v>
      </c>
      <c r="Q105" s="17">
        <v>18</v>
      </c>
      <c r="R105" s="17">
        <v>18</v>
      </c>
      <c r="S105" s="17">
        <v>15</v>
      </c>
      <c r="T105" s="17">
        <v>15</v>
      </c>
      <c r="U105" s="58">
        <v>14</v>
      </c>
      <c r="V105" s="16">
        <f t="shared" si="57"/>
        <v>16</v>
      </c>
      <c r="W105" s="17">
        <f t="shared" si="58"/>
        <v>20</v>
      </c>
      <c r="X105" s="17">
        <f t="shared" si="58"/>
        <v>22</v>
      </c>
      <c r="Y105" s="17">
        <f t="shared" si="59"/>
        <v>19</v>
      </c>
      <c r="Z105" s="17">
        <f t="shared" si="45"/>
        <v>18</v>
      </c>
      <c r="AA105" s="17">
        <f t="shared" si="60"/>
        <v>16</v>
      </c>
      <c r="AB105" s="58">
        <f t="shared" si="61"/>
        <v>19</v>
      </c>
      <c r="AC105" s="67"/>
      <c r="AD105" s="67"/>
      <c r="AE105" s="67"/>
      <c r="AF105" s="67"/>
      <c r="AG105" s="67"/>
      <c r="AH105" s="67"/>
      <c r="AI105" s="73"/>
      <c r="AJ105" s="74"/>
      <c r="AK105" s="74"/>
      <c r="AL105" s="62">
        <v>0.55000000000000004</v>
      </c>
      <c r="AM105" s="63">
        <v>0.4</v>
      </c>
      <c r="AN105" s="63">
        <v>0.4</v>
      </c>
      <c r="AO105" s="63">
        <v>0.9</v>
      </c>
      <c r="AP105" s="64">
        <v>0.8</v>
      </c>
      <c r="AQ105" s="62">
        <f t="shared" si="47"/>
        <v>1</v>
      </c>
      <c r="AR105" s="65">
        <v>1</v>
      </c>
      <c r="AS105" s="62">
        <f t="shared" si="48"/>
        <v>0.64000000000000035</v>
      </c>
      <c r="AT105" s="65">
        <f t="shared" si="66"/>
        <v>0.70700000000000041</v>
      </c>
      <c r="AU105" s="62">
        <f t="shared" si="49"/>
        <v>1.0000000000000004</v>
      </c>
      <c r="AV105" s="65">
        <v>1.0000000000000004</v>
      </c>
      <c r="AW105" s="62">
        <f t="shared" si="50"/>
        <v>1.0000000000000004</v>
      </c>
      <c r="AX105" s="65">
        <v>1</v>
      </c>
      <c r="AY105" s="62">
        <f t="shared" si="51"/>
        <v>1.0000000000000004</v>
      </c>
      <c r="AZ105" s="65">
        <v>1.0000000000000004</v>
      </c>
      <c r="BA105" s="62">
        <f t="shared" si="52"/>
        <v>0.74400000000000044</v>
      </c>
      <c r="BB105" s="65">
        <f t="shared" si="65"/>
        <v>0.9300000000000006</v>
      </c>
      <c r="BC105" s="62">
        <f t="shared" si="53"/>
        <v>0.13600000000000001</v>
      </c>
      <c r="BD105" s="65">
        <v>0.3600000000000001</v>
      </c>
      <c r="BE105" s="74"/>
      <c r="BF105" s="7"/>
      <c r="BG105" s="74"/>
      <c r="BH105" s="7"/>
      <c r="BI105" s="7"/>
      <c r="BJ105" s="7"/>
      <c r="BK105" s="7"/>
      <c r="BL105" s="7"/>
      <c r="BM105" s="7"/>
      <c r="BN105" s="7"/>
      <c r="BO105" s="7"/>
      <c r="BP105" s="7"/>
      <c r="BQ105" s="7"/>
    </row>
    <row r="106" spans="1:69" ht="19.8" thickBot="1" x14ac:dyDescent="0.35">
      <c r="A106" s="16">
        <v>104</v>
      </c>
      <c r="B106" s="52">
        <v>44650</v>
      </c>
      <c r="C106" s="53" t="str">
        <f t="shared" si="54"/>
        <v>1401/01/10</v>
      </c>
      <c r="D106" s="54">
        <v>0.73700000000000065</v>
      </c>
      <c r="E106" s="54">
        <v>0.58678500000000111</v>
      </c>
      <c r="F106" s="11" t="e">
        <f t="shared" si="55"/>
        <v>#N/A</v>
      </c>
      <c r="G106" s="38" t="str">
        <f t="shared" si="56"/>
        <v>تاریخ: 1401/01/10
درصد پیشرفت برنامه ای: 73.7%
درصد پیشرفت واقعی: 58.68%</v>
      </c>
      <c r="H106" s="55">
        <v>1</v>
      </c>
      <c r="I106" s="56">
        <f t="shared" si="63"/>
        <v>0.65000000000000036</v>
      </c>
      <c r="J106" s="56">
        <v>1.0000000000000004</v>
      </c>
      <c r="K106" s="56">
        <f t="shared" si="67"/>
        <v>1.0000000000000004</v>
      </c>
      <c r="L106" s="56">
        <f t="shared" si="44"/>
        <v>1.0000000000000004</v>
      </c>
      <c r="M106" s="56">
        <f t="shared" si="44"/>
        <v>0.77600000000000047</v>
      </c>
      <c r="N106" s="57">
        <f t="shared" si="68"/>
        <v>0.16800000000000001</v>
      </c>
      <c r="O106" s="16">
        <f t="shared" si="62"/>
        <v>14</v>
      </c>
      <c r="P106" s="17">
        <v>15</v>
      </c>
      <c r="Q106" s="17">
        <v>15</v>
      </c>
      <c r="R106" s="17">
        <v>18</v>
      </c>
      <c r="S106" s="17">
        <v>17</v>
      </c>
      <c r="T106" s="17">
        <v>18</v>
      </c>
      <c r="U106" s="58">
        <v>19</v>
      </c>
      <c r="V106" s="16">
        <f t="shared" si="57"/>
        <v>17</v>
      </c>
      <c r="W106" s="17">
        <f t="shared" si="58"/>
        <v>19</v>
      </c>
      <c r="X106" s="17">
        <f t="shared" si="58"/>
        <v>19</v>
      </c>
      <c r="Y106" s="17">
        <f t="shared" si="59"/>
        <v>19</v>
      </c>
      <c r="Z106" s="17">
        <f t="shared" si="45"/>
        <v>20</v>
      </c>
      <c r="AA106" s="17">
        <f t="shared" si="60"/>
        <v>19</v>
      </c>
      <c r="AB106" s="58">
        <f t="shared" si="61"/>
        <v>24</v>
      </c>
      <c r="AC106" s="67"/>
      <c r="AD106" s="67"/>
      <c r="AE106" s="67"/>
      <c r="AF106" s="67"/>
      <c r="AG106" s="67"/>
      <c r="AH106" s="67"/>
      <c r="AI106" s="73"/>
      <c r="AJ106" s="74"/>
      <c r="AK106" s="74"/>
      <c r="AL106" s="62">
        <v>0.7</v>
      </c>
      <c r="AM106" s="63">
        <v>0.55000000000000004</v>
      </c>
      <c r="AN106" s="63">
        <v>0.1</v>
      </c>
      <c r="AO106" s="63">
        <v>0.4</v>
      </c>
      <c r="AP106" s="64">
        <v>0.9</v>
      </c>
      <c r="AQ106" s="62">
        <f t="shared" si="47"/>
        <v>1</v>
      </c>
      <c r="AR106" s="65">
        <v>1</v>
      </c>
      <c r="AS106" s="62">
        <f t="shared" si="48"/>
        <v>0.65000000000000036</v>
      </c>
      <c r="AT106" s="65">
        <v>0.70700000000000041</v>
      </c>
      <c r="AU106" s="62">
        <f t="shared" si="49"/>
        <v>1.0000000000000004</v>
      </c>
      <c r="AV106" s="65">
        <v>1.0000000000000004</v>
      </c>
      <c r="AW106" s="62">
        <f t="shared" si="50"/>
        <v>1.0000000000000004</v>
      </c>
      <c r="AX106" s="65">
        <v>1</v>
      </c>
      <c r="AY106" s="62">
        <f t="shared" si="51"/>
        <v>1.0000000000000004</v>
      </c>
      <c r="AZ106" s="65">
        <v>1.0000000000000004</v>
      </c>
      <c r="BA106" s="62">
        <f t="shared" si="52"/>
        <v>0.77600000000000047</v>
      </c>
      <c r="BB106" s="65">
        <f t="shared" si="65"/>
        <v>0.96000000000000063</v>
      </c>
      <c r="BC106" s="62">
        <f t="shared" si="53"/>
        <v>0.16800000000000001</v>
      </c>
      <c r="BD106" s="65">
        <v>0.39000000000000012</v>
      </c>
      <c r="BE106" s="74"/>
      <c r="BF106" s="7"/>
      <c r="BG106" s="74"/>
      <c r="BH106" s="7"/>
      <c r="BI106" s="7"/>
      <c r="BJ106" s="7"/>
      <c r="BK106" s="7"/>
      <c r="BL106" s="7"/>
      <c r="BM106" s="7"/>
      <c r="BN106" s="7"/>
      <c r="BO106" s="7"/>
      <c r="BP106" s="7"/>
      <c r="BQ106" s="7"/>
    </row>
    <row r="107" spans="1:69" ht="19.8" thickBot="1" x14ac:dyDescent="0.35">
      <c r="A107" s="16">
        <v>105</v>
      </c>
      <c r="B107" s="52">
        <v>44657</v>
      </c>
      <c r="C107" s="53" t="str">
        <f t="shared" si="54"/>
        <v>1401/01/17</v>
      </c>
      <c r="D107" s="54">
        <v>0.73900000000000066</v>
      </c>
      <c r="E107" s="54">
        <v>0.58770700000000109</v>
      </c>
      <c r="F107" s="11" t="e">
        <f t="shared" si="55"/>
        <v>#N/A</v>
      </c>
      <c r="G107" s="38" t="str">
        <f t="shared" si="56"/>
        <v>تاریخ: 1401/01/17
درصد پیشرفت برنامه ای: 73.9%
درصد پیشرفت واقعی: 58.77%</v>
      </c>
      <c r="H107" s="55">
        <v>1</v>
      </c>
      <c r="I107" s="56">
        <f t="shared" si="63"/>
        <v>0.66000000000000036</v>
      </c>
      <c r="J107" s="56">
        <v>1.0000000000000004</v>
      </c>
      <c r="K107" s="56">
        <f t="shared" si="67"/>
        <v>1.0000000000000004</v>
      </c>
      <c r="L107" s="56">
        <f t="shared" si="44"/>
        <v>1.0000000000000004</v>
      </c>
      <c r="M107" s="56">
        <f t="shared" si="44"/>
        <v>0.8080000000000005</v>
      </c>
      <c r="N107" s="57">
        <f t="shared" si="68"/>
        <v>0.2</v>
      </c>
      <c r="O107" s="16">
        <f t="shared" si="62"/>
        <v>19</v>
      </c>
      <c r="P107" s="17">
        <v>19</v>
      </c>
      <c r="Q107" s="17">
        <v>17</v>
      </c>
      <c r="R107" s="17">
        <v>17</v>
      </c>
      <c r="S107" s="17">
        <v>19</v>
      </c>
      <c r="T107" s="17">
        <v>20</v>
      </c>
      <c r="U107" s="58">
        <v>21</v>
      </c>
      <c r="V107" s="16">
        <f t="shared" si="57"/>
        <v>22</v>
      </c>
      <c r="W107" s="17">
        <f t="shared" si="58"/>
        <v>23</v>
      </c>
      <c r="X107" s="17">
        <f t="shared" si="58"/>
        <v>21</v>
      </c>
      <c r="Y107" s="17">
        <f t="shared" si="59"/>
        <v>18</v>
      </c>
      <c r="Z107" s="17">
        <f t="shared" si="45"/>
        <v>22</v>
      </c>
      <c r="AA107" s="17">
        <f t="shared" si="60"/>
        <v>21</v>
      </c>
      <c r="AB107" s="58">
        <f t="shared" si="61"/>
        <v>26</v>
      </c>
      <c r="AC107" s="67"/>
      <c r="AD107" s="67"/>
      <c r="AE107" s="67"/>
      <c r="AF107" s="67"/>
      <c r="AG107" s="67"/>
      <c r="AH107" s="67"/>
      <c r="AI107" s="73"/>
      <c r="AJ107" s="74"/>
      <c r="AK107" s="74"/>
      <c r="AL107" s="62">
        <v>0.4</v>
      </c>
      <c r="AM107" s="63">
        <v>0.69</v>
      </c>
      <c r="AN107" s="63">
        <v>0.5</v>
      </c>
      <c r="AO107" s="63">
        <v>0.2</v>
      </c>
      <c r="AP107" s="64">
        <v>0.4</v>
      </c>
      <c r="AQ107" s="62">
        <f t="shared" si="47"/>
        <v>1</v>
      </c>
      <c r="AR107" s="65">
        <v>1</v>
      </c>
      <c r="AS107" s="62">
        <f t="shared" si="48"/>
        <v>0.66000000000000036</v>
      </c>
      <c r="AT107" s="65">
        <v>0.70700000000000041</v>
      </c>
      <c r="AU107" s="62">
        <f t="shared" si="49"/>
        <v>1.0000000000000004</v>
      </c>
      <c r="AV107" s="65">
        <v>1.0000000000000004</v>
      </c>
      <c r="AW107" s="62">
        <f t="shared" si="50"/>
        <v>1.0000000000000004</v>
      </c>
      <c r="AX107" s="65">
        <v>1</v>
      </c>
      <c r="AY107" s="62">
        <f t="shared" si="51"/>
        <v>1.0000000000000004</v>
      </c>
      <c r="AZ107" s="65">
        <v>1.0000000000000004</v>
      </c>
      <c r="BA107" s="62">
        <f t="shared" si="52"/>
        <v>0.8080000000000005</v>
      </c>
      <c r="BB107" s="65">
        <f t="shared" si="65"/>
        <v>0.99000000000000066</v>
      </c>
      <c r="BC107" s="62">
        <f t="shared" si="53"/>
        <v>0.2</v>
      </c>
      <c r="BD107" s="65">
        <v>0.42000000000000015</v>
      </c>
      <c r="BE107" s="74"/>
      <c r="BF107" s="7"/>
      <c r="BG107" s="74"/>
      <c r="BH107" s="7"/>
      <c r="BI107" s="7"/>
      <c r="BJ107" s="7"/>
      <c r="BK107" s="7"/>
      <c r="BL107" s="7"/>
      <c r="BM107" s="7"/>
      <c r="BN107" s="7"/>
      <c r="BO107" s="7"/>
      <c r="BP107" s="7"/>
      <c r="BQ107" s="7"/>
    </row>
    <row r="108" spans="1:69" ht="19.8" thickBot="1" x14ac:dyDescent="0.35">
      <c r="A108" s="16">
        <v>106</v>
      </c>
      <c r="B108" s="52">
        <v>44664</v>
      </c>
      <c r="C108" s="53" t="str">
        <f t="shared" si="54"/>
        <v>1401/01/24</v>
      </c>
      <c r="D108" s="54">
        <v>0.74100000000000066</v>
      </c>
      <c r="E108" s="54">
        <v>0.58862900000000107</v>
      </c>
      <c r="F108" s="11" t="e">
        <f t="shared" si="55"/>
        <v>#N/A</v>
      </c>
      <c r="G108" s="38" t="str">
        <f t="shared" si="56"/>
        <v>تاریخ: 1401/01/24
درصد پیشرفت برنامه ای: 74.1%
درصد پیشرفت واقعی: 58.86%</v>
      </c>
      <c r="H108" s="55">
        <v>1</v>
      </c>
      <c r="I108" s="56">
        <f t="shared" si="63"/>
        <v>0.67000000000000037</v>
      </c>
      <c r="J108" s="56">
        <v>1.0000000000000004</v>
      </c>
      <c r="K108" s="56">
        <f t="shared" si="67"/>
        <v>1.0000000000000004</v>
      </c>
      <c r="L108" s="56">
        <f t="shared" si="44"/>
        <v>1.0000000000000004</v>
      </c>
      <c r="M108" s="56">
        <f t="shared" si="44"/>
        <v>0.84000000000000052</v>
      </c>
      <c r="N108" s="57">
        <f t="shared" si="68"/>
        <v>0.23200000000000001</v>
      </c>
      <c r="O108" s="16">
        <f t="shared" si="62"/>
        <v>21</v>
      </c>
      <c r="P108" s="17">
        <v>22</v>
      </c>
      <c r="Q108" s="17">
        <v>22</v>
      </c>
      <c r="R108" s="17">
        <v>23</v>
      </c>
      <c r="S108" s="17">
        <v>21</v>
      </c>
      <c r="T108" s="17">
        <v>22</v>
      </c>
      <c r="U108" s="58">
        <v>24</v>
      </c>
      <c r="V108" s="16">
        <f t="shared" si="57"/>
        <v>24</v>
      </c>
      <c r="W108" s="17">
        <f t="shared" si="58"/>
        <v>26</v>
      </c>
      <c r="X108" s="17">
        <f t="shared" si="58"/>
        <v>26</v>
      </c>
      <c r="Y108" s="17">
        <f t="shared" si="59"/>
        <v>24</v>
      </c>
      <c r="Z108" s="17">
        <f t="shared" si="45"/>
        <v>24</v>
      </c>
      <c r="AA108" s="17">
        <f t="shared" si="60"/>
        <v>23</v>
      </c>
      <c r="AB108" s="58">
        <f t="shared" si="61"/>
        <v>29</v>
      </c>
      <c r="AC108" s="67"/>
      <c r="AD108" s="67"/>
      <c r="AE108" s="67"/>
      <c r="AF108" s="67"/>
      <c r="AG108" s="67"/>
      <c r="AH108" s="67"/>
      <c r="AI108" s="73"/>
      <c r="AJ108" s="74"/>
      <c r="AK108" s="74"/>
      <c r="AL108" s="62">
        <v>0.35</v>
      </c>
      <c r="AM108" s="63">
        <v>0.4</v>
      </c>
      <c r="AN108" s="63">
        <v>0.9</v>
      </c>
      <c r="AO108" s="63">
        <v>0.8</v>
      </c>
      <c r="AP108" s="64">
        <v>0.2</v>
      </c>
      <c r="AQ108" s="62">
        <f t="shared" si="47"/>
        <v>1</v>
      </c>
      <c r="AR108" s="65">
        <v>1</v>
      </c>
      <c r="AS108" s="62">
        <f t="shared" si="48"/>
        <v>0.67000000000000037</v>
      </c>
      <c r="AT108" s="65">
        <v>0.70700000000000041</v>
      </c>
      <c r="AU108" s="62">
        <f t="shared" si="49"/>
        <v>1.0000000000000004</v>
      </c>
      <c r="AV108" s="65">
        <v>1.0000000000000004</v>
      </c>
      <c r="AW108" s="62">
        <f t="shared" si="50"/>
        <v>1.0000000000000004</v>
      </c>
      <c r="AX108" s="65">
        <v>1</v>
      </c>
      <c r="AY108" s="62">
        <f t="shared" si="51"/>
        <v>1.0000000000000004</v>
      </c>
      <c r="AZ108" s="65">
        <v>1.0000000000000004</v>
      </c>
      <c r="BA108" s="62">
        <f t="shared" si="52"/>
        <v>0.84000000000000052</v>
      </c>
      <c r="BB108" s="65">
        <v>1</v>
      </c>
      <c r="BC108" s="62">
        <f t="shared" si="53"/>
        <v>0.23200000000000001</v>
      </c>
      <c r="BD108" s="65">
        <v>0.45000000000000018</v>
      </c>
      <c r="BE108" s="74"/>
      <c r="BF108" s="7"/>
      <c r="BG108" s="74"/>
      <c r="BH108" s="7"/>
      <c r="BI108" s="7"/>
      <c r="BJ108" s="7"/>
      <c r="BK108" s="7"/>
      <c r="BL108" s="7"/>
      <c r="BM108" s="7"/>
      <c r="BN108" s="7"/>
      <c r="BO108" s="7"/>
      <c r="BP108" s="7"/>
      <c r="BQ108" s="7"/>
    </row>
    <row r="109" spans="1:69" ht="19.8" thickBot="1" x14ac:dyDescent="0.35">
      <c r="A109" s="16">
        <v>107</v>
      </c>
      <c r="B109" s="52">
        <v>44671</v>
      </c>
      <c r="C109" s="53" t="str">
        <f t="shared" si="54"/>
        <v>1401/01/31</v>
      </c>
      <c r="D109" s="54">
        <v>0.74300000000000066</v>
      </c>
      <c r="E109" s="54">
        <v>0.58955100000000105</v>
      </c>
      <c r="F109" s="11" t="e">
        <f t="shared" si="55"/>
        <v>#N/A</v>
      </c>
      <c r="G109" s="38" t="str">
        <f t="shared" si="56"/>
        <v>تاریخ: 1401/01/31
درصد پیشرفت برنامه ای: 74.3%
درصد پیشرفت واقعی: 58.96%</v>
      </c>
      <c r="H109" s="55">
        <v>1</v>
      </c>
      <c r="I109" s="56">
        <f t="shared" si="63"/>
        <v>0.68000000000000038</v>
      </c>
      <c r="J109" s="56">
        <v>1.0000000000000004</v>
      </c>
      <c r="K109" s="56">
        <f t="shared" si="67"/>
        <v>1.0000000000000004</v>
      </c>
      <c r="L109" s="56">
        <f t="shared" si="44"/>
        <v>1.0000000000000004</v>
      </c>
      <c r="M109" s="56">
        <f t="shared" si="44"/>
        <v>0.87200000000000055</v>
      </c>
      <c r="N109" s="57">
        <f t="shared" si="68"/>
        <v>0.26400000000000001</v>
      </c>
      <c r="O109" s="16">
        <f t="shared" si="62"/>
        <v>24</v>
      </c>
      <c r="P109" s="17">
        <v>23</v>
      </c>
      <c r="Q109" s="17">
        <v>24</v>
      </c>
      <c r="R109" s="17">
        <v>23</v>
      </c>
      <c r="S109" s="17">
        <v>25</v>
      </c>
      <c r="T109" s="17">
        <v>25</v>
      </c>
      <c r="U109" s="58">
        <v>26</v>
      </c>
      <c r="V109" s="16">
        <f t="shared" si="57"/>
        <v>27</v>
      </c>
      <c r="W109" s="17">
        <f t="shared" si="58"/>
        <v>27</v>
      </c>
      <c r="X109" s="17">
        <f t="shared" si="58"/>
        <v>28</v>
      </c>
      <c r="Y109" s="17">
        <f t="shared" si="59"/>
        <v>24</v>
      </c>
      <c r="Z109" s="17">
        <f t="shared" si="45"/>
        <v>28</v>
      </c>
      <c r="AA109" s="17">
        <f t="shared" si="60"/>
        <v>26</v>
      </c>
      <c r="AB109" s="58">
        <f t="shared" si="61"/>
        <v>31</v>
      </c>
      <c r="AC109" s="67"/>
      <c r="AD109" s="67"/>
      <c r="AE109" s="67"/>
      <c r="AF109" s="67"/>
      <c r="AG109" s="67"/>
      <c r="AH109" s="67"/>
      <c r="AI109" s="73"/>
      <c r="AJ109" s="74"/>
      <c r="AK109" s="74"/>
      <c r="AL109" s="62">
        <v>0.85</v>
      </c>
      <c r="AM109" s="63">
        <v>0.8</v>
      </c>
      <c r="AN109" s="63">
        <v>0.5</v>
      </c>
      <c r="AO109" s="63">
        <v>0.6</v>
      </c>
      <c r="AP109" s="64">
        <v>0.6</v>
      </c>
      <c r="AQ109" s="62">
        <f t="shared" si="47"/>
        <v>1</v>
      </c>
      <c r="AR109" s="65">
        <v>1</v>
      </c>
      <c r="AS109" s="62">
        <f t="shared" si="48"/>
        <v>0.68000000000000038</v>
      </c>
      <c r="AT109" s="65">
        <v>0.70700000000000041</v>
      </c>
      <c r="AU109" s="62">
        <f t="shared" si="49"/>
        <v>1.0000000000000004</v>
      </c>
      <c r="AV109" s="65">
        <v>1.0000000000000004</v>
      </c>
      <c r="AW109" s="62">
        <f t="shared" si="50"/>
        <v>1.0000000000000004</v>
      </c>
      <c r="AX109" s="65">
        <v>1</v>
      </c>
      <c r="AY109" s="62">
        <f t="shared" si="51"/>
        <v>1.0000000000000004</v>
      </c>
      <c r="AZ109" s="65">
        <v>1.0000000000000004</v>
      </c>
      <c r="BA109" s="62">
        <f t="shared" si="52"/>
        <v>0.87200000000000055</v>
      </c>
      <c r="BB109" s="65">
        <v>1</v>
      </c>
      <c r="BC109" s="62">
        <f t="shared" si="53"/>
        <v>0.26400000000000001</v>
      </c>
      <c r="BD109" s="65">
        <v>0.4800000000000002</v>
      </c>
      <c r="BE109" s="74"/>
      <c r="BF109" s="7"/>
      <c r="BG109" s="74"/>
      <c r="BH109" s="7"/>
      <c r="BI109" s="7"/>
      <c r="BJ109" s="7"/>
      <c r="BK109" s="7"/>
      <c r="BL109" s="7"/>
      <c r="BM109" s="7"/>
      <c r="BN109" s="7"/>
      <c r="BO109" s="7"/>
      <c r="BP109" s="7"/>
      <c r="BQ109" s="7"/>
    </row>
    <row r="110" spans="1:69" ht="19.8" thickBot="1" x14ac:dyDescent="0.35">
      <c r="A110" s="16">
        <v>108</v>
      </c>
      <c r="B110" s="52">
        <v>44678</v>
      </c>
      <c r="C110" s="53" t="str">
        <f t="shared" si="54"/>
        <v>1401/02/07</v>
      </c>
      <c r="D110" s="54">
        <v>0.74500000000000066</v>
      </c>
      <c r="E110" s="54">
        <v>0.59047300000000102</v>
      </c>
      <c r="F110" s="11" t="e">
        <f t="shared" si="55"/>
        <v>#N/A</v>
      </c>
      <c r="G110" s="38" t="str">
        <f t="shared" si="56"/>
        <v>تاریخ: 1401/02/07
درصد پیشرفت برنامه ای: 74.5%
درصد پیشرفت واقعی: 59.05%</v>
      </c>
      <c r="H110" s="55">
        <v>1</v>
      </c>
      <c r="I110" s="56">
        <v>0.67000000000000037</v>
      </c>
      <c r="J110" s="56">
        <v>1.0000000000000004</v>
      </c>
      <c r="K110" s="56">
        <f t="shared" si="67"/>
        <v>1.0000000000000004</v>
      </c>
      <c r="L110" s="56">
        <f t="shared" si="44"/>
        <v>1.0000000000000004</v>
      </c>
      <c r="M110" s="56">
        <f t="shared" si="44"/>
        <v>0.90400000000000058</v>
      </c>
      <c r="N110" s="57">
        <f t="shared" si="68"/>
        <v>0.29600000000000004</v>
      </c>
      <c r="O110" s="16">
        <f t="shared" si="62"/>
        <v>26</v>
      </c>
      <c r="P110" s="17">
        <v>25</v>
      </c>
      <c r="Q110" s="17">
        <v>25</v>
      </c>
      <c r="R110" s="17">
        <v>26</v>
      </c>
      <c r="S110" s="17">
        <v>26</v>
      </c>
      <c r="T110" s="17">
        <v>25</v>
      </c>
      <c r="U110" s="58">
        <v>25</v>
      </c>
      <c r="V110" s="16">
        <f t="shared" si="57"/>
        <v>29</v>
      </c>
      <c r="W110" s="17">
        <f t="shared" si="58"/>
        <v>29</v>
      </c>
      <c r="X110" s="17">
        <f t="shared" si="58"/>
        <v>29</v>
      </c>
      <c r="Y110" s="17">
        <f t="shared" si="59"/>
        <v>27</v>
      </c>
      <c r="Z110" s="17">
        <f t="shared" si="45"/>
        <v>29</v>
      </c>
      <c r="AA110" s="17">
        <f t="shared" si="60"/>
        <v>26</v>
      </c>
      <c r="AB110" s="58">
        <f t="shared" si="61"/>
        <v>30</v>
      </c>
      <c r="AC110" s="67"/>
      <c r="AD110" s="67"/>
      <c r="AE110" s="67"/>
      <c r="AF110" s="67"/>
      <c r="AG110" s="67"/>
      <c r="AH110" s="67"/>
      <c r="AI110" s="73"/>
      <c r="AJ110" s="74"/>
      <c r="AK110" s="74"/>
      <c r="AL110" s="62">
        <v>0.9</v>
      </c>
      <c r="AM110" s="63">
        <v>0.95</v>
      </c>
      <c r="AN110" s="63">
        <v>0.8</v>
      </c>
      <c r="AO110" s="63">
        <v>0.7</v>
      </c>
      <c r="AP110" s="64">
        <v>0.1</v>
      </c>
      <c r="AQ110" s="62">
        <f t="shared" si="47"/>
        <v>1</v>
      </c>
      <c r="AR110" s="65">
        <v>1</v>
      </c>
      <c r="AS110" s="62">
        <f t="shared" si="48"/>
        <v>0.67000000000000037</v>
      </c>
      <c r="AT110" s="65">
        <v>0.70700000000000041</v>
      </c>
      <c r="AU110" s="62">
        <f t="shared" si="49"/>
        <v>1.0000000000000004</v>
      </c>
      <c r="AV110" s="65">
        <v>1.0000000000000004</v>
      </c>
      <c r="AW110" s="62">
        <f t="shared" si="50"/>
        <v>1.0000000000000004</v>
      </c>
      <c r="AX110" s="65">
        <v>1</v>
      </c>
      <c r="AY110" s="62">
        <f t="shared" si="51"/>
        <v>1.0000000000000004</v>
      </c>
      <c r="AZ110" s="65">
        <v>1.0000000000000004</v>
      </c>
      <c r="BA110" s="62">
        <f t="shared" si="52"/>
        <v>0.90400000000000058</v>
      </c>
      <c r="BB110" s="65">
        <v>1</v>
      </c>
      <c r="BC110" s="62">
        <f t="shared" si="53"/>
        <v>0.29600000000000004</v>
      </c>
      <c r="BD110" s="65">
        <v>0.51000000000000023</v>
      </c>
      <c r="BE110" s="74"/>
      <c r="BF110" s="7"/>
      <c r="BG110" s="74"/>
      <c r="BH110" s="7"/>
      <c r="BI110" s="7"/>
      <c r="BJ110" s="7"/>
      <c r="BK110" s="7"/>
      <c r="BL110" s="7"/>
      <c r="BM110" s="7"/>
      <c r="BN110" s="7"/>
      <c r="BO110" s="7"/>
      <c r="BP110" s="7"/>
      <c r="BQ110" s="7"/>
    </row>
    <row r="111" spans="1:69" ht="19.8" thickBot="1" x14ac:dyDescent="0.35">
      <c r="A111" s="16">
        <v>109</v>
      </c>
      <c r="B111" s="52">
        <v>44685</v>
      </c>
      <c r="C111" s="53" t="str">
        <f t="shared" si="54"/>
        <v>1401/02/14</v>
      </c>
      <c r="D111" s="54">
        <v>0.74700000000000066</v>
      </c>
      <c r="E111" s="54">
        <v>0.591395000000001</v>
      </c>
      <c r="F111" s="11" t="e">
        <f t="shared" si="55"/>
        <v>#N/A</v>
      </c>
      <c r="G111" s="38" t="str">
        <f t="shared" si="56"/>
        <v>تاریخ: 1401/02/14
درصد پیشرفت برنامه ای: 74.7%
درصد پیشرفت واقعی: 59.14%</v>
      </c>
      <c r="H111" s="55">
        <v>1</v>
      </c>
      <c r="I111" s="56">
        <v>0.67000000000000037</v>
      </c>
      <c r="J111" s="56">
        <v>1.0000000000000004</v>
      </c>
      <c r="K111" s="56">
        <f t="shared" si="67"/>
        <v>1.0000000000000004</v>
      </c>
      <c r="L111" s="56">
        <f t="shared" si="44"/>
        <v>1.0000000000000004</v>
      </c>
      <c r="M111" s="56">
        <f t="shared" si="44"/>
        <v>0.93600000000000061</v>
      </c>
      <c r="N111" s="57">
        <f t="shared" si="68"/>
        <v>0.32800000000000007</v>
      </c>
      <c r="O111" s="16">
        <f t="shared" si="62"/>
        <v>25</v>
      </c>
      <c r="P111" s="17">
        <v>26</v>
      </c>
      <c r="Q111" s="17">
        <v>26</v>
      </c>
      <c r="R111" s="17">
        <v>27</v>
      </c>
      <c r="S111" s="17">
        <v>28</v>
      </c>
      <c r="T111" s="17">
        <v>29</v>
      </c>
      <c r="U111" s="58">
        <v>29</v>
      </c>
      <c r="V111" s="16">
        <f t="shared" si="57"/>
        <v>28</v>
      </c>
      <c r="W111" s="17">
        <f t="shared" si="58"/>
        <v>30</v>
      </c>
      <c r="X111" s="17">
        <f t="shared" si="58"/>
        <v>30</v>
      </c>
      <c r="Y111" s="17">
        <f t="shared" si="59"/>
        <v>28</v>
      </c>
      <c r="Z111" s="17">
        <f t="shared" si="45"/>
        <v>31</v>
      </c>
      <c r="AA111" s="17">
        <f t="shared" si="60"/>
        <v>30</v>
      </c>
      <c r="AB111" s="58">
        <f t="shared" si="61"/>
        <v>34</v>
      </c>
      <c r="AC111" s="67"/>
      <c r="AD111" s="67"/>
      <c r="AE111" s="67"/>
      <c r="AF111" s="67"/>
      <c r="AG111" s="67"/>
      <c r="AH111" s="67"/>
      <c r="AI111" s="73"/>
      <c r="AJ111" s="74"/>
      <c r="AK111" s="74"/>
      <c r="AL111" s="62">
        <v>0.7</v>
      </c>
      <c r="AM111" s="63">
        <v>0.68</v>
      </c>
      <c r="AN111" s="63">
        <v>0.5</v>
      </c>
      <c r="AO111" s="63">
        <v>0.9</v>
      </c>
      <c r="AP111" s="64">
        <v>0.55000000000000004</v>
      </c>
      <c r="AQ111" s="62">
        <f t="shared" si="47"/>
        <v>1</v>
      </c>
      <c r="AR111" s="65">
        <v>1</v>
      </c>
      <c r="AS111" s="62">
        <f t="shared" si="48"/>
        <v>0.67000000000000037</v>
      </c>
      <c r="AT111" s="65">
        <v>0.70700000000000041</v>
      </c>
      <c r="AU111" s="62">
        <f t="shared" si="49"/>
        <v>1.0000000000000004</v>
      </c>
      <c r="AV111" s="65">
        <v>1.0000000000000004</v>
      </c>
      <c r="AW111" s="62">
        <f t="shared" si="50"/>
        <v>1.0000000000000004</v>
      </c>
      <c r="AX111" s="65">
        <v>1</v>
      </c>
      <c r="AY111" s="62">
        <f t="shared" si="51"/>
        <v>1.0000000000000004</v>
      </c>
      <c r="AZ111" s="65">
        <v>1.0000000000000004</v>
      </c>
      <c r="BA111" s="62">
        <f t="shared" si="52"/>
        <v>0.93600000000000061</v>
      </c>
      <c r="BB111" s="65">
        <v>1</v>
      </c>
      <c r="BC111" s="62">
        <f t="shared" si="53"/>
        <v>0.32800000000000007</v>
      </c>
      <c r="BD111" s="65">
        <v>0.54000000000000026</v>
      </c>
      <c r="BE111" s="74"/>
      <c r="BF111" s="7"/>
      <c r="BG111" s="74"/>
      <c r="BH111" s="7"/>
      <c r="BI111" s="7"/>
      <c r="BJ111" s="7"/>
      <c r="BK111" s="7"/>
      <c r="BL111" s="7"/>
      <c r="BM111" s="7"/>
      <c r="BN111" s="7"/>
      <c r="BO111" s="7"/>
      <c r="BP111" s="7"/>
      <c r="BQ111" s="7"/>
    </row>
    <row r="112" spans="1:69" ht="19.8" thickBot="1" x14ac:dyDescent="0.35">
      <c r="A112" s="16">
        <v>110</v>
      </c>
      <c r="B112" s="52">
        <v>44692</v>
      </c>
      <c r="C112" s="53" t="str">
        <f t="shared" si="54"/>
        <v>1401/02/21</v>
      </c>
      <c r="D112" s="54">
        <v>0.74900000000000067</v>
      </c>
      <c r="E112" s="54">
        <v>0.593117000000001</v>
      </c>
      <c r="F112" s="11" t="e">
        <f t="shared" si="55"/>
        <v>#N/A</v>
      </c>
      <c r="G112" s="38" t="str">
        <f t="shared" si="56"/>
        <v>تاریخ: 1401/02/21
درصد پیشرفت برنامه ای: 74.9%
درصد پیشرفت واقعی: 59.31%</v>
      </c>
      <c r="H112" s="55">
        <v>1</v>
      </c>
      <c r="I112" s="56">
        <v>0.67000000000000037</v>
      </c>
      <c r="J112" s="56">
        <v>1.0000000000000004</v>
      </c>
      <c r="K112" s="56">
        <f t="shared" si="67"/>
        <v>1.0000000000000004</v>
      </c>
      <c r="L112" s="56">
        <f t="shared" si="44"/>
        <v>1.0000000000000004</v>
      </c>
      <c r="M112" s="56">
        <f t="shared" si="44"/>
        <v>0.96800000000000064</v>
      </c>
      <c r="N112" s="57">
        <f t="shared" si="68"/>
        <v>0.3600000000000001</v>
      </c>
      <c r="O112" s="16">
        <f t="shared" si="62"/>
        <v>29</v>
      </c>
      <c r="P112" s="17">
        <v>29</v>
      </c>
      <c r="Q112" s="17">
        <v>28</v>
      </c>
      <c r="R112" s="17">
        <v>29</v>
      </c>
      <c r="S112" s="17">
        <v>30</v>
      </c>
      <c r="T112" s="17">
        <v>31</v>
      </c>
      <c r="U112" s="58">
        <v>30</v>
      </c>
      <c r="V112" s="16">
        <f t="shared" si="57"/>
        <v>32</v>
      </c>
      <c r="W112" s="17">
        <f t="shared" si="58"/>
        <v>33</v>
      </c>
      <c r="X112" s="17">
        <f t="shared" si="58"/>
        <v>32</v>
      </c>
      <c r="Y112" s="17">
        <f t="shared" si="59"/>
        <v>30</v>
      </c>
      <c r="Z112" s="17">
        <f t="shared" si="45"/>
        <v>33</v>
      </c>
      <c r="AA112" s="17">
        <f t="shared" si="60"/>
        <v>32</v>
      </c>
      <c r="AB112" s="58">
        <f t="shared" si="61"/>
        <v>35</v>
      </c>
      <c r="AC112" s="67"/>
      <c r="AD112" s="67"/>
      <c r="AE112" s="67"/>
      <c r="AF112" s="67"/>
      <c r="AG112" s="67"/>
      <c r="AH112" s="67"/>
      <c r="AI112" s="73"/>
      <c r="AJ112" s="74"/>
      <c r="AK112" s="74"/>
      <c r="AL112" s="62">
        <v>0.6</v>
      </c>
      <c r="AM112" s="63">
        <v>0.5</v>
      </c>
      <c r="AN112" s="63">
        <v>0.66</v>
      </c>
      <c r="AO112" s="63">
        <v>0.5</v>
      </c>
      <c r="AP112" s="64">
        <v>0.9</v>
      </c>
      <c r="AQ112" s="62">
        <f t="shared" si="47"/>
        <v>1</v>
      </c>
      <c r="AR112" s="65">
        <v>1</v>
      </c>
      <c r="AS112" s="62">
        <f t="shared" si="48"/>
        <v>0.67000000000000037</v>
      </c>
      <c r="AT112" s="65">
        <v>0.70700000000000041</v>
      </c>
      <c r="AU112" s="62">
        <f t="shared" si="49"/>
        <v>1.0000000000000004</v>
      </c>
      <c r="AV112" s="65">
        <v>1.0000000000000004</v>
      </c>
      <c r="AW112" s="62">
        <f t="shared" si="50"/>
        <v>1.0000000000000004</v>
      </c>
      <c r="AX112" s="65">
        <v>1</v>
      </c>
      <c r="AY112" s="62">
        <f t="shared" si="51"/>
        <v>1.0000000000000004</v>
      </c>
      <c r="AZ112" s="65">
        <v>1.0000000000000004</v>
      </c>
      <c r="BA112" s="62">
        <f t="shared" si="52"/>
        <v>0.96800000000000064</v>
      </c>
      <c r="BB112" s="65">
        <v>1</v>
      </c>
      <c r="BC112" s="62">
        <f t="shared" si="53"/>
        <v>0.3600000000000001</v>
      </c>
      <c r="BD112" s="65">
        <v>0.57000000000000028</v>
      </c>
      <c r="BE112" s="74"/>
      <c r="BF112" s="7"/>
      <c r="BG112" s="74"/>
      <c r="BH112" s="7"/>
      <c r="BI112" s="7"/>
      <c r="BJ112" s="7"/>
      <c r="BK112" s="7"/>
      <c r="BL112" s="7"/>
      <c r="BM112" s="7"/>
      <c r="BN112" s="7"/>
      <c r="BO112" s="7"/>
      <c r="BP112" s="7"/>
      <c r="BQ112" s="7"/>
    </row>
    <row r="113" spans="1:69" ht="19.8" thickBot="1" x14ac:dyDescent="0.35">
      <c r="A113" s="16">
        <v>111</v>
      </c>
      <c r="B113" s="52">
        <v>44699</v>
      </c>
      <c r="C113" s="53" t="str">
        <f t="shared" si="54"/>
        <v>1401/02/28</v>
      </c>
      <c r="D113" s="54">
        <v>0.75400000000000067</v>
      </c>
      <c r="E113" s="54">
        <v>0.59742200000000101</v>
      </c>
      <c r="F113" s="11" t="e">
        <f t="shared" si="55"/>
        <v>#N/A</v>
      </c>
      <c r="G113" s="38" t="str">
        <f t="shared" si="56"/>
        <v>تاریخ: 1401/02/28
درصد پیشرفت برنامه ای: 75.4%
درصد پیشرفت واقعی: 59.74%</v>
      </c>
      <c r="H113" s="55">
        <v>1</v>
      </c>
      <c r="I113" s="56">
        <v>0.67000000000000037</v>
      </c>
      <c r="J113" s="56">
        <v>1.0000000000000004</v>
      </c>
      <c r="K113" s="56">
        <f t="shared" si="67"/>
        <v>1.0000000000000004</v>
      </c>
      <c r="L113" s="56">
        <f t="shared" si="44"/>
        <v>1.0000000000000004</v>
      </c>
      <c r="M113" s="56">
        <f t="shared" si="44"/>
        <v>1.0000000000000004</v>
      </c>
      <c r="N113" s="57">
        <f t="shared" si="68"/>
        <v>0.39200000000000013</v>
      </c>
      <c r="O113" s="16">
        <f t="shared" si="62"/>
        <v>30</v>
      </c>
      <c r="P113" s="17">
        <v>25</v>
      </c>
      <c r="Q113" s="17">
        <v>25</v>
      </c>
      <c r="R113" s="17">
        <v>26</v>
      </c>
      <c r="S113" s="17">
        <v>26</v>
      </c>
      <c r="T113" s="17">
        <v>25</v>
      </c>
      <c r="U113" s="58">
        <v>25</v>
      </c>
      <c r="V113" s="16">
        <f t="shared" si="57"/>
        <v>33</v>
      </c>
      <c r="W113" s="17">
        <f t="shared" si="58"/>
        <v>29</v>
      </c>
      <c r="X113" s="17">
        <f t="shared" si="58"/>
        <v>29</v>
      </c>
      <c r="Y113" s="17">
        <f t="shared" si="59"/>
        <v>27</v>
      </c>
      <c r="Z113" s="17">
        <f t="shared" si="45"/>
        <v>29</v>
      </c>
      <c r="AA113" s="17">
        <f t="shared" si="60"/>
        <v>26</v>
      </c>
      <c r="AB113" s="58">
        <f t="shared" si="61"/>
        <v>30</v>
      </c>
      <c r="AC113" s="67"/>
      <c r="AD113" s="67"/>
      <c r="AE113" s="67"/>
      <c r="AF113" s="67"/>
      <c r="AG113" s="67"/>
      <c r="AH113" s="67"/>
      <c r="AI113" s="73"/>
      <c r="AJ113" s="74"/>
      <c r="AK113" s="74"/>
      <c r="AL113" s="62">
        <v>0.55000000000000004</v>
      </c>
      <c r="AM113" s="63">
        <v>0.62</v>
      </c>
      <c r="AN113" s="63">
        <v>0.78</v>
      </c>
      <c r="AO113" s="63">
        <v>0.42</v>
      </c>
      <c r="AP113" s="64">
        <v>0.8</v>
      </c>
      <c r="AQ113" s="62">
        <f t="shared" si="47"/>
        <v>1</v>
      </c>
      <c r="AR113" s="65">
        <v>1</v>
      </c>
      <c r="AS113" s="62">
        <f t="shared" si="48"/>
        <v>0.67000000000000037</v>
      </c>
      <c r="AT113" s="65">
        <f t="shared" si="66"/>
        <v>0.71600000000000041</v>
      </c>
      <c r="AU113" s="62">
        <f t="shared" si="49"/>
        <v>1.0000000000000004</v>
      </c>
      <c r="AV113" s="65">
        <v>1.0000000000000004</v>
      </c>
      <c r="AW113" s="62">
        <f t="shared" si="50"/>
        <v>1.0000000000000004</v>
      </c>
      <c r="AX113" s="65">
        <v>1</v>
      </c>
      <c r="AY113" s="62">
        <f t="shared" si="51"/>
        <v>1.0000000000000004</v>
      </c>
      <c r="AZ113" s="65">
        <v>1.0000000000000004</v>
      </c>
      <c r="BA113" s="62">
        <f t="shared" si="52"/>
        <v>1.0000000000000004</v>
      </c>
      <c r="BB113" s="65">
        <v>1</v>
      </c>
      <c r="BC113" s="62">
        <f t="shared" si="53"/>
        <v>0.39200000000000013</v>
      </c>
      <c r="BD113" s="65">
        <v>0.60000000000000031</v>
      </c>
      <c r="BE113" s="74"/>
      <c r="BF113" s="7"/>
      <c r="BG113" s="74"/>
      <c r="BH113" s="7"/>
      <c r="BI113" s="7"/>
      <c r="BJ113" s="7"/>
      <c r="BK113" s="7"/>
      <c r="BL113" s="7"/>
      <c r="BM113" s="7"/>
      <c r="BN113" s="7"/>
      <c r="BO113" s="7"/>
      <c r="BP113" s="7"/>
      <c r="BQ113" s="7"/>
    </row>
    <row r="114" spans="1:69" ht="19.8" thickBot="1" x14ac:dyDescent="0.35">
      <c r="A114" s="16">
        <v>112</v>
      </c>
      <c r="B114" s="52">
        <v>44706</v>
      </c>
      <c r="C114" s="53" t="str">
        <f t="shared" si="54"/>
        <v>1401/03/04</v>
      </c>
      <c r="D114" s="54">
        <v>0.75900000000000067</v>
      </c>
      <c r="E114" s="54">
        <v>0.60172700000000101</v>
      </c>
      <c r="F114" s="11" t="e">
        <f t="shared" si="55"/>
        <v>#N/A</v>
      </c>
      <c r="G114" s="38" t="str">
        <f t="shared" si="56"/>
        <v>تاریخ: 1401/03/04
درصد پیشرفت برنامه ای: 75.9%
درصد پیشرفت واقعی: 60.17%</v>
      </c>
      <c r="H114" s="55">
        <v>1</v>
      </c>
      <c r="I114" s="56">
        <v>0.67000000000000037</v>
      </c>
      <c r="J114" s="56">
        <v>1.0000000000000004</v>
      </c>
      <c r="K114" s="56">
        <f t="shared" si="67"/>
        <v>1.0000000000000004</v>
      </c>
      <c r="L114" s="56">
        <f t="shared" si="44"/>
        <v>1.0000000000000004</v>
      </c>
      <c r="M114" s="56">
        <f t="shared" si="44"/>
        <v>1.0000000000000004</v>
      </c>
      <c r="N114" s="57">
        <f t="shared" si="68"/>
        <v>0.42400000000000015</v>
      </c>
      <c r="O114" s="16">
        <f t="shared" si="62"/>
        <v>25</v>
      </c>
      <c r="P114" s="17">
        <v>26</v>
      </c>
      <c r="Q114" s="17">
        <v>26</v>
      </c>
      <c r="R114" s="17">
        <v>27</v>
      </c>
      <c r="S114" s="17">
        <v>28</v>
      </c>
      <c r="T114" s="17">
        <v>29</v>
      </c>
      <c r="U114" s="58">
        <v>29</v>
      </c>
      <c r="V114" s="16">
        <f t="shared" si="57"/>
        <v>28</v>
      </c>
      <c r="W114" s="17">
        <f t="shared" si="58"/>
        <v>30</v>
      </c>
      <c r="X114" s="17">
        <f t="shared" si="58"/>
        <v>30</v>
      </c>
      <c r="Y114" s="17">
        <f t="shared" si="59"/>
        <v>28</v>
      </c>
      <c r="Z114" s="17">
        <f t="shared" si="45"/>
        <v>31</v>
      </c>
      <c r="AA114" s="17">
        <f t="shared" si="60"/>
        <v>30</v>
      </c>
      <c r="AB114" s="58">
        <f t="shared" si="61"/>
        <v>34</v>
      </c>
      <c r="AC114" s="67"/>
      <c r="AD114" s="67"/>
      <c r="AE114" s="67"/>
      <c r="AF114" s="67"/>
      <c r="AG114" s="67"/>
      <c r="AH114" s="67"/>
      <c r="AI114" s="73"/>
      <c r="AJ114" s="74"/>
      <c r="AK114" s="74"/>
      <c r="AL114" s="62">
        <v>0.6</v>
      </c>
      <c r="AM114" s="63">
        <v>0.9</v>
      </c>
      <c r="AN114" s="63">
        <v>0.5</v>
      </c>
      <c r="AO114" s="63">
        <v>0.5</v>
      </c>
      <c r="AP114" s="64">
        <v>0.62</v>
      </c>
      <c r="AQ114" s="62">
        <f t="shared" si="47"/>
        <v>1</v>
      </c>
      <c r="AR114" s="65">
        <v>1</v>
      </c>
      <c r="AS114" s="62">
        <f t="shared" si="48"/>
        <v>0.67000000000000037</v>
      </c>
      <c r="AT114" s="65">
        <f t="shared" si="66"/>
        <v>0.72500000000000042</v>
      </c>
      <c r="AU114" s="62">
        <f t="shared" si="49"/>
        <v>1.0000000000000004</v>
      </c>
      <c r="AV114" s="65">
        <v>1.0000000000000004</v>
      </c>
      <c r="AW114" s="62">
        <f t="shared" si="50"/>
        <v>1.0000000000000004</v>
      </c>
      <c r="AX114" s="65">
        <v>1</v>
      </c>
      <c r="AY114" s="62">
        <f t="shared" si="51"/>
        <v>1.0000000000000004</v>
      </c>
      <c r="AZ114" s="65">
        <v>1.0000000000000004</v>
      </c>
      <c r="BA114" s="62">
        <f t="shared" si="52"/>
        <v>1.0000000000000004</v>
      </c>
      <c r="BB114" s="65">
        <v>1</v>
      </c>
      <c r="BC114" s="62">
        <f t="shared" si="53"/>
        <v>0.42400000000000015</v>
      </c>
      <c r="BD114" s="65">
        <v>0.63000000000000034</v>
      </c>
      <c r="BE114" s="74"/>
      <c r="BF114" s="7"/>
      <c r="BG114" s="74"/>
      <c r="BH114" s="7"/>
      <c r="BI114" s="7"/>
      <c r="BJ114" s="7"/>
      <c r="BK114" s="7"/>
      <c r="BL114" s="7"/>
      <c r="BM114" s="7"/>
      <c r="BN114" s="7"/>
      <c r="BO114" s="7"/>
      <c r="BP114" s="7"/>
      <c r="BQ114" s="7"/>
    </row>
    <row r="115" spans="1:69" ht="19.8" thickBot="1" x14ac:dyDescent="0.35">
      <c r="A115" s="16">
        <v>113</v>
      </c>
      <c r="B115" s="52">
        <v>44713</v>
      </c>
      <c r="C115" s="53" t="str">
        <f t="shared" si="54"/>
        <v>1401/03/11</v>
      </c>
      <c r="D115" s="54">
        <v>0.76400000000000068</v>
      </c>
      <c r="E115" s="54">
        <v>0.60603200000000101</v>
      </c>
      <c r="F115" s="11" t="e">
        <f t="shared" si="55"/>
        <v>#N/A</v>
      </c>
      <c r="G115" s="38" t="str">
        <f t="shared" si="56"/>
        <v>تاریخ: 1401/03/11
درصد پیشرفت برنامه ای: 76.4%
درصد پیشرفت واقعی: 60.6%</v>
      </c>
      <c r="H115" s="55">
        <v>1</v>
      </c>
      <c r="I115" s="56">
        <v>0.67000000000000037</v>
      </c>
      <c r="J115" s="56">
        <v>1.0000000000000004</v>
      </c>
      <c r="K115" s="56">
        <f t="shared" si="67"/>
        <v>1.0000000000000004</v>
      </c>
      <c r="L115" s="56">
        <f t="shared" si="44"/>
        <v>1.0000000000000004</v>
      </c>
      <c r="M115" s="56">
        <f t="shared" si="44"/>
        <v>1.0000000000000004</v>
      </c>
      <c r="N115" s="57">
        <f t="shared" si="68"/>
        <v>0.45600000000000018</v>
      </c>
      <c r="O115" s="16">
        <f t="shared" si="62"/>
        <v>29</v>
      </c>
      <c r="P115" s="17">
        <v>29</v>
      </c>
      <c r="Q115" s="17">
        <v>28</v>
      </c>
      <c r="R115" s="17">
        <v>29</v>
      </c>
      <c r="S115" s="17">
        <v>30</v>
      </c>
      <c r="T115" s="17">
        <v>31</v>
      </c>
      <c r="U115" s="58">
        <v>30</v>
      </c>
      <c r="V115" s="16">
        <f t="shared" si="57"/>
        <v>32</v>
      </c>
      <c r="W115" s="17">
        <f t="shared" si="58"/>
        <v>33</v>
      </c>
      <c r="X115" s="17">
        <f t="shared" si="58"/>
        <v>32</v>
      </c>
      <c r="Y115" s="17">
        <f t="shared" si="59"/>
        <v>30</v>
      </c>
      <c r="Z115" s="17">
        <f t="shared" si="45"/>
        <v>33</v>
      </c>
      <c r="AA115" s="17">
        <f t="shared" si="60"/>
        <v>32</v>
      </c>
      <c r="AB115" s="58">
        <f t="shared" si="61"/>
        <v>35</v>
      </c>
      <c r="AC115" s="67"/>
      <c r="AD115" s="67"/>
      <c r="AE115" s="67"/>
      <c r="AF115" s="67"/>
      <c r="AG115" s="67"/>
      <c r="AH115" s="67"/>
      <c r="AI115" s="73"/>
      <c r="AJ115" s="74"/>
      <c r="AK115" s="74"/>
      <c r="AL115" s="62">
        <v>0.66</v>
      </c>
      <c r="AM115" s="63">
        <v>0.7</v>
      </c>
      <c r="AN115" s="63">
        <v>0.8</v>
      </c>
      <c r="AO115" s="63">
        <v>0.55000000000000004</v>
      </c>
      <c r="AP115" s="64">
        <v>0.5</v>
      </c>
      <c r="AQ115" s="62">
        <f t="shared" si="47"/>
        <v>1</v>
      </c>
      <c r="AR115" s="65">
        <v>1</v>
      </c>
      <c r="AS115" s="62">
        <f t="shared" si="48"/>
        <v>0.67000000000000037</v>
      </c>
      <c r="AT115" s="65">
        <f t="shared" si="66"/>
        <v>0.73400000000000043</v>
      </c>
      <c r="AU115" s="62">
        <f t="shared" si="49"/>
        <v>1.0000000000000004</v>
      </c>
      <c r="AV115" s="65">
        <v>1.0000000000000004</v>
      </c>
      <c r="AW115" s="62">
        <f t="shared" si="50"/>
        <v>1.0000000000000004</v>
      </c>
      <c r="AX115" s="65">
        <v>1</v>
      </c>
      <c r="AY115" s="62">
        <f t="shared" si="51"/>
        <v>1.0000000000000004</v>
      </c>
      <c r="AZ115" s="65">
        <v>1.0000000000000004</v>
      </c>
      <c r="BA115" s="62">
        <f t="shared" si="52"/>
        <v>1.0000000000000004</v>
      </c>
      <c r="BB115" s="65">
        <v>1</v>
      </c>
      <c r="BC115" s="62">
        <f t="shared" si="53"/>
        <v>0.45600000000000018</v>
      </c>
      <c r="BD115" s="65">
        <v>0.66000000000000036</v>
      </c>
      <c r="BE115" s="74"/>
      <c r="BF115" s="7"/>
      <c r="BG115" s="74"/>
      <c r="BH115" s="7"/>
      <c r="BI115" s="7"/>
      <c r="BJ115" s="7"/>
      <c r="BK115" s="7"/>
      <c r="BL115" s="7"/>
      <c r="BM115" s="7"/>
      <c r="BN115" s="7"/>
      <c r="BO115" s="7"/>
      <c r="BP115" s="7"/>
      <c r="BQ115" s="7"/>
    </row>
    <row r="116" spans="1:69" ht="19.8" thickBot="1" x14ac:dyDescent="0.35">
      <c r="A116" s="16">
        <v>114</v>
      </c>
      <c r="B116" s="52">
        <v>44720</v>
      </c>
      <c r="C116" s="53" t="str">
        <f t="shared" si="54"/>
        <v>1401/03/18</v>
      </c>
      <c r="D116" s="54">
        <v>0.76900000000000068</v>
      </c>
      <c r="E116" s="54">
        <v>0.61033700000000102</v>
      </c>
      <c r="F116" s="11" t="e">
        <f t="shared" si="55"/>
        <v>#N/A</v>
      </c>
      <c r="G116" s="38" t="str">
        <f t="shared" si="56"/>
        <v>تاریخ: 1401/03/18
درصد پیشرفت برنامه ای: 76.9%
درصد پیشرفت واقعی: 61.03%</v>
      </c>
      <c r="H116" s="55">
        <v>1</v>
      </c>
      <c r="I116" s="56">
        <v>0.67000000000000037</v>
      </c>
      <c r="J116" s="56">
        <v>1.0000000000000004</v>
      </c>
      <c r="K116" s="56">
        <f t="shared" si="67"/>
        <v>1.0000000000000004</v>
      </c>
      <c r="L116" s="56">
        <f t="shared" si="44"/>
        <v>1.0000000000000004</v>
      </c>
      <c r="M116" s="56">
        <f t="shared" si="44"/>
        <v>1.0000000000000004</v>
      </c>
      <c r="N116" s="57">
        <f t="shared" si="68"/>
        <v>0.48800000000000021</v>
      </c>
      <c r="O116" s="16">
        <f t="shared" si="62"/>
        <v>30</v>
      </c>
      <c r="P116" s="17">
        <v>31</v>
      </c>
      <c r="Q116" s="17">
        <v>31</v>
      </c>
      <c r="R116" s="17">
        <v>32</v>
      </c>
      <c r="S116" s="17">
        <v>31</v>
      </c>
      <c r="T116" s="17">
        <v>33</v>
      </c>
      <c r="U116" s="58">
        <v>30</v>
      </c>
      <c r="V116" s="16">
        <f t="shared" si="57"/>
        <v>33</v>
      </c>
      <c r="W116" s="17">
        <f t="shared" si="58"/>
        <v>35</v>
      </c>
      <c r="X116" s="17">
        <f t="shared" si="58"/>
        <v>35</v>
      </c>
      <c r="Y116" s="17">
        <f t="shared" si="59"/>
        <v>33</v>
      </c>
      <c r="Z116" s="17">
        <f t="shared" si="45"/>
        <v>34</v>
      </c>
      <c r="AA116" s="17">
        <f t="shared" si="60"/>
        <v>34</v>
      </c>
      <c r="AB116" s="58">
        <f t="shared" si="61"/>
        <v>35</v>
      </c>
      <c r="AC116" s="67"/>
      <c r="AD116" s="67"/>
      <c r="AE116" s="67"/>
      <c r="AF116" s="67"/>
      <c r="AG116" s="67"/>
      <c r="AH116" s="67"/>
      <c r="AI116" s="73"/>
      <c r="AJ116" s="74"/>
      <c r="AK116" s="74"/>
      <c r="AL116" s="62">
        <v>0.55000000000000004</v>
      </c>
      <c r="AM116" s="63">
        <v>0.4</v>
      </c>
      <c r="AN116" s="63">
        <v>0.4</v>
      </c>
      <c r="AO116" s="63">
        <v>0.9</v>
      </c>
      <c r="AP116" s="64">
        <v>0.8</v>
      </c>
      <c r="AQ116" s="62">
        <f t="shared" si="47"/>
        <v>1</v>
      </c>
      <c r="AR116" s="65">
        <v>1</v>
      </c>
      <c r="AS116" s="62">
        <f t="shared" si="48"/>
        <v>0.67000000000000037</v>
      </c>
      <c r="AT116" s="65">
        <f t="shared" si="66"/>
        <v>0.74300000000000044</v>
      </c>
      <c r="AU116" s="62">
        <f t="shared" si="49"/>
        <v>1.0000000000000004</v>
      </c>
      <c r="AV116" s="65">
        <v>1.0000000000000004</v>
      </c>
      <c r="AW116" s="62">
        <f t="shared" si="50"/>
        <v>1.0000000000000004</v>
      </c>
      <c r="AX116" s="65">
        <v>1</v>
      </c>
      <c r="AY116" s="62">
        <f t="shared" si="51"/>
        <v>1.0000000000000004</v>
      </c>
      <c r="AZ116" s="65">
        <v>1.0000000000000004</v>
      </c>
      <c r="BA116" s="62">
        <f t="shared" si="52"/>
        <v>1.0000000000000004</v>
      </c>
      <c r="BB116" s="65">
        <v>1</v>
      </c>
      <c r="BC116" s="62">
        <f t="shared" si="53"/>
        <v>0.48800000000000021</v>
      </c>
      <c r="BD116" s="65">
        <v>0.69000000000000039</v>
      </c>
      <c r="BE116" s="74"/>
      <c r="BF116" s="7"/>
      <c r="BG116" s="74"/>
      <c r="BH116" s="7"/>
      <c r="BI116" s="7"/>
      <c r="BJ116" s="7"/>
      <c r="BK116" s="7"/>
      <c r="BL116" s="7"/>
      <c r="BM116" s="7"/>
      <c r="BN116" s="7"/>
      <c r="BO116" s="7"/>
      <c r="BP116" s="7"/>
      <c r="BQ116" s="7"/>
    </row>
    <row r="117" spans="1:69" ht="19.8" thickBot="1" x14ac:dyDescent="0.35">
      <c r="A117" s="16">
        <v>115</v>
      </c>
      <c r="B117" s="52">
        <v>44727</v>
      </c>
      <c r="C117" s="53" t="str">
        <f t="shared" si="54"/>
        <v>1401/03/25</v>
      </c>
      <c r="D117" s="54">
        <v>0.77400000000000069</v>
      </c>
      <c r="E117" s="54">
        <v>0.61464200000000102</v>
      </c>
      <c r="F117" s="11" t="e">
        <f t="shared" si="55"/>
        <v>#N/A</v>
      </c>
      <c r="G117" s="38" t="str">
        <f t="shared" si="56"/>
        <v>تاریخ: 1401/03/25
درصد پیشرفت برنامه ای: 77.4%
درصد پیشرفت واقعی: 61.46%</v>
      </c>
      <c r="H117" s="55">
        <v>1</v>
      </c>
      <c r="I117" s="56">
        <v>0.67000000000000037</v>
      </c>
      <c r="J117" s="56">
        <v>1.0000000000000004</v>
      </c>
      <c r="K117" s="56">
        <f t="shared" si="67"/>
        <v>1.0000000000000004</v>
      </c>
      <c r="L117" s="56">
        <f t="shared" si="44"/>
        <v>1.0000000000000004</v>
      </c>
      <c r="M117" s="56">
        <f t="shared" si="44"/>
        <v>1.0000000000000004</v>
      </c>
      <c r="N117" s="57">
        <f t="shared" si="68"/>
        <v>0.52000000000000024</v>
      </c>
      <c r="O117" s="16">
        <f t="shared" si="62"/>
        <v>30</v>
      </c>
      <c r="P117" s="17">
        <v>32</v>
      </c>
      <c r="Q117" s="17">
        <v>33</v>
      </c>
      <c r="R117" s="17">
        <v>34</v>
      </c>
      <c r="S117" s="17">
        <v>32</v>
      </c>
      <c r="T117" s="17">
        <v>35</v>
      </c>
      <c r="U117" s="58">
        <v>34</v>
      </c>
      <c r="V117" s="16">
        <f t="shared" si="57"/>
        <v>33</v>
      </c>
      <c r="W117" s="17">
        <f t="shared" si="58"/>
        <v>36</v>
      </c>
      <c r="X117" s="17">
        <f t="shared" si="58"/>
        <v>37</v>
      </c>
      <c r="Y117" s="17">
        <f t="shared" si="59"/>
        <v>35</v>
      </c>
      <c r="Z117" s="17">
        <f t="shared" si="45"/>
        <v>35</v>
      </c>
      <c r="AA117" s="17">
        <f t="shared" si="60"/>
        <v>36</v>
      </c>
      <c r="AB117" s="58">
        <f t="shared" si="61"/>
        <v>39</v>
      </c>
      <c r="AC117" s="67"/>
      <c r="AD117" s="67"/>
      <c r="AE117" s="67"/>
      <c r="AF117" s="67"/>
      <c r="AG117" s="67"/>
      <c r="AH117" s="67"/>
      <c r="AI117" s="73"/>
      <c r="AJ117" s="74"/>
      <c r="AK117" s="74"/>
      <c r="AL117" s="62">
        <v>0.7</v>
      </c>
      <c r="AM117" s="63">
        <v>0.55000000000000004</v>
      </c>
      <c r="AN117" s="63">
        <v>0.1</v>
      </c>
      <c r="AO117" s="63">
        <v>0.4</v>
      </c>
      <c r="AP117" s="64">
        <v>0.9</v>
      </c>
      <c r="AQ117" s="62">
        <f t="shared" si="47"/>
        <v>1</v>
      </c>
      <c r="AR117" s="65">
        <v>1</v>
      </c>
      <c r="AS117" s="62">
        <f t="shared" si="48"/>
        <v>0.67000000000000037</v>
      </c>
      <c r="AT117" s="65">
        <f>AT116+0.7%</f>
        <v>0.75000000000000044</v>
      </c>
      <c r="AU117" s="62">
        <f t="shared" si="49"/>
        <v>1.0000000000000004</v>
      </c>
      <c r="AV117" s="65">
        <v>1.0000000000000004</v>
      </c>
      <c r="AW117" s="62">
        <f t="shared" si="50"/>
        <v>1.0000000000000004</v>
      </c>
      <c r="AX117" s="65">
        <v>1</v>
      </c>
      <c r="AY117" s="62">
        <f t="shared" si="51"/>
        <v>1.0000000000000004</v>
      </c>
      <c r="AZ117" s="65">
        <v>1.0000000000000004</v>
      </c>
      <c r="BA117" s="62">
        <f t="shared" si="52"/>
        <v>1.0000000000000004</v>
      </c>
      <c r="BB117" s="65">
        <v>1</v>
      </c>
      <c r="BC117" s="62">
        <f t="shared" si="53"/>
        <v>0.52000000000000024</v>
      </c>
      <c r="BD117" s="65">
        <v>0.72000000000000042</v>
      </c>
      <c r="BE117" s="74"/>
      <c r="BF117" s="7"/>
      <c r="BG117" s="74"/>
      <c r="BH117" s="7"/>
      <c r="BI117" s="7"/>
      <c r="BJ117" s="7"/>
      <c r="BK117" s="7"/>
      <c r="BL117" s="7"/>
      <c r="BM117" s="7"/>
      <c r="BN117" s="7"/>
      <c r="BO117" s="7"/>
      <c r="BP117" s="7"/>
      <c r="BQ117" s="7"/>
    </row>
    <row r="118" spans="1:69" ht="19.8" thickBot="1" x14ac:dyDescent="0.35">
      <c r="A118" s="16">
        <v>116</v>
      </c>
      <c r="B118" s="52">
        <v>44734</v>
      </c>
      <c r="C118" s="53" t="str">
        <f t="shared" si="54"/>
        <v>1401/04/01</v>
      </c>
      <c r="D118" s="54">
        <v>0.77900000000000069</v>
      </c>
      <c r="E118" s="54">
        <v>0.61464200000000102</v>
      </c>
      <c r="F118" s="11" t="e">
        <f t="shared" si="55"/>
        <v>#N/A</v>
      </c>
      <c r="G118" s="38" t="str">
        <f t="shared" si="56"/>
        <v>تاریخ: 1401/04/01
درصد پیشرفت برنامه ای: 77.9%
درصد پیشرفت واقعی: 61.46%</v>
      </c>
      <c r="H118" s="55">
        <v>1</v>
      </c>
      <c r="I118" s="56">
        <v>0.67000000000000037</v>
      </c>
      <c r="J118" s="56">
        <v>1.0000000000000004</v>
      </c>
      <c r="K118" s="56">
        <f t="shared" si="67"/>
        <v>1.0000000000000004</v>
      </c>
      <c r="L118" s="56">
        <f t="shared" si="44"/>
        <v>1.0000000000000004</v>
      </c>
      <c r="M118" s="56">
        <f t="shared" si="44"/>
        <v>1.0000000000000004</v>
      </c>
      <c r="N118" s="57">
        <f t="shared" si="68"/>
        <v>0.55200000000000027</v>
      </c>
      <c r="O118" s="16">
        <f t="shared" si="62"/>
        <v>34</v>
      </c>
      <c r="P118" s="17">
        <v>36</v>
      </c>
      <c r="Q118" s="17">
        <v>37</v>
      </c>
      <c r="R118" s="17">
        <v>36</v>
      </c>
      <c r="S118" s="17">
        <v>38</v>
      </c>
      <c r="T118" s="17">
        <v>36</v>
      </c>
      <c r="U118" s="58">
        <v>36</v>
      </c>
      <c r="V118" s="16">
        <f t="shared" si="57"/>
        <v>37</v>
      </c>
      <c r="W118" s="17">
        <f t="shared" si="58"/>
        <v>40</v>
      </c>
      <c r="X118" s="17">
        <f t="shared" si="58"/>
        <v>41</v>
      </c>
      <c r="Y118" s="17">
        <f t="shared" si="59"/>
        <v>37</v>
      </c>
      <c r="Z118" s="17">
        <f t="shared" si="45"/>
        <v>41</v>
      </c>
      <c r="AA118" s="17">
        <f t="shared" si="60"/>
        <v>37</v>
      </c>
      <c r="AB118" s="58">
        <f t="shared" si="61"/>
        <v>41</v>
      </c>
      <c r="AC118" s="67"/>
      <c r="AD118" s="67"/>
      <c r="AE118" s="67"/>
      <c r="AF118" s="67"/>
      <c r="AG118" s="67"/>
      <c r="AH118" s="67"/>
      <c r="AI118" s="73"/>
      <c r="AJ118" s="74"/>
      <c r="AK118" s="74"/>
      <c r="AL118" s="62">
        <v>0.4</v>
      </c>
      <c r="AM118" s="63">
        <v>0.69</v>
      </c>
      <c r="AN118" s="63">
        <v>0.5</v>
      </c>
      <c r="AO118" s="63">
        <v>0.2</v>
      </c>
      <c r="AP118" s="64">
        <v>0.4</v>
      </c>
      <c r="AQ118" s="62">
        <f t="shared" si="47"/>
        <v>1</v>
      </c>
      <c r="AR118" s="65">
        <v>1</v>
      </c>
      <c r="AS118" s="62">
        <f t="shared" si="48"/>
        <v>0.67000000000000037</v>
      </c>
      <c r="AT118" s="65">
        <f t="shared" ref="AT118:AT132" si="69">AT117+0.7%</f>
        <v>0.75700000000000045</v>
      </c>
      <c r="AU118" s="62">
        <f t="shared" si="49"/>
        <v>1.0000000000000004</v>
      </c>
      <c r="AV118" s="65">
        <v>1.0000000000000004</v>
      </c>
      <c r="AW118" s="62">
        <f t="shared" si="50"/>
        <v>1.0000000000000004</v>
      </c>
      <c r="AX118" s="65">
        <v>1</v>
      </c>
      <c r="AY118" s="62">
        <f t="shared" si="51"/>
        <v>1.0000000000000004</v>
      </c>
      <c r="AZ118" s="65">
        <v>1.0000000000000004</v>
      </c>
      <c r="BA118" s="62">
        <f t="shared" si="52"/>
        <v>1.0000000000000004</v>
      </c>
      <c r="BB118" s="65">
        <v>1</v>
      </c>
      <c r="BC118" s="62">
        <f t="shared" si="53"/>
        <v>0.55200000000000027</v>
      </c>
      <c r="BD118" s="65">
        <v>0.75000000000000044</v>
      </c>
      <c r="BE118" s="74"/>
      <c r="BF118" s="7"/>
      <c r="BG118" s="74"/>
      <c r="BH118" s="7"/>
      <c r="BI118" s="7"/>
      <c r="BJ118" s="7"/>
      <c r="BK118" s="7"/>
      <c r="BL118" s="7"/>
      <c r="BM118" s="7"/>
      <c r="BN118" s="7"/>
      <c r="BO118" s="7"/>
      <c r="BP118" s="7"/>
      <c r="BQ118" s="7"/>
    </row>
    <row r="119" spans="1:69" ht="19.8" thickBot="1" x14ac:dyDescent="0.35">
      <c r="A119" s="16">
        <v>117</v>
      </c>
      <c r="B119" s="52">
        <v>44741</v>
      </c>
      <c r="C119" s="53" t="str">
        <f t="shared" si="54"/>
        <v>1401/04/08</v>
      </c>
      <c r="D119" s="54">
        <v>0.7840000000000007</v>
      </c>
      <c r="E119" s="54">
        <v>0.61464200000000102</v>
      </c>
      <c r="F119" s="11" t="e">
        <f t="shared" si="55"/>
        <v>#N/A</v>
      </c>
      <c r="G119" s="38" t="str">
        <f t="shared" si="56"/>
        <v>تاریخ: 1401/04/08
درصد پیشرفت برنامه ای: 78.4%
درصد پیشرفت واقعی: 61.46%</v>
      </c>
      <c r="H119" s="55">
        <v>1</v>
      </c>
      <c r="I119" s="56">
        <v>0.67000000000000037</v>
      </c>
      <c r="J119" s="56">
        <v>1.0000000000000004</v>
      </c>
      <c r="K119" s="56">
        <f t="shared" si="67"/>
        <v>1.0000000000000004</v>
      </c>
      <c r="L119" s="56">
        <f t="shared" si="44"/>
        <v>1.0000000000000004</v>
      </c>
      <c r="M119" s="56">
        <f t="shared" si="44"/>
        <v>1.0000000000000004</v>
      </c>
      <c r="N119" s="57">
        <f t="shared" si="68"/>
        <v>0.5840000000000003</v>
      </c>
      <c r="O119" s="16">
        <f t="shared" si="62"/>
        <v>36</v>
      </c>
      <c r="P119" s="17">
        <v>38</v>
      </c>
      <c r="Q119" s="17">
        <v>39</v>
      </c>
      <c r="R119" s="17">
        <v>40</v>
      </c>
      <c r="S119" s="17">
        <v>39</v>
      </c>
      <c r="T119" s="17">
        <v>40</v>
      </c>
      <c r="U119" s="58">
        <v>39</v>
      </c>
      <c r="V119" s="16">
        <f t="shared" si="57"/>
        <v>39</v>
      </c>
      <c r="W119" s="17">
        <f t="shared" si="58"/>
        <v>42</v>
      </c>
      <c r="X119" s="17">
        <f t="shared" si="58"/>
        <v>43</v>
      </c>
      <c r="Y119" s="17">
        <f t="shared" si="59"/>
        <v>41</v>
      </c>
      <c r="Z119" s="17">
        <f t="shared" si="45"/>
        <v>42</v>
      </c>
      <c r="AA119" s="17">
        <f t="shared" si="60"/>
        <v>41</v>
      </c>
      <c r="AB119" s="58">
        <f t="shared" si="61"/>
        <v>44</v>
      </c>
      <c r="AC119" s="67"/>
      <c r="AD119" s="67"/>
      <c r="AE119" s="67"/>
      <c r="AF119" s="67"/>
      <c r="AG119" s="67"/>
      <c r="AH119" s="67"/>
      <c r="AI119" s="73"/>
      <c r="AJ119" s="74"/>
      <c r="AK119" s="74"/>
      <c r="AL119" s="62">
        <v>0.35</v>
      </c>
      <c r="AM119" s="63">
        <v>0.4</v>
      </c>
      <c r="AN119" s="63">
        <v>0.9</v>
      </c>
      <c r="AO119" s="63">
        <v>0.8</v>
      </c>
      <c r="AP119" s="64">
        <v>0.2</v>
      </c>
      <c r="AQ119" s="62">
        <f t="shared" si="47"/>
        <v>1</v>
      </c>
      <c r="AR119" s="65">
        <v>1</v>
      </c>
      <c r="AS119" s="62">
        <f t="shared" si="48"/>
        <v>0.67000000000000037</v>
      </c>
      <c r="AT119" s="65">
        <f t="shared" si="69"/>
        <v>0.76400000000000046</v>
      </c>
      <c r="AU119" s="62">
        <f t="shared" si="49"/>
        <v>1.0000000000000004</v>
      </c>
      <c r="AV119" s="65">
        <v>1.0000000000000004</v>
      </c>
      <c r="AW119" s="62">
        <f t="shared" si="50"/>
        <v>1.0000000000000004</v>
      </c>
      <c r="AX119" s="65">
        <v>1</v>
      </c>
      <c r="AY119" s="62">
        <f t="shared" si="51"/>
        <v>1.0000000000000004</v>
      </c>
      <c r="AZ119" s="65">
        <v>1.0000000000000004</v>
      </c>
      <c r="BA119" s="62">
        <f t="shared" si="52"/>
        <v>1.0000000000000004</v>
      </c>
      <c r="BB119" s="65">
        <v>1</v>
      </c>
      <c r="BC119" s="62">
        <f t="shared" si="53"/>
        <v>0.5840000000000003</v>
      </c>
      <c r="BD119" s="65">
        <v>0.78000000000000047</v>
      </c>
      <c r="BE119" s="74"/>
      <c r="BF119" s="7"/>
      <c r="BG119" s="74"/>
      <c r="BH119" s="7"/>
      <c r="BI119" s="7"/>
      <c r="BJ119" s="7"/>
      <c r="BK119" s="7"/>
      <c r="BL119" s="7"/>
      <c r="BM119" s="7"/>
      <c r="BN119" s="7"/>
      <c r="BO119" s="7"/>
      <c r="BP119" s="7"/>
      <c r="BQ119" s="7"/>
    </row>
    <row r="120" spans="1:69" ht="19.8" thickBot="1" x14ac:dyDescent="0.35">
      <c r="A120" s="16">
        <v>118</v>
      </c>
      <c r="B120" s="52">
        <v>44748</v>
      </c>
      <c r="C120" s="53" t="str">
        <f t="shared" si="54"/>
        <v>1401/04/15</v>
      </c>
      <c r="D120" s="54">
        <v>0.7890000000000007</v>
      </c>
      <c r="E120" s="54">
        <v>0.61959700000000106</v>
      </c>
      <c r="F120" s="11" t="e">
        <f t="shared" si="55"/>
        <v>#N/A</v>
      </c>
      <c r="G120" s="38" t="str">
        <f t="shared" si="56"/>
        <v>تاریخ: 1401/04/15
درصد پیشرفت برنامه ای: 78.9%
درصد پیشرفت واقعی: 61.96%</v>
      </c>
      <c r="H120" s="55">
        <v>1</v>
      </c>
      <c r="I120" s="56">
        <v>0.67000000000000037</v>
      </c>
      <c r="J120" s="56">
        <v>1.0000000000000004</v>
      </c>
      <c r="K120" s="56">
        <f t="shared" si="67"/>
        <v>1.0000000000000004</v>
      </c>
      <c r="L120" s="56">
        <f t="shared" si="44"/>
        <v>1.0000000000000004</v>
      </c>
      <c r="M120" s="56">
        <f t="shared" si="44"/>
        <v>1.0000000000000004</v>
      </c>
      <c r="N120" s="57">
        <f t="shared" si="68"/>
        <v>0.61600000000000033</v>
      </c>
      <c r="O120" s="16">
        <f t="shared" si="62"/>
        <v>39</v>
      </c>
      <c r="P120" s="17">
        <v>40</v>
      </c>
      <c r="Q120" s="17">
        <v>41</v>
      </c>
      <c r="R120" s="17">
        <v>40</v>
      </c>
      <c r="S120" s="17">
        <v>42</v>
      </c>
      <c r="T120" s="17">
        <v>43</v>
      </c>
      <c r="U120" s="58">
        <v>42</v>
      </c>
      <c r="V120" s="16">
        <f t="shared" si="57"/>
        <v>42</v>
      </c>
      <c r="W120" s="17">
        <f t="shared" si="58"/>
        <v>44</v>
      </c>
      <c r="X120" s="17">
        <f t="shared" si="58"/>
        <v>45</v>
      </c>
      <c r="Y120" s="17">
        <f t="shared" si="59"/>
        <v>41</v>
      </c>
      <c r="Z120" s="17">
        <f t="shared" si="45"/>
        <v>45</v>
      </c>
      <c r="AA120" s="17">
        <f t="shared" si="60"/>
        <v>44</v>
      </c>
      <c r="AB120" s="58">
        <f t="shared" si="61"/>
        <v>47</v>
      </c>
      <c r="AC120" s="67"/>
      <c r="AD120" s="67"/>
      <c r="AE120" s="67"/>
      <c r="AF120" s="67"/>
      <c r="AG120" s="67"/>
      <c r="AH120" s="67"/>
      <c r="AI120" s="73"/>
      <c r="AJ120" s="74"/>
      <c r="AK120" s="74"/>
      <c r="AL120" s="62">
        <v>0.85</v>
      </c>
      <c r="AM120" s="63">
        <v>0.8</v>
      </c>
      <c r="AN120" s="63">
        <v>0.5</v>
      </c>
      <c r="AO120" s="63">
        <v>0.6</v>
      </c>
      <c r="AP120" s="64">
        <v>0.6</v>
      </c>
      <c r="AQ120" s="62">
        <f t="shared" si="47"/>
        <v>1</v>
      </c>
      <c r="AR120" s="65">
        <v>1</v>
      </c>
      <c r="AS120" s="62">
        <f t="shared" si="48"/>
        <v>0.67000000000000037</v>
      </c>
      <c r="AT120" s="65">
        <f t="shared" si="69"/>
        <v>0.77100000000000046</v>
      </c>
      <c r="AU120" s="62">
        <f t="shared" si="49"/>
        <v>1.0000000000000004</v>
      </c>
      <c r="AV120" s="65">
        <v>1.0000000000000004</v>
      </c>
      <c r="AW120" s="62">
        <f t="shared" si="50"/>
        <v>1.0000000000000004</v>
      </c>
      <c r="AX120" s="65">
        <v>1</v>
      </c>
      <c r="AY120" s="62">
        <f t="shared" si="51"/>
        <v>1.0000000000000004</v>
      </c>
      <c r="AZ120" s="65">
        <v>1.0000000000000004</v>
      </c>
      <c r="BA120" s="62">
        <f t="shared" si="52"/>
        <v>1.0000000000000004</v>
      </c>
      <c r="BB120" s="65">
        <v>1</v>
      </c>
      <c r="BC120" s="62">
        <f t="shared" si="53"/>
        <v>0.61600000000000033</v>
      </c>
      <c r="BD120" s="65">
        <v>0.8100000000000005</v>
      </c>
      <c r="BE120" s="74"/>
      <c r="BF120" s="7"/>
      <c r="BG120" s="74"/>
      <c r="BH120" s="7"/>
      <c r="BI120" s="7"/>
      <c r="BJ120" s="7"/>
      <c r="BK120" s="7"/>
      <c r="BL120" s="7"/>
      <c r="BM120" s="7"/>
      <c r="BN120" s="7"/>
      <c r="BO120" s="7"/>
      <c r="BP120" s="7"/>
      <c r="BQ120" s="7"/>
    </row>
    <row r="121" spans="1:69" ht="19.8" thickBot="1" x14ac:dyDescent="0.35">
      <c r="A121" s="16">
        <v>119</v>
      </c>
      <c r="B121" s="52">
        <v>44755</v>
      </c>
      <c r="C121" s="53" t="str">
        <f t="shared" si="54"/>
        <v>1401/04/22</v>
      </c>
      <c r="D121" s="54">
        <v>0.79400000000000071</v>
      </c>
      <c r="E121" s="54">
        <v>0.62455200000000111</v>
      </c>
      <c r="F121" s="11" t="e">
        <f t="shared" si="55"/>
        <v>#N/A</v>
      </c>
      <c r="G121" s="38" t="str">
        <f t="shared" si="56"/>
        <v>تاریخ: 1401/04/22
درصد پیشرفت برنامه ای: 79.4%
درصد پیشرفت واقعی: 62.46%</v>
      </c>
      <c r="H121" s="55">
        <v>1</v>
      </c>
      <c r="I121" s="56">
        <v>0.67000000000000037</v>
      </c>
      <c r="J121" s="56">
        <v>1.0000000000000004</v>
      </c>
      <c r="K121" s="56">
        <f t="shared" si="67"/>
        <v>1.0000000000000004</v>
      </c>
      <c r="L121" s="56">
        <f t="shared" si="44"/>
        <v>1.0000000000000004</v>
      </c>
      <c r="M121" s="56">
        <f t="shared" si="44"/>
        <v>1.0000000000000004</v>
      </c>
      <c r="N121" s="57">
        <f t="shared" si="68"/>
        <v>0.64800000000000035</v>
      </c>
      <c r="O121" s="16">
        <f t="shared" si="62"/>
        <v>42</v>
      </c>
      <c r="P121" s="17">
        <v>43</v>
      </c>
      <c r="Q121" s="17">
        <v>44</v>
      </c>
      <c r="R121" s="17">
        <v>42</v>
      </c>
      <c r="S121" s="17">
        <v>43</v>
      </c>
      <c r="T121" s="17">
        <v>45</v>
      </c>
      <c r="U121" s="58">
        <v>45</v>
      </c>
      <c r="V121" s="16">
        <f t="shared" si="57"/>
        <v>45</v>
      </c>
      <c r="W121" s="17">
        <f t="shared" si="58"/>
        <v>47</v>
      </c>
      <c r="X121" s="17">
        <f t="shared" si="58"/>
        <v>48</v>
      </c>
      <c r="Y121" s="17">
        <f t="shared" si="59"/>
        <v>43</v>
      </c>
      <c r="Z121" s="17">
        <f t="shared" si="45"/>
        <v>46</v>
      </c>
      <c r="AA121" s="17">
        <f t="shared" si="60"/>
        <v>46</v>
      </c>
      <c r="AB121" s="58">
        <f t="shared" si="61"/>
        <v>50</v>
      </c>
      <c r="AC121" s="67"/>
      <c r="AD121" s="67"/>
      <c r="AE121" s="67"/>
      <c r="AF121" s="67"/>
      <c r="AG121" s="67"/>
      <c r="AH121" s="67"/>
      <c r="AI121" s="73"/>
      <c r="AJ121" s="74"/>
      <c r="AK121" s="74"/>
      <c r="AL121" s="62">
        <v>0.9</v>
      </c>
      <c r="AM121" s="63">
        <v>0.95</v>
      </c>
      <c r="AN121" s="63">
        <v>0.8</v>
      </c>
      <c r="AO121" s="63">
        <v>0.7</v>
      </c>
      <c r="AP121" s="64">
        <v>0.1</v>
      </c>
      <c r="AQ121" s="62">
        <f t="shared" si="47"/>
        <v>1</v>
      </c>
      <c r="AR121" s="65">
        <v>1</v>
      </c>
      <c r="AS121" s="62">
        <f t="shared" si="48"/>
        <v>0.67000000000000037</v>
      </c>
      <c r="AT121" s="65">
        <v>0.77800000000000047</v>
      </c>
      <c r="AU121" s="62">
        <f t="shared" si="49"/>
        <v>1.0000000000000004</v>
      </c>
      <c r="AV121" s="65">
        <v>1.0000000000000004</v>
      </c>
      <c r="AW121" s="62">
        <f t="shared" si="50"/>
        <v>1.0000000000000004</v>
      </c>
      <c r="AX121" s="65">
        <v>1</v>
      </c>
      <c r="AY121" s="62">
        <f t="shared" si="51"/>
        <v>1.0000000000000004</v>
      </c>
      <c r="AZ121" s="65">
        <v>1.0000000000000004</v>
      </c>
      <c r="BA121" s="62">
        <f t="shared" si="52"/>
        <v>1.0000000000000004</v>
      </c>
      <c r="BB121" s="65">
        <v>1</v>
      </c>
      <c r="BC121" s="62">
        <f t="shared" si="53"/>
        <v>0.64800000000000035</v>
      </c>
      <c r="BD121" s="65">
        <v>0.84000000000000052</v>
      </c>
      <c r="BE121" s="74"/>
      <c r="BF121" s="7"/>
      <c r="BG121" s="74"/>
      <c r="BH121" s="7"/>
      <c r="BI121" s="7"/>
      <c r="BJ121" s="7"/>
      <c r="BK121" s="7"/>
      <c r="BL121" s="7"/>
      <c r="BM121" s="7"/>
      <c r="BN121" s="7"/>
      <c r="BO121" s="7"/>
      <c r="BP121" s="7"/>
      <c r="BQ121" s="7"/>
    </row>
    <row r="122" spans="1:69" ht="19.8" thickBot="1" x14ac:dyDescent="0.35">
      <c r="A122" s="16">
        <v>120</v>
      </c>
      <c r="B122" s="52">
        <v>44762</v>
      </c>
      <c r="C122" s="53" t="str">
        <f t="shared" si="54"/>
        <v>1401/04/29</v>
      </c>
      <c r="D122" s="54">
        <v>0.79900000000000071</v>
      </c>
      <c r="E122" s="54">
        <v>0.62950700000000115</v>
      </c>
      <c r="F122" s="11" t="e">
        <f t="shared" si="55"/>
        <v>#N/A</v>
      </c>
      <c r="G122" s="38" t="str">
        <f t="shared" si="56"/>
        <v>تاریخ: 1401/04/29
درصد پیشرفت برنامه ای: 79.9%
درصد پیشرفت واقعی: 62.95%</v>
      </c>
      <c r="H122" s="55">
        <v>1</v>
      </c>
      <c r="I122" s="56">
        <v>0.67000000000000037</v>
      </c>
      <c r="J122" s="56">
        <v>1.0000000000000004</v>
      </c>
      <c r="K122" s="56">
        <f t="shared" si="67"/>
        <v>1.0000000000000004</v>
      </c>
      <c r="L122" s="56">
        <f t="shared" si="44"/>
        <v>1.0000000000000004</v>
      </c>
      <c r="M122" s="56">
        <f t="shared" si="44"/>
        <v>1.0000000000000004</v>
      </c>
      <c r="N122" s="57">
        <f t="shared" si="68"/>
        <v>0.68000000000000038</v>
      </c>
      <c r="O122" s="16">
        <f t="shared" si="62"/>
        <v>45</v>
      </c>
      <c r="P122" s="17">
        <v>46</v>
      </c>
      <c r="Q122" s="17">
        <v>45</v>
      </c>
      <c r="R122" s="17">
        <v>46</v>
      </c>
      <c r="S122" s="17">
        <v>47</v>
      </c>
      <c r="T122" s="17">
        <v>47</v>
      </c>
      <c r="U122" s="58">
        <v>46</v>
      </c>
      <c r="V122" s="16">
        <f t="shared" si="57"/>
        <v>48</v>
      </c>
      <c r="W122" s="17">
        <f t="shared" si="58"/>
        <v>50</v>
      </c>
      <c r="X122" s="17">
        <f t="shared" si="58"/>
        <v>49</v>
      </c>
      <c r="Y122" s="17">
        <f t="shared" si="59"/>
        <v>47</v>
      </c>
      <c r="Z122" s="17">
        <f t="shared" si="45"/>
        <v>50</v>
      </c>
      <c r="AA122" s="17">
        <f t="shared" si="60"/>
        <v>48</v>
      </c>
      <c r="AB122" s="58">
        <f t="shared" si="61"/>
        <v>51</v>
      </c>
      <c r="AC122" s="67"/>
      <c r="AD122" s="67"/>
      <c r="AE122" s="67"/>
      <c r="AF122" s="67"/>
      <c r="AG122" s="67"/>
      <c r="AH122" s="67"/>
      <c r="AI122" s="73"/>
      <c r="AJ122" s="74"/>
      <c r="AK122" s="74"/>
      <c r="AL122" s="62">
        <v>0.7</v>
      </c>
      <c r="AM122" s="63">
        <v>0.68</v>
      </c>
      <c r="AN122" s="63">
        <v>0.5</v>
      </c>
      <c r="AO122" s="63">
        <v>0.9</v>
      </c>
      <c r="AP122" s="64">
        <v>0.55000000000000004</v>
      </c>
      <c r="AQ122" s="62">
        <f t="shared" si="47"/>
        <v>1</v>
      </c>
      <c r="AR122" s="65">
        <v>1</v>
      </c>
      <c r="AS122" s="62">
        <f t="shared" si="48"/>
        <v>0.67000000000000037</v>
      </c>
      <c r="AT122" s="65">
        <v>0.77800000000000047</v>
      </c>
      <c r="AU122" s="62">
        <f t="shared" si="49"/>
        <v>1.0000000000000004</v>
      </c>
      <c r="AV122" s="65">
        <v>1.0000000000000004</v>
      </c>
      <c r="AW122" s="62">
        <f t="shared" si="50"/>
        <v>1.0000000000000004</v>
      </c>
      <c r="AX122" s="65">
        <v>1</v>
      </c>
      <c r="AY122" s="62">
        <f t="shared" si="51"/>
        <v>1.0000000000000004</v>
      </c>
      <c r="AZ122" s="65">
        <v>1.0000000000000004</v>
      </c>
      <c r="BA122" s="62">
        <f t="shared" si="52"/>
        <v>1.0000000000000004</v>
      </c>
      <c r="BB122" s="65">
        <v>1</v>
      </c>
      <c r="BC122" s="62">
        <f t="shared" si="53"/>
        <v>0.68000000000000038</v>
      </c>
      <c r="BD122" s="65">
        <v>0.87000000000000055</v>
      </c>
      <c r="BE122" s="74"/>
      <c r="BF122" s="7"/>
      <c r="BG122" s="74"/>
      <c r="BH122" s="7"/>
      <c r="BI122" s="7"/>
      <c r="BJ122" s="7"/>
      <c r="BK122" s="7"/>
      <c r="BL122" s="7"/>
      <c r="BM122" s="7"/>
      <c r="BN122" s="7"/>
      <c r="BO122" s="7"/>
      <c r="BP122" s="7"/>
      <c r="BQ122" s="7"/>
    </row>
    <row r="123" spans="1:69" ht="19.8" thickBot="1" x14ac:dyDescent="0.35">
      <c r="A123" s="16">
        <v>121</v>
      </c>
      <c r="B123" s="52">
        <v>44769</v>
      </c>
      <c r="C123" s="53" t="str">
        <f t="shared" si="54"/>
        <v>1401/05/05</v>
      </c>
      <c r="D123" s="54">
        <v>0.80400000000000071</v>
      </c>
      <c r="E123" s="54">
        <v>0.63446200000000119</v>
      </c>
      <c r="F123" s="11" t="e">
        <f t="shared" si="55"/>
        <v>#N/A</v>
      </c>
      <c r="G123" s="38" t="str">
        <f t="shared" si="56"/>
        <v>تاریخ: 1401/05/05
درصد پیشرفت برنامه ای: 80.4%
درصد پیشرفت واقعی: 63.45%</v>
      </c>
      <c r="H123" s="55">
        <v>1</v>
      </c>
      <c r="I123" s="56">
        <v>0.67000000000000037</v>
      </c>
      <c r="J123" s="56">
        <v>1.0000000000000004</v>
      </c>
      <c r="K123" s="56">
        <f t="shared" si="67"/>
        <v>1.0000000000000004</v>
      </c>
      <c r="L123" s="56">
        <f t="shared" ref="L123:M186" si="70">K99</f>
        <v>1.0000000000000004</v>
      </c>
      <c r="M123" s="56">
        <f t="shared" si="70"/>
        <v>1.0000000000000004</v>
      </c>
      <c r="N123" s="57">
        <f t="shared" si="68"/>
        <v>0.71200000000000041</v>
      </c>
      <c r="O123" s="16">
        <f t="shared" si="62"/>
        <v>46</v>
      </c>
      <c r="P123" s="17">
        <v>47</v>
      </c>
      <c r="Q123" s="17">
        <v>47</v>
      </c>
      <c r="R123" s="17">
        <v>46</v>
      </c>
      <c r="S123" s="17">
        <v>45</v>
      </c>
      <c r="T123" s="17">
        <v>46</v>
      </c>
      <c r="U123" s="58">
        <v>47</v>
      </c>
      <c r="V123" s="16">
        <f t="shared" si="57"/>
        <v>49</v>
      </c>
      <c r="W123" s="17">
        <f t="shared" si="58"/>
        <v>51</v>
      </c>
      <c r="X123" s="17">
        <f t="shared" si="58"/>
        <v>51</v>
      </c>
      <c r="Y123" s="17">
        <f t="shared" si="59"/>
        <v>47</v>
      </c>
      <c r="Z123" s="17">
        <f t="shared" si="45"/>
        <v>48</v>
      </c>
      <c r="AA123" s="17">
        <f t="shared" si="60"/>
        <v>47</v>
      </c>
      <c r="AB123" s="58">
        <f t="shared" si="61"/>
        <v>52</v>
      </c>
      <c r="AC123" s="67"/>
      <c r="AD123" s="67"/>
      <c r="AE123" s="67"/>
      <c r="AF123" s="67"/>
      <c r="AG123" s="67"/>
      <c r="AH123" s="67"/>
      <c r="AI123" s="73"/>
      <c r="AJ123" s="74"/>
      <c r="AK123" s="74"/>
      <c r="AL123" s="62">
        <v>0.6</v>
      </c>
      <c r="AM123" s="63">
        <v>0.5</v>
      </c>
      <c r="AN123" s="63">
        <v>0.66</v>
      </c>
      <c r="AO123" s="63">
        <v>0.5</v>
      </c>
      <c r="AP123" s="64">
        <v>0.9</v>
      </c>
      <c r="AQ123" s="62">
        <f t="shared" si="47"/>
        <v>1</v>
      </c>
      <c r="AR123" s="65">
        <v>1</v>
      </c>
      <c r="AS123" s="62">
        <f t="shared" si="48"/>
        <v>0.67000000000000037</v>
      </c>
      <c r="AT123" s="65">
        <v>0.77800000000000047</v>
      </c>
      <c r="AU123" s="62">
        <f t="shared" si="49"/>
        <v>1.0000000000000004</v>
      </c>
      <c r="AV123" s="65">
        <v>1.0000000000000004</v>
      </c>
      <c r="AW123" s="62">
        <f t="shared" si="50"/>
        <v>1.0000000000000004</v>
      </c>
      <c r="AX123" s="65">
        <v>1</v>
      </c>
      <c r="AY123" s="62">
        <f t="shared" si="51"/>
        <v>1.0000000000000004</v>
      </c>
      <c r="AZ123" s="65">
        <v>1.0000000000000004</v>
      </c>
      <c r="BA123" s="62">
        <f t="shared" si="52"/>
        <v>1.0000000000000004</v>
      </c>
      <c r="BB123" s="65">
        <v>1</v>
      </c>
      <c r="BC123" s="62">
        <f t="shared" si="53"/>
        <v>0.71200000000000041</v>
      </c>
      <c r="BD123" s="65">
        <v>0.90000000000000058</v>
      </c>
      <c r="BE123" s="74"/>
      <c r="BF123" s="7"/>
      <c r="BG123" s="74"/>
      <c r="BH123" s="7"/>
      <c r="BI123" s="7"/>
      <c r="BJ123" s="7"/>
      <c r="BK123" s="7"/>
      <c r="BL123" s="7"/>
      <c r="BM123" s="7"/>
      <c r="BN123" s="7"/>
      <c r="BO123" s="7"/>
      <c r="BP123" s="7"/>
      <c r="BQ123" s="7"/>
    </row>
    <row r="124" spans="1:69" ht="19.8" thickBot="1" x14ac:dyDescent="0.35">
      <c r="A124" s="16">
        <v>122</v>
      </c>
      <c r="B124" s="52">
        <v>44776</v>
      </c>
      <c r="C124" s="53" t="str">
        <f t="shared" si="54"/>
        <v>1401/05/12</v>
      </c>
      <c r="D124" s="54">
        <v>0.80900000000000072</v>
      </c>
      <c r="E124" s="54">
        <v>0.63941700000000123</v>
      </c>
      <c r="F124" s="11" t="e">
        <f t="shared" si="55"/>
        <v>#N/A</v>
      </c>
      <c r="G124" s="38" t="str">
        <f t="shared" si="56"/>
        <v>تاریخ: 1401/05/12
درصد پیشرفت برنامه ای: 80.9%
درصد پیشرفت واقعی: 63.94%</v>
      </c>
      <c r="H124" s="55">
        <v>1</v>
      </c>
      <c r="I124" s="56">
        <f>I123+0.5%</f>
        <v>0.67500000000000038</v>
      </c>
      <c r="J124" s="56">
        <v>1.0000000000000004</v>
      </c>
      <c r="K124" s="56">
        <f t="shared" si="67"/>
        <v>1.0000000000000004</v>
      </c>
      <c r="L124" s="56">
        <f t="shared" si="70"/>
        <v>1.0000000000000004</v>
      </c>
      <c r="M124" s="56">
        <f t="shared" si="70"/>
        <v>1.0000000000000004</v>
      </c>
      <c r="N124" s="57">
        <f t="shared" si="68"/>
        <v>0.74400000000000044</v>
      </c>
      <c r="O124" s="16">
        <f t="shared" si="62"/>
        <v>47</v>
      </c>
      <c r="P124" s="17">
        <v>43</v>
      </c>
      <c r="Q124" s="17">
        <v>44</v>
      </c>
      <c r="R124" s="17">
        <v>42</v>
      </c>
      <c r="S124" s="17">
        <v>43</v>
      </c>
      <c r="T124" s="17">
        <v>45</v>
      </c>
      <c r="U124" s="58">
        <v>45</v>
      </c>
      <c r="V124" s="16">
        <f t="shared" si="57"/>
        <v>50</v>
      </c>
      <c r="W124" s="17">
        <f t="shared" si="58"/>
        <v>47</v>
      </c>
      <c r="X124" s="17">
        <f t="shared" si="58"/>
        <v>48</v>
      </c>
      <c r="Y124" s="17">
        <f t="shared" si="59"/>
        <v>43</v>
      </c>
      <c r="Z124" s="17">
        <f t="shared" si="45"/>
        <v>46</v>
      </c>
      <c r="AA124" s="17">
        <f t="shared" si="60"/>
        <v>46</v>
      </c>
      <c r="AB124" s="58">
        <f t="shared" si="61"/>
        <v>50</v>
      </c>
      <c r="AC124" s="67"/>
      <c r="AD124" s="67"/>
      <c r="AE124" s="67"/>
      <c r="AF124" s="67"/>
      <c r="AG124" s="67"/>
      <c r="AH124" s="67"/>
      <c r="AI124" s="73"/>
      <c r="AJ124" s="74"/>
      <c r="AK124" s="74"/>
      <c r="AL124" s="62">
        <v>0.55000000000000004</v>
      </c>
      <c r="AM124" s="63">
        <v>0.62</v>
      </c>
      <c r="AN124" s="63">
        <v>0.78</v>
      </c>
      <c r="AO124" s="63">
        <v>0.42</v>
      </c>
      <c r="AP124" s="64">
        <v>0.8</v>
      </c>
      <c r="AQ124" s="62">
        <f t="shared" si="47"/>
        <v>1</v>
      </c>
      <c r="AR124" s="65">
        <v>1</v>
      </c>
      <c r="AS124" s="62">
        <f t="shared" si="48"/>
        <v>0.67500000000000038</v>
      </c>
      <c r="AT124" s="65">
        <v>0.77800000000000047</v>
      </c>
      <c r="AU124" s="62">
        <f t="shared" si="49"/>
        <v>1.0000000000000004</v>
      </c>
      <c r="AV124" s="65">
        <v>1.0000000000000004</v>
      </c>
      <c r="AW124" s="62">
        <f t="shared" si="50"/>
        <v>1.0000000000000004</v>
      </c>
      <c r="AX124" s="65">
        <v>1</v>
      </c>
      <c r="AY124" s="62">
        <f t="shared" si="51"/>
        <v>1.0000000000000004</v>
      </c>
      <c r="AZ124" s="65">
        <v>1.0000000000000004</v>
      </c>
      <c r="BA124" s="62">
        <f t="shared" si="52"/>
        <v>1.0000000000000004</v>
      </c>
      <c r="BB124" s="65">
        <v>1</v>
      </c>
      <c r="BC124" s="62">
        <f t="shared" si="53"/>
        <v>0.74400000000000044</v>
      </c>
      <c r="BD124" s="65">
        <v>0.9300000000000006</v>
      </c>
      <c r="BE124" s="74"/>
      <c r="BF124" s="7"/>
      <c r="BG124" s="74"/>
      <c r="BH124" s="7"/>
      <c r="BI124" s="7"/>
      <c r="BJ124" s="7"/>
      <c r="BK124" s="7"/>
      <c r="BL124" s="7"/>
      <c r="BM124" s="7"/>
      <c r="BN124" s="7"/>
      <c r="BO124" s="7"/>
      <c r="BP124" s="7"/>
      <c r="BQ124" s="7"/>
    </row>
    <row r="125" spans="1:69" ht="19.8" thickBot="1" x14ac:dyDescent="0.35">
      <c r="A125" s="16">
        <v>123</v>
      </c>
      <c r="B125" s="52">
        <v>44783</v>
      </c>
      <c r="C125" s="53" t="str">
        <f t="shared" si="54"/>
        <v>1401/05/19</v>
      </c>
      <c r="D125" s="54">
        <v>0.81500000000000072</v>
      </c>
      <c r="E125" s="54">
        <v>0.64536300000000124</v>
      </c>
      <c r="F125" s="11" t="e">
        <f t="shared" si="55"/>
        <v>#N/A</v>
      </c>
      <c r="G125" s="38" t="str">
        <f t="shared" si="56"/>
        <v>تاریخ: 1401/05/19
درصد پیشرفت برنامه ای: 81.5%
درصد پیشرفت واقعی: 64.54%</v>
      </c>
      <c r="H125" s="55">
        <v>1</v>
      </c>
      <c r="I125" s="56">
        <f t="shared" ref="I125:I154" si="71">I124+0.5%</f>
        <v>0.68000000000000038</v>
      </c>
      <c r="J125" s="56">
        <v>1.0000000000000004</v>
      </c>
      <c r="K125" s="56">
        <f t="shared" si="67"/>
        <v>1.0000000000000004</v>
      </c>
      <c r="L125" s="56">
        <f t="shared" si="70"/>
        <v>1.0000000000000004</v>
      </c>
      <c r="M125" s="56">
        <f t="shared" si="70"/>
        <v>1.0000000000000004</v>
      </c>
      <c r="N125" s="57">
        <f t="shared" si="68"/>
        <v>0.77600000000000047</v>
      </c>
      <c r="O125" s="16">
        <f t="shared" si="62"/>
        <v>45</v>
      </c>
      <c r="P125" s="17">
        <v>46</v>
      </c>
      <c r="Q125" s="17">
        <v>45</v>
      </c>
      <c r="R125" s="17">
        <v>46</v>
      </c>
      <c r="S125" s="17">
        <v>47</v>
      </c>
      <c r="T125" s="17">
        <v>47</v>
      </c>
      <c r="U125" s="58">
        <v>46</v>
      </c>
      <c r="V125" s="16">
        <f t="shared" si="57"/>
        <v>48</v>
      </c>
      <c r="W125" s="17">
        <f t="shared" si="58"/>
        <v>50</v>
      </c>
      <c r="X125" s="17">
        <f t="shared" si="58"/>
        <v>49</v>
      </c>
      <c r="Y125" s="17">
        <f t="shared" si="59"/>
        <v>47</v>
      </c>
      <c r="Z125" s="17">
        <f t="shared" si="45"/>
        <v>50</v>
      </c>
      <c r="AA125" s="17">
        <f t="shared" si="60"/>
        <v>48</v>
      </c>
      <c r="AB125" s="58">
        <f t="shared" si="61"/>
        <v>51</v>
      </c>
      <c r="AC125" s="67"/>
      <c r="AD125" s="67"/>
      <c r="AE125" s="67"/>
      <c r="AF125" s="67"/>
      <c r="AG125" s="67"/>
      <c r="AH125" s="67"/>
      <c r="AI125" s="73"/>
      <c r="AJ125" s="74"/>
      <c r="AK125" s="74"/>
      <c r="AL125" s="62">
        <v>0.6</v>
      </c>
      <c r="AM125" s="63">
        <v>0.9</v>
      </c>
      <c r="AN125" s="63">
        <v>0.5</v>
      </c>
      <c r="AO125" s="63">
        <v>0.5</v>
      </c>
      <c r="AP125" s="64">
        <v>0.62</v>
      </c>
      <c r="AQ125" s="62">
        <f t="shared" si="47"/>
        <v>1</v>
      </c>
      <c r="AR125" s="65">
        <v>1</v>
      </c>
      <c r="AS125" s="62">
        <f t="shared" si="48"/>
        <v>0.68000000000000038</v>
      </c>
      <c r="AT125" s="65">
        <v>0.77800000000000047</v>
      </c>
      <c r="AU125" s="62">
        <f t="shared" si="49"/>
        <v>1.0000000000000004</v>
      </c>
      <c r="AV125" s="65">
        <v>1.0000000000000004</v>
      </c>
      <c r="AW125" s="62">
        <f t="shared" si="50"/>
        <v>1.0000000000000004</v>
      </c>
      <c r="AX125" s="65">
        <v>1</v>
      </c>
      <c r="AY125" s="62">
        <f t="shared" si="51"/>
        <v>1.0000000000000004</v>
      </c>
      <c r="AZ125" s="65">
        <v>1.0000000000000004</v>
      </c>
      <c r="BA125" s="62">
        <f t="shared" si="52"/>
        <v>1.0000000000000004</v>
      </c>
      <c r="BB125" s="65">
        <v>1</v>
      </c>
      <c r="BC125" s="62">
        <f t="shared" si="53"/>
        <v>0.77600000000000047</v>
      </c>
      <c r="BD125" s="65">
        <v>0.96000000000000063</v>
      </c>
      <c r="BE125" s="74"/>
      <c r="BF125" s="7"/>
      <c r="BG125" s="74"/>
      <c r="BH125" s="7"/>
      <c r="BI125" s="7"/>
      <c r="BJ125" s="7"/>
      <c r="BK125" s="7"/>
      <c r="BL125" s="7"/>
      <c r="BM125" s="7"/>
      <c r="BN125" s="7"/>
      <c r="BO125" s="7"/>
      <c r="BP125" s="7"/>
      <c r="BQ125" s="7"/>
    </row>
    <row r="126" spans="1:69" ht="19.8" thickBot="1" x14ac:dyDescent="0.35">
      <c r="A126" s="16">
        <v>124</v>
      </c>
      <c r="B126" s="52">
        <v>44790</v>
      </c>
      <c r="C126" s="53" t="str">
        <f t="shared" si="54"/>
        <v>1401/05/26</v>
      </c>
      <c r="D126" s="54">
        <v>0.82100000000000073</v>
      </c>
      <c r="E126" s="54">
        <v>0.65130900000000125</v>
      </c>
      <c r="F126" s="11" t="e">
        <f t="shared" si="55"/>
        <v>#N/A</v>
      </c>
      <c r="G126" s="38" t="str">
        <f t="shared" si="56"/>
        <v>تاریخ: 1401/05/26
درصد پیشرفت برنامه ای: 82.1%
درصد پیشرفت واقعی: 65.13%</v>
      </c>
      <c r="H126" s="55">
        <v>1</v>
      </c>
      <c r="I126" s="56">
        <f t="shared" si="71"/>
        <v>0.68500000000000039</v>
      </c>
      <c r="J126" s="56">
        <v>1.0000000000000004</v>
      </c>
      <c r="K126" s="56">
        <f t="shared" si="67"/>
        <v>1.0000000000000004</v>
      </c>
      <c r="L126" s="56">
        <f t="shared" si="70"/>
        <v>1.0000000000000004</v>
      </c>
      <c r="M126" s="56">
        <f t="shared" si="70"/>
        <v>1.0000000000000004</v>
      </c>
      <c r="N126" s="57">
        <f t="shared" si="68"/>
        <v>0.8080000000000005</v>
      </c>
      <c r="O126" s="16">
        <f t="shared" si="62"/>
        <v>46</v>
      </c>
      <c r="P126" s="17">
        <v>47</v>
      </c>
      <c r="Q126" s="17">
        <v>47</v>
      </c>
      <c r="R126" s="17">
        <v>46</v>
      </c>
      <c r="S126" s="17">
        <v>45</v>
      </c>
      <c r="T126" s="17">
        <v>46</v>
      </c>
      <c r="U126" s="58">
        <v>47</v>
      </c>
      <c r="V126" s="16">
        <f t="shared" si="57"/>
        <v>49</v>
      </c>
      <c r="W126" s="17">
        <f t="shared" si="58"/>
        <v>51</v>
      </c>
      <c r="X126" s="17">
        <f t="shared" si="58"/>
        <v>51</v>
      </c>
      <c r="Y126" s="17">
        <f t="shared" si="59"/>
        <v>47</v>
      </c>
      <c r="Z126" s="17">
        <f t="shared" si="45"/>
        <v>48</v>
      </c>
      <c r="AA126" s="17">
        <f t="shared" si="60"/>
        <v>47</v>
      </c>
      <c r="AB126" s="58">
        <f t="shared" si="61"/>
        <v>52</v>
      </c>
      <c r="AC126" s="67"/>
      <c r="AD126" s="67"/>
      <c r="AE126" s="67"/>
      <c r="AF126" s="67"/>
      <c r="AG126" s="67"/>
      <c r="AH126" s="67"/>
      <c r="AI126" s="73"/>
      <c r="AJ126" s="74"/>
      <c r="AK126" s="74"/>
      <c r="AL126" s="62">
        <v>0.66</v>
      </c>
      <c r="AM126" s="63">
        <v>0.7</v>
      </c>
      <c r="AN126" s="63">
        <v>0.8</v>
      </c>
      <c r="AO126" s="63">
        <v>0.55000000000000004</v>
      </c>
      <c r="AP126" s="64">
        <v>0.5</v>
      </c>
      <c r="AQ126" s="62">
        <f t="shared" si="47"/>
        <v>1</v>
      </c>
      <c r="AR126" s="65">
        <v>1</v>
      </c>
      <c r="AS126" s="62">
        <f t="shared" si="48"/>
        <v>0.68500000000000039</v>
      </c>
      <c r="AT126" s="65">
        <v>0.77800000000000047</v>
      </c>
      <c r="AU126" s="62">
        <f t="shared" si="49"/>
        <v>1.0000000000000004</v>
      </c>
      <c r="AV126" s="65">
        <v>1.0000000000000004</v>
      </c>
      <c r="AW126" s="62">
        <f t="shared" si="50"/>
        <v>1.0000000000000004</v>
      </c>
      <c r="AX126" s="65">
        <v>1</v>
      </c>
      <c r="AY126" s="62">
        <f t="shared" si="51"/>
        <v>1.0000000000000004</v>
      </c>
      <c r="AZ126" s="65">
        <v>1.0000000000000004</v>
      </c>
      <c r="BA126" s="62">
        <f t="shared" si="52"/>
        <v>1.0000000000000004</v>
      </c>
      <c r="BB126" s="65">
        <v>1</v>
      </c>
      <c r="BC126" s="62">
        <f t="shared" si="53"/>
        <v>0.8080000000000005</v>
      </c>
      <c r="BD126" s="65">
        <v>0.99000000000000066</v>
      </c>
      <c r="BE126" s="74"/>
      <c r="BF126" s="7"/>
      <c r="BG126" s="74"/>
      <c r="BH126" s="7"/>
      <c r="BI126" s="7"/>
      <c r="BJ126" s="7"/>
      <c r="BK126" s="7"/>
      <c r="BL126" s="7"/>
      <c r="BM126" s="7"/>
      <c r="BN126" s="7"/>
      <c r="BO126" s="7"/>
      <c r="BP126" s="7"/>
      <c r="BQ126" s="7"/>
    </row>
    <row r="127" spans="1:69" ht="19.8" thickBot="1" x14ac:dyDescent="0.35">
      <c r="A127" s="16">
        <v>125</v>
      </c>
      <c r="B127" s="52">
        <v>44797</v>
      </c>
      <c r="C127" s="53" t="str">
        <f t="shared" si="54"/>
        <v>1401/06/02</v>
      </c>
      <c r="D127" s="54">
        <v>0.82700000000000073</v>
      </c>
      <c r="E127" s="54">
        <v>0.65725500000000125</v>
      </c>
      <c r="F127" s="11" t="e">
        <f t="shared" si="55"/>
        <v>#N/A</v>
      </c>
      <c r="G127" s="38" t="str">
        <f t="shared" si="56"/>
        <v>تاریخ: 1401/06/02
درصد پیشرفت برنامه ای: 82.7%
درصد پیشرفت واقعی: 65.73%</v>
      </c>
      <c r="H127" s="55">
        <v>1</v>
      </c>
      <c r="I127" s="56">
        <f t="shared" si="71"/>
        <v>0.69000000000000039</v>
      </c>
      <c r="J127" s="56">
        <v>1.0000000000000004</v>
      </c>
      <c r="K127" s="56">
        <f t="shared" si="67"/>
        <v>1.0000000000000004</v>
      </c>
      <c r="L127" s="56">
        <f t="shared" si="70"/>
        <v>1.0000000000000004</v>
      </c>
      <c r="M127" s="56">
        <f t="shared" si="70"/>
        <v>1.0000000000000004</v>
      </c>
      <c r="N127" s="57">
        <f t="shared" si="68"/>
        <v>0.84000000000000052</v>
      </c>
      <c r="O127" s="16">
        <f t="shared" si="62"/>
        <v>47</v>
      </c>
      <c r="P127" s="17">
        <v>43</v>
      </c>
      <c r="Q127" s="17">
        <v>44</v>
      </c>
      <c r="R127" s="17">
        <v>42</v>
      </c>
      <c r="S127" s="17">
        <v>43</v>
      </c>
      <c r="T127" s="17">
        <v>45</v>
      </c>
      <c r="U127" s="58">
        <v>45</v>
      </c>
      <c r="V127" s="16">
        <f t="shared" si="57"/>
        <v>50</v>
      </c>
      <c r="W127" s="17">
        <f t="shared" si="58"/>
        <v>47</v>
      </c>
      <c r="X127" s="17">
        <f t="shared" si="58"/>
        <v>48</v>
      </c>
      <c r="Y127" s="17">
        <f t="shared" si="59"/>
        <v>43</v>
      </c>
      <c r="Z127" s="17">
        <f t="shared" si="45"/>
        <v>46</v>
      </c>
      <c r="AA127" s="17">
        <f t="shared" si="60"/>
        <v>46</v>
      </c>
      <c r="AB127" s="58">
        <f t="shared" si="61"/>
        <v>50</v>
      </c>
      <c r="AC127" s="67"/>
      <c r="AD127" s="67"/>
      <c r="AE127" s="67"/>
      <c r="AF127" s="67"/>
      <c r="AG127" s="67"/>
      <c r="AH127" s="67"/>
      <c r="AI127" s="73"/>
      <c r="AJ127" s="74"/>
      <c r="AK127" s="74"/>
      <c r="AL127" s="62">
        <v>0.55000000000000004</v>
      </c>
      <c r="AM127" s="63">
        <v>0.4</v>
      </c>
      <c r="AN127" s="63">
        <v>0.4</v>
      </c>
      <c r="AO127" s="63">
        <v>0.9</v>
      </c>
      <c r="AP127" s="64">
        <v>0.8</v>
      </c>
      <c r="AQ127" s="62">
        <f t="shared" si="47"/>
        <v>1</v>
      </c>
      <c r="AR127" s="65">
        <v>1</v>
      </c>
      <c r="AS127" s="62">
        <f t="shared" si="48"/>
        <v>0.69000000000000039</v>
      </c>
      <c r="AT127" s="65">
        <f t="shared" si="69"/>
        <v>0.78500000000000048</v>
      </c>
      <c r="AU127" s="62">
        <f t="shared" si="49"/>
        <v>1.0000000000000004</v>
      </c>
      <c r="AV127" s="65">
        <v>1.0000000000000004</v>
      </c>
      <c r="AW127" s="62">
        <f t="shared" si="50"/>
        <v>1.0000000000000004</v>
      </c>
      <c r="AX127" s="65">
        <v>1</v>
      </c>
      <c r="AY127" s="62">
        <f t="shared" si="51"/>
        <v>1.0000000000000004</v>
      </c>
      <c r="AZ127" s="65">
        <v>1.0000000000000004</v>
      </c>
      <c r="BA127" s="62">
        <f t="shared" si="52"/>
        <v>1.0000000000000004</v>
      </c>
      <c r="BB127" s="65">
        <v>1</v>
      </c>
      <c r="BC127" s="62">
        <f t="shared" si="53"/>
        <v>0.84000000000000052</v>
      </c>
      <c r="BD127" s="65">
        <v>1</v>
      </c>
      <c r="BE127" s="74"/>
      <c r="BF127" s="7"/>
      <c r="BG127" s="74"/>
      <c r="BH127" s="7"/>
      <c r="BI127" s="7"/>
      <c r="BJ127" s="7"/>
      <c r="BK127" s="7"/>
      <c r="BL127" s="7"/>
      <c r="BM127" s="7"/>
      <c r="BN127" s="7"/>
      <c r="BO127" s="7"/>
      <c r="BP127" s="7"/>
      <c r="BQ127" s="7"/>
    </row>
    <row r="128" spans="1:69" ht="19.8" thickBot="1" x14ac:dyDescent="0.35">
      <c r="A128" s="16">
        <v>126</v>
      </c>
      <c r="B128" s="52">
        <v>44804</v>
      </c>
      <c r="C128" s="53" t="str">
        <f t="shared" si="54"/>
        <v>1401/06/09</v>
      </c>
      <c r="D128" s="54">
        <v>0.83300000000000074</v>
      </c>
      <c r="E128" s="54">
        <v>0.66320100000000126</v>
      </c>
      <c r="F128" s="11" t="e">
        <f t="shared" si="55"/>
        <v>#N/A</v>
      </c>
      <c r="G128" s="38" t="str">
        <f t="shared" si="56"/>
        <v>تاریخ: 1401/06/09
درصد پیشرفت برنامه ای: 83.3%
درصد پیشرفت واقعی: 66.32%</v>
      </c>
      <c r="H128" s="55">
        <v>1</v>
      </c>
      <c r="I128" s="56">
        <f t="shared" si="71"/>
        <v>0.6950000000000004</v>
      </c>
      <c r="J128" s="56">
        <v>1.0000000000000004</v>
      </c>
      <c r="K128" s="56">
        <f t="shared" si="67"/>
        <v>1.0000000000000004</v>
      </c>
      <c r="L128" s="56">
        <f t="shared" si="70"/>
        <v>1.0000000000000004</v>
      </c>
      <c r="M128" s="56">
        <f t="shared" si="70"/>
        <v>1.0000000000000004</v>
      </c>
      <c r="N128" s="57">
        <f t="shared" si="68"/>
        <v>0.87200000000000055</v>
      </c>
      <c r="O128" s="16">
        <f t="shared" si="62"/>
        <v>45</v>
      </c>
      <c r="P128" s="17">
        <v>46</v>
      </c>
      <c r="Q128" s="17">
        <v>45</v>
      </c>
      <c r="R128" s="17">
        <v>46</v>
      </c>
      <c r="S128" s="17">
        <v>47</v>
      </c>
      <c r="T128" s="17">
        <v>47</v>
      </c>
      <c r="U128" s="58">
        <v>46</v>
      </c>
      <c r="V128" s="16">
        <f t="shared" si="57"/>
        <v>48</v>
      </c>
      <c r="W128" s="17">
        <f t="shared" si="58"/>
        <v>50</v>
      </c>
      <c r="X128" s="17">
        <f t="shared" si="58"/>
        <v>49</v>
      </c>
      <c r="Y128" s="17">
        <f t="shared" si="59"/>
        <v>47</v>
      </c>
      <c r="Z128" s="17">
        <f t="shared" si="45"/>
        <v>50</v>
      </c>
      <c r="AA128" s="17">
        <f t="shared" si="60"/>
        <v>48</v>
      </c>
      <c r="AB128" s="58">
        <f t="shared" si="61"/>
        <v>51</v>
      </c>
      <c r="AC128" s="67"/>
      <c r="AD128" s="67"/>
      <c r="AE128" s="67"/>
      <c r="AF128" s="67"/>
      <c r="AG128" s="67"/>
      <c r="AH128" s="67"/>
      <c r="AI128" s="73"/>
      <c r="AJ128" s="74"/>
      <c r="AK128" s="74"/>
      <c r="AL128" s="62">
        <v>0.7</v>
      </c>
      <c r="AM128" s="63">
        <v>0.55000000000000004</v>
      </c>
      <c r="AN128" s="63">
        <v>0.1</v>
      </c>
      <c r="AO128" s="63">
        <v>0.4</v>
      </c>
      <c r="AP128" s="64">
        <v>0.9</v>
      </c>
      <c r="AQ128" s="62">
        <f t="shared" si="47"/>
        <v>1</v>
      </c>
      <c r="AR128" s="65">
        <v>1</v>
      </c>
      <c r="AS128" s="62">
        <f t="shared" si="48"/>
        <v>0.6950000000000004</v>
      </c>
      <c r="AT128" s="65">
        <f t="shared" si="69"/>
        <v>0.79200000000000048</v>
      </c>
      <c r="AU128" s="62">
        <f t="shared" si="49"/>
        <v>1.0000000000000004</v>
      </c>
      <c r="AV128" s="65">
        <v>1.0000000000000004</v>
      </c>
      <c r="AW128" s="62">
        <f t="shared" si="50"/>
        <v>1.0000000000000004</v>
      </c>
      <c r="AX128" s="65">
        <v>1</v>
      </c>
      <c r="AY128" s="62">
        <f t="shared" si="51"/>
        <v>1.0000000000000004</v>
      </c>
      <c r="AZ128" s="65">
        <v>1.0000000000000004</v>
      </c>
      <c r="BA128" s="62">
        <f t="shared" si="52"/>
        <v>1.0000000000000004</v>
      </c>
      <c r="BB128" s="65">
        <v>1</v>
      </c>
      <c r="BC128" s="62">
        <f t="shared" si="53"/>
        <v>0.87200000000000055</v>
      </c>
      <c r="BD128" s="65">
        <v>1</v>
      </c>
      <c r="BE128" s="74"/>
      <c r="BF128" s="7"/>
      <c r="BG128" s="74"/>
      <c r="BH128" s="7"/>
      <c r="BI128" s="7"/>
      <c r="BJ128" s="7"/>
      <c r="BK128" s="7"/>
      <c r="BL128" s="7"/>
      <c r="BM128" s="7"/>
      <c r="BN128" s="7"/>
      <c r="BO128" s="7"/>
      <c r="BP128" s="7"/>
      <c r="BQ128" s="7"/>
    </row>
    <row r="129" spans="1:69" ht="19.8" thickBot="1" x14ac:dyDescent="0.35">
      <c r="A129" s="16">
        <v>127</v>
      </c>
      <c r="B129" s="52">
        <v>44811</v>
      </c>
      <c r="C129" s="53" t="str">
        <f t="shared" si="54"/>
        <v>1401/06/16</v>
      </c>
      <c r="D129" s="54">
        <v>0.83900000000000075</v>
      </c>
      <c r="E129" s="54">
        <v>0.66320100000000126</v>
      </c>
      <c r="F129" s="11" t="e">
        <f t="shared" si="55"/>
        <v>#N/A</v>
      </c>
      <c r="G129" s="38" t="str">
        <f t="shared" si="56"/>
        <v>تاریخ: 1401/06/16
درصد پیشرفت برنامه ای: 83.9%
درصد پیشرفت واقعی: 66.32%</v>
      </c>
      <c r="H129" s="55">
        <v>1</v>
      </c>
      <c r="I129" s="56">
        <f t="shared" si="71"/>
        <v>0.7000000000000004</v>
      </c>
      <c r="J129" s="56">
        <v>1.0000000000000004</v>
      </c>
      <c r="K129" s="56">
        <f t="shared" si="67"/>
        <v>1.0000000000000004</v>
      </c>
      <c r="L129" s="56">
        <f t="shared" si="70"/>
        <v>1.0000000000000004</v>
      </c>
      <c r="M129" s="56">
        <f t="shared" si="70"/>
        <v>1.0000000000000004</v>
      </c>
      <c r="N129" s="57">
        <f t="shared" si="68"/>
        <v>0.90400000000000058</v>
      </c>
      <c r="O129" s="16">
        <f t="shared" si="62"/>
        <v>46</v>
      </c>
      <c r="P129" s="17">
        <v>43</v>
      </c>
      <c r="Q129" s="17">
        <v>44</v>
      </c>
      <c r="R129" s="17">
        <v>42</v>
      </c>
      <c r="S129" s="17">
        <v>43</v>
      </c>
      <c r="T129" s="17">
        <v>45</v>
      </c>
      <c r="U129" s="58">
        <v>45</v>
      </c>
      <c r="V129" s="16">
        <f t="shared" si="57"/>
        <v>49</v>
      </c>
      <c r="W129" s="17">
        <f t="shared" si="58"/>
        <v>47</v>
      </c>
      <c r="X129" s="17">
        <f t="shared" si="58"/>
        <v>48</v>
      </c>
      <c r="Y129" s="17">
        <f t="shared" si="59"/>
        <v>43</v>
      </c>
      <c r="Z129" s="17">
        <f t="shared" si="45"/>
        <v>46</v>
      </c>
      <c r="AA129" s="17">
        <f t="shared" si="60"/>
        <v>46</v>
      </c>
      <c r="AB129" s="58">
        <f t="shared" si="61"/>
        <v>50</v>
      </c>
      <c r="AC129" s="67"/>
      <c r="AD129" s="67"/>
      <c r="AE129" s="67"/>
      <c r="AF129" s="67"/>
      <c r="AG129" s="67"/>
      <c r="AH129" s="67"/>
      <c r="AI129" s="73"/>
      <c r="AJ129" s="74"/>
      <c r="AK129" s="74"/>
      <c r="AL129" s="62">
        <v>0.4</v>
      </c>
      <c r="AM129" s="63">
        <v>0.69</v>
      </c>
      <c r="AN129" s="63">
        <v>0.5</v>
      </c>
      <c r="AO129" s="63">
        <v>0.2</v>
      </c>
      <c r="AP129" s="64">
        <v>0.4</v>
      </c>
      <c r="AQ129" s="62">
        <f t="shared" si="47"/>
        <v>1</v>
      </c>
      <c r="AR129" s="65">
        <v>1</v>
      </c>
      <c r="AS129" s="62">
        <f t="shared" si="48"/>
        <v>0.7000000000000004</v>
      </c>
      <c r="AT129" s="65">
        <f t="shared" si="69"/>
        <v>0.79900000000000049</v>
      </c>
      <c r="AU129" s="62">
        <f t="shared" si="49"/>
        <v>1.0000000000000004</v>
      </c>
      <c r="AV129" s="65">
        <v>1.0000000000000004</v>
      </c>
      <c r="AW129" s="62">
        <f t="shared" si="50"/>
        <v>1.0000000000000004</v>
      </c>
      <c r="AX129" s="65">
        <v>1</v>
      </c>
      <c r="AY129" s="62">
        <f t="shared" si="51"/>
        <v>1.0000000000000004</v>
      </c>
      <c r="AZ129" s="65">
        <v>1.0000000000000004</v>
      </c>
      <c r="BA129" s="62">
        <f t="shared" si="52"/>
        <v>1.0000000000000004</v>
      </c>
      <c r="BB129" s="65">
        <v>1</v>
      </c>
      <c r="BC129" s="62">
        <f t="shared" si="53"/>
        <v>0.90400000000000058</v>
      </c>
      <c r="BD129" s="65">
        <v>1</v>
      </c>
      <c r="BE129" s="74"/>
      <c r="BF129" s="7"/>
      <c r="BG129" s="74"/>
      <c r="BH129" s="7"/>
      <c r="BI129" s="7"/>
      <c r="BJ129" s="7"/>
      <c r="BK129" s="7"/>
      <c r="BL129" s="7"/>
      <c r="BM129" s="7"/>
      <c r="BN129" s="7"/>
      <c r="BO129" s="7"/>
      <c r="BP129" s="7"/>
      <c r="BQ129" s="7"/>
    </row>
    <row r="130" spans="1:69" ht="19.8" thickBot="1" x14ac:dyDescent="0.35">
      <c r="A130" s="16">
        <v>128</v>
      </c>
      <c r="B130" s="52">
        <v>44818</v>
      </c>
      <c r="C130" s="53" t="str">
        <f t="shared" si="54"/>
        <v>1401/06/23</v>
      </c>
      <c r="D130" s="54">
        <v>0.84500000000000075</v>
      </c>
      <c r="E130" s="54">
        <v>0.66320100000000126</v>
      </c>
      <c r="F130" s="11" t="e">
        <f t="shared" si="55"/>
        <v>#N/A</v>
      </c>
      <c r="G130" s="38" t="str">
        <f t="shared" si="56"/>
        <v>تاریخ: 1401/06/23
درصد پیشرفت برنامه ای: 84.5%
درصد پیشرفت واقعی: 66.32%</v>
      </c>
      <c r="H130" s="55">
        <v>1</v>
      </c>
      <c r="I130" s="56">
        <f t="shared" si="71"/>
        <v>0.7050000000000004</v>
      </c>
      <c r="J130" s="56">
        <v>1.0000000000000004</v>
      </c>
      <c r="K130" s="56">
        <f t="shared" si="67"/>
        <v>1.0000000000000004</v>
      </c>
      <c r="L130" s="56">
        <f t="shared" si="70"/>
        <v>1.0000000000000004</v>
      </c>
      <c r="M130" s="56">
        <f t="shared" si="70"/>
        <v>1.0000000000000004</v>
      </c>
      <c r="N130" s="57">
        <f t="shared" si="68"/>
        <v>0.93600000000000061</v>
      </c>
      <c r="O130" s="16">
        <f t="shared" si="62"/>
        <v>45</v>
      </c>
      <c r="P130" s="17">
        <v>40</v>
      </c>
      <c r="Q130" s="17">
        <v>41</v>
      </c>
      <c r="R130" s="17">
        <v>40</v>
      </c>
      <c r="S130" s="17">
        <v>42</v>
      </c>
      <c r="T130" s="17">
        <v>43</v>
      </c>
      <c r="U130" s="58">
        <v>42</v>
      </c>
      <c r="V130" s="16">
        <f t="shared" si="57"/>
        <v>48</v>
      </c>
      <c r="W130" s="17">
        <f t="shared" si="58"/>
        <v>44</v>
      </c>
      <c r="X130" s="17">
        <f t="shared" si="58"/>
        <v>45</v>
      </c>
      <c r="Y130" s="17">
        <f t="shared" si="59"/>
        <v>41</v>
      </c>
      <c r="Z130" s="17">
        <f t="shared" si="45"/>
        <v>45</v>
      </c>
      <c r="AA130" s="17">
        <f t="shared" si="60"/>
        <v>44</v>
      </c>
      <c r="AB130" s="58">
        <f t="shared" si="61"/>
        <v>47</v>
      </c>
      <c r="AC130" s="67"/>
      <c r="AD130" s="67"/>
      <c r="AE130" s="67"/>
      <c r="AF130" s="67"/>
      <c r="AG130" s="67"/>
      <c r="AH130" s="67"/>
      <c r="AI130" s="73"/>
      <c r="AJ130" s="74"/>
      <c r="AK130" s="74"/>
      <c r="AL130" s="62">
        <v>0.35</v>
      </c>
      <c r="AM130" s="63">
        <v>0.4</v>
      </c>
      <c r="AN130" s="63">
        <v>0.9</v>
      </c>
      <c r="AO130" s="63">
        <v>0.8</v>
      </c>
      <c r="AP130" s="64">
        <v>0.2</v>
      </c>
      <c r="AQ130" s="62">
        <f t="shared" si="47"/>
        <v>1</v>
      </c>
      <c r="AR130" s="65">
        <v>1</v>
      </c>
      <c r="AS130" s="62">
        <f t="shared" si="48"/>
        <v>0.7050000000000004</v>
      </c>
      <c r="AT130" s="65">
        <f t="shared" si="69"/>
        <v>0.80600000000000049</v>
      </c>
      <c r="AU130" s="62">
        <f t="shared" si="49"/>
        <v>1.0000000000000004</v>
      </c>
      <c r="AV130" s="65">
        <v>1.0000000000000004</v>
      </c>
      <c r="AW130" s="62">
        <f t="shared" si="50"/>
        <v>1.0000000000000004</v>
      </c>
      <c r="AX130" s="65">
        <v>1</v>
      </c>
      <c r="AY130" s="62">
        <f t="shared" si="51"/>
        <v>1.0000000000000004</v>
      </c>
      <c r="AZ130" s="65">
        <v>1.0000000000000004</v>
      </c>
      <c r="BA130" s="62">
        <f t="shared" si="52"/>
        <v>1.0000000000000004</v>
      </c>
      <c r="BB130" s="65">
        <v>1</v>
      </c>
      <c r="BC130" s="62">
        <f t="shared" si="53"/>
        <v>0.93600000000000061</v>
      </c>
      <c r="BD130" s="65">
        <v>1</v>
      </c>
      <c r="BE130" s="74"/>
      <c r="BF130" s="7"/>
      <c r="BG130" s="74"/>
      <c r="BH130" s="7"/>
      <c r="BI130" s="7"/>
      <c r="BJ130" s="7"/>
      <c r="BK130" s="7"/>
      <c r="BL130" s="7"/>
      <c r="BM130" s="7"/>
      <c r="BN130" s="7"/>
      <c r="BO130" s="7"/>
      <c r="BP130" s="7"/>
      <c r="BQ130" s="7"/>
    </row>
    <row r="131" spans="1:69" ht="19.8" thickBot="1" x14ac:dyDescent="0.35">
      <c r="A131" s="16">
        <v>129</v>
      </c>
      <c r="B131" s="52">
        <v>44825</v>
      </c>
      <c r="C131" s="53" t="str">
        <f t="shared" si="54"/>
        <v>1401/06/30</v>
      </c>
      <c r="D131" s="54">
        <v>0.85100000000000076</v>
      </c>
      <c r="E131" s="54">
        <v>0.66320100000000126</v>
      </c>
      <c r="F131" s="11" t="e">
        <f t="shared" si="55"/>
        <v>#N/A</v>
      </c>
      <c r="G131" s="38" t="str">
        <f t="shared" si="56"/>
        <v>تاریخ: 1401/06/30
درصد پیشرفت برنامه ای: 85.1%
درصد پیشرفت واقعی: 66.32%</v>
      </c>
      <c r="H131" s="55">
        <v>1</v>
      </c>
      <c r="I131" s="56">
        <f t="shared" si="71"/>
        <v>0.71000000000000041</v>
      </c>
      <c r="J131" s="56">
        <v>1.0000000000000004</v>
      </c>
      <c r="K131" s="56">
        <f t="shared" si="67"/>
        <v>1.0000000000000004</v>
      </c>
      <c r="L131" s="56">
        <f t="shared" si="70"/>
        <v>1.0000000000000004</v>
      </c>
      <c r="M131" s="56">
        <f t="shared" si="70"/>
        <v>1.0000000000000004</v>
      </c>
      <c r="N131" s="57">
        <f t="shared" si="68"/>
        <v>0.96800000000000064</v>
      </c>
      <c r="O131" s="16">
        <f t="shared" si="62"/>
        <v>42</v>
      </c>
      <c r="P131" s="17">
        <v>36</v>
      </c>
      <c r="Q131" s="17">
        <v>37</v>
      </c>
      <c r="R131" s="17">
        <v>36</v>
      </c>
      <c r="S131" s="17">
        <v>38</v>
      </c>
      <c r="T131" s="17">
        <v>36</v>
      </c>
      <c r="U131" s="58">
        <v>36</v>
      </c>
      <c r="V131" s="16">
        <f t="shared" si="57"/>
        <v>45</v>
      </c>
      <c r="W131" s="17">
        <f t="shared" si="58"/>
        <v>40</v>
      </c>
      <c r="X131" s="17">
        <f t="shared" si="58"/>
        <v>41</v>
      </c>
      <c r="Y131" s="17">
        <f t="shared" si="59"/>
        <v>37</v>
      </c>
      <c r="Z131" s="17">
        <f t="shared" ref="Z131:Z194" si="72">S131+3</f>
        <v>41</v>
      </c>
      <c r="AA131" s="17">
        <f t="shared" si="60"/>
        <v>37</v>
      </c>
      <c r="AB131" s="58">
        <f t="shared" si="61"/>
        <v>41</v>
      </c>
      <c r="AC131" s="67"/>
      <c r="AD131" s="67"/>
      <c r="AE131" s="67"/>
      <c r="AF131" s="67"/>
      <c r="AG131" s="67"/>
      <c r="AH131" s="67"/>
      <c r="AI131" s="73"/>
      <c r="AJ131" s="74"/>
      <c r="AK131" s="74"/>
      <c r="AL131" s="62">
        <v>0.85</v>
      </c>
      <c r="AM131" s="63">
        <v>0.8</v>
      </c>
      <c r="AN131" s="63">
        <v>0.5</v>
      </c>
      <c r="AO131" s="63">
        <v>0.6</v>
      </c>
      <c r="AP131" s="64">
        <v>0.6</v>
      </c>
      <c r="AQ131" s="62">
        <f t="shared" ref="AQ131:AQ194" si="73">H131</f>
        <v>1</v>
      </c>
      <c r="AR131" s="65">
        <v>1</v>
      </c>
      <c r="AS131" s="62">
        <f t="shared" ref="AS131:AS194" si="74">I131</f>
        <v>0.71000000000000041</v>
      </c>
      <c r="AT131" s="65">
        <f t="shared" si="69"/>
        <v>0.8130000000000005</v>
      </c>
      <c r="AU131" s="62">
        <f t="shared" ref="AU131:AU194" si="75">J131</f>
        <v>1.0000000000000004</v>
      </c>
      <c r="AV131" s="65">
        <v>1.0000000000000004</v>
      </c>
      <c r="AW131" s="62">
        <f t="shared" ref="AW131:AW194" si="76">K131</f>
        <v>1.0000000000000004</v>
      </c>
      <c r="AX131" s="65">
        <v>1</v>
      </c>
      <c r="AY131" s="62">
        <f t="shared" ref="AY131:AY194" si="77">L131</f>
        <v>1.0000000000000004</v>
      </c>
      <c r="AZ131" s="65">
        <v>1.0000000000000004</v>
      </c>
      <c r="BA131" s="62">
        <f t="shared" ref="BA131:BA194" si="78">M131</f>
        <v>1.0000000000000004</v>
      </c>
      <c r="BB131" s="65">
        <v>1</v>
      </c>
      <c r="BC131" s="62">
        <f t="shared" ref="BC131:BC194" si="79">N131</f>
        <v>0.96800000000000064</v>
      </c>
      <c r="BD131" s="65">
        <v>1</v>
      </c>
      <c r="BE131" s="74"/>
      <c r="BF131" s="7"/>
      <c r="BG131" s="74"/>
      <c r="BH131" s="7"/>
      <c r="BI131" s="7"/>
      <c r="BJ131" s="7"/>
      <c r="BK131" s="7"/>
      <c r="BL131" s="7"/>
      <c r="BM131" s="7"/>
      <c r="BN131" s="7"/>
      <c r="BO131" s="7"/>
      <c r="BP131" s="7"/>
      <c r="BQ131" s="7"/>
    </row>
    <row r="132" spans="1:69" ht="19.8" thickBot="1" x14ac:dyDescent="0.35">
      <c r="A132" s="16">
        <v>130</v>
      </c>
      <c r="B132" s="52">
        <v>44832</v>
      </c>
      <c r="C132" s="53" t="str">
        <f t="shared" ref="C132:C195" si="80">TEXT(B132,"[$-fa-IR,16]yyyy/mm/dd")</f>
        <v>1401/07/06</v>
      </c>
      <c r="D132" s="54">
        <v>0.85700000000000076</v>
      </c>
      <c r="E132" s="54">
        <v>0.66320100000000126</v>
      </c>
      <c r="F132" s="11" t="e">
        <f t="shared" ref="F132:F195" si="81">IF($F$2=A132,E132,NA())</f>
        <v>#N/A</v>
      </c>
      <c r="G132" s="38" t="str">
        <f t="shared" ref="G132:G195" si="82">"تاریخ: "&amp;C132&amp;CHAR(10)&amp;"درصد پیشرفت برنامه ای: "&amp;ROUND(D132*100,2)&amp;"%"&amp;CHAR(10)&amp;"درصد پیشرفت واقعی: "&amp;ROUND(E132*100,2)&amp;"%"</f>
        <v>تاریخ: 1401/07/06
درصد پیشرفت برنامه ای: 85.7%
درصد پیشرفت واقعی: 66.32%</v>
      </c>
      <c r="H132" s="55">
        <v>1</v>
      </c>
      <c r="I132" s="56">
        <f t="shared" si="71"/>
        <v>0.71500000000000041</v>
      </c>
      <c r="J132" s="56">
        <v>1.0000000000000004</v>
      </c>
      <c r="K132" s="56">
        <f t="shared" si="67"/>
        <v>1.0000000000000004</v>
      </c>
      <c r="L132" s="56">
        <f t="shared" si="70"/>
        <v>1.0000000000000004</v>
      </c>
      <c r="M132" s="56">
        <f t="shared" si="70"/>
        <v>1.0000000000000004</v>
      </c>
      <c r="N132" s="57">
        <f t="shared" si="68"/>
        <v>1.0000000000000004</v>
      </c>
      <c r="O132" s="16">
        <f t="shared" si="62"/>
        <v>36</v>
      </c>
      <c r="P132" s="17">
        <v>22</v>
      </c>
      <c r="Q132" s="17">
        <v>22</v>
      </c>
      <c r="R132" s="17">
        <v>23</v>
      </c>
      <c r="S132" s="17">
        <v>21</v>
      </c>
      <c r="T132" s="17">
        <v>22</v>
      </c>
      <c r="U132" s="58">
        <v>24</v>
      </c>
      <c r="V132" s="16">
        <f t="shared" ref="V132:V195" si="83">O132+3</f>
        <v>39</v>
      </c>
      <c r="W132" s="17">
        <f t="shared" ref="W132:X195" si="84">P132+4</f>
        <v>26</v>
      </c>
      <c r="X132" s="17">
        <f t="shared" si="84"/>
        <v>26</v>
      </c>
      <c r="Y132" s="17">
        <f t="shared" ref="Y132:Y195" si="85">R132+1</f>
        <v>24</v>
      </c>
      <c r="Z132" s="17">
        <f t="shared" si="72"/>
        <v>24</v>
      </c>
      <c r="AA132" s="17">
        <f t="shared" ref="AA132:AA195" si="86">T132+1</f>
        <v>23</v>
      </c>
      <c r="AB132" s="58">
        <f t="shared" ref="AB132:AB195" si="87">U132+5</f>
        <v>29</v>
      </c>
      <c r="AC132" s="67"/>
      <c r="AD132" s="67"/>
      <c r="AE132" s="67"/>
      <c r="AF132" s="67"/>
      <c r="AG132" s="67"/>
      <c r="AH132" s="67"/>
      <c r="AI132" s="73"/>
      <c r="AJ132" s="74"/>
      <c r="AK132" s="74"/>
      <c r="AL132" s="62">
        <v>0.9</v>
      </c>
      <c r="AM132" s="63">
        <v>0.95</v>
      </c>
      <c r="AN132" s="63">
        <v>0.8</v>
      </c>
      <c r="AO132" s="63">
        <v>0.7</v>
      </c>
      <c r="AP132" s="64">
        <v>0.1</v>
      </c>
      <c r="AQ132" s="62">
        <f t="shared" si="73"/>
        <v>1</v>
      </c>
      <c r="AR132" s="65">
        <v>1</v>
      </c>
      <c r="AS132" s="62">
        <f t="shared" si="74"/>
        <v>0.71500000000000041</v>
      </c>
      <c r="AT132" s="65">
        <f t="shared" si="69"/>
        <v>0.82000000000000051</v>
      </c>
      <c r="AU132" s="62">
        <f t="shared" si="75"/>
        <v>1.0000000000000004</v>
      </c>
      <c r="AV132" s="65">
        <v>1.0000000000000004</v>
      </c>
      <c r="AW132" s="62">
        <f t="shared" si="76"/>
        <v>1.0000000000000004</v>
      </c>
      <c r="AX132" s="65">
        <v>1</v>
      </c>
      <c r="AY132" s="62">
        <f t="shared" si="77"/>
        <v>1.0000000000000004</v>
      </c>
      <c r="AZ132" s="65">
        <v>1.0000000000000004</v>
      </c>
      <c r="BA132" s="62">
        <f t="shared" si="78"/>
        <v>1.0000000000000004</v>
      </c>
      <c r="BB132" s="65">
        <v>1</v>
      </c>
      <c r="BC132" s="62">
        <f t="shared" si="79"/>
        <v>1.0000000000000004</v>
      </c>
      <c r="BD132" s="65">
        <v>1</v>
      </c>
      <c r="BE132" s="74"/>
      <c r="BF132" s="7"/>
      <c r="BG132" s="74"/>
      <c r="BH132" s="7"/>
      <c r="BI132" s="7"/>
      <c r="BJ132" s="7"/>
      <c r="BK132" s="7"/>
      <c r="BL132" s="7"/>
      <c r="BM132" s="7"/>
      <c r="BN132" s="7"/>
      <c r="BO132" s="7"/>
      <c r="BP132" s="7"/>
      <c r="BQ132" s="7"/>
    </row>
    <row r="133" spans="1:69" ht="19.8" thickBot="1" x14ac:dyDescent="0.35">
      <c r="A133" s="16">
        <v>131</v>
      </c>
      <c r="B133" s="52">
        <v>44839</v>
      </c>
      <c r="C133" s="53" t="str">
        <f t="shared" si="80"/>
        <v>1401/07/13</v>
      </c>
      <c r="D133" s="54">
        <v>0.86300000000000077</v>
      </c>
      <c r="E133" s="54">
        <v>0.66932700000000123</v>
      </c>
      <c r="F133" s="11">
        <f t="shared" si="81"/>
        <v>0.66932700000000123</v>
      </c>
      <c r="G133" s="38" t="str">
        <f t="shared" si="82"/>
        <v>تاریخ: 1401/07/13
درصد پیشرفت برنامه ای: 86.3%
درصد پیشرفت واقعی: 66.93%</v>
      </c>
      <c r="H133" s="55">
        <v>1</v>
      </c>
      <c r="I133" s="56">
        <f t="shared" si="71"/>
        <v>0.72000000000000042</v>
      </c>
      <c r="J133" s="56">
        <v>1.0000000000000004</v>
      </c>
      <c r="K133" s="56">
        <f t="shared" si="67"/>
        <v>1.0000000000000004</v>
      </c>
      <c r="L133" s="56">
        <f t="shared" si="70"/>
        <v>1.0000000000000004</v>
      </c>
      <c r="M133" s="56">
        <f t="shared" si="70"/>
        <v>1.0000000000000004</v>
      </c>
      <c r="N133" s="57">
        <f t="shared" si="68"/>
        <v>1.0000000000000004</v>
      </c>
      <c r="O133" s="16">
        <f t="shared" ref="O133:O196" si="88">U132</f>
        <v>24</v>
      </c>
      <c r="P133" s="17">
        <v>23</v>
      </c>
      <c r="Q133" s="17">
        <v>24</v>
      </c>
      <c r="R133" s="17">
        <v>23</v>
      </c>
      <c r="S133" s="17">
        <v>25</v>
      </c>
      <c r="T133" s="17">
        <v>25</v>
      </c>
      <c r="U133" s="58">
        <v>26</v>
      </c>
      <c r="V133" s="16">
        <f t="shared" si="83"/>
        <v>27</v>
      </c>
      <c r="W133" s="17">
        <f t="shared" si="84"/>
        <v>27</v>
      </c>
      <c r="X133" s="17">
        <f t="shared" si="84"/>
        <v>28</v>
      </c>
      <c r="Y133" s="17">
        <f t="shared" si="85"/>
        <v>24</v>
      </c>
      <c r="Z133" s="17">
        <f t="shared" si="72"/>
        <v>28</v>
      </c>
      <c r="AA133" s="17">
        <f t="shared" si="86"/>
        <v>26</v>
      </c>
      <c r="AB133" s="58">
        <f t="shared" si="87"/>
        <v>31</v>
      </c>
      <c r="AC133" s="67"/>
      <c r="AD133" s="67"/>
      <c r="AE133" s="67"/>
      <c r="AF133" s="67"/>
      <c r="AG133" s="67"/>
      <c r="AH133" s="67"/>
      <c r="AI133" s="73"/>
      <c r="AJ133" s="74"/>
      <c r="AK133" s="74"/>
      <c r="AL133" s="62">
        <v>0.7</v>
      </c>
      <c r="AM133" s="63">
        <v>0.68</v>
      </c>
      <c r="AN133" s="63">
        <v>0.5</v>
      </c>
      <c r="AO133" s="63">
        <v>0.9</v>
      </c>
      <c r="AP133" s="64">
        <v>0.55000000000000004</v>
      </c>
      <c r="AQ133" s="62">
        <f t="shared" si="73"/>
        <v>1</v>
      </c>
      <c r="AR133" s="65">
        <v>1</v>
      </c>
      <c r="AS133" s="62">
        <f t="shared" si="74"/>
        <v>0.72000000000000042</v>
      </c>
      <c r="AT133" s="65">
        <f>AT132+0.2%</f>
        <v>0.82200000000000051</v>
      </c>
      <c r="AU133" s="62">
        <f t="shared" si="75"/>
        <v>1.0000000000000004</v>
      </c>
      <c r="AV133" s="65">
        <v>1.0000000000000004</v>
      </c>
      <c r="AW133" s="62">
        <f t="shared" si="76"/>
        <v>1.0000000000000004</v>
      </c>
      <c r="AX133" s="65">
        <v>1</v>
      </c>
      <c r="AY133" s="62">
        <f t="shared" si="77"/>
        <v>1.0000000000000004</v>
      </c>
      <c r="AZ133" s="65">
        <v>1.0000000000000004</v>
      </c>
      <c r="BA133" s="62">
        <f t="shared" si="78"/>
        <v>1.0000000000000004</v>
      </c>
      <c r="BB133" s="65">
        <v>1</v>
      </c>
      <c r="BC133" s="62">
        <f t="shared" si="79"/>
        <v>1.0000000000000004</v>
      </c>
      <c r="BD133" s="65">
        <v>1</v>
      </c>
      <c r="BE133" s="74"/>
      <c r="BF133" s="7"/>
      <c r="BG133" s="74"/>
      <c r="BH133" s="7"/>
      <c r="BI133" s="7"/>
      <c r="BJ133" s="7"/>
      <c r="BK133" s="7"/>
      <c r="BL133" s="7"/>
      <c r="BM133" s="7"/>
      <c r="BN133" s="7"/>
      <c r="BO133" s="7"/>
      <c r="BP133" s="7"/>
      <c r="BQ133" s="7"/>
    </row>
    <row r="134" spans="1:69" ht="19.8" thickBot="1" x14ac:dyDescent="0.35">
      <c r="A134" s="16">
        <v>132</v>
      </c>
      <c r="B134" s="52">
        <v>44846</v>
      </c>
      <c r="C134" s="53" t="str">
        <f t="shared" si="80"/>
        <v>1401/07/20</v>
      </c>
      <c r="D134" s="54">
        <v>0.86900000000000077</v>
      </c>
      <c r="E134" s="54">
        <v>0.67545300000000119</v>
      </c>
      <c r="F134" s="11" t="e">
        <f t="shared" si="81"/>
        <v>#N/A</v>
      </c>
      <c r="G134" s="38" t="str">
        <f t="shared" si="82"/>
        <v>تاریخ: 1401/07/20
درصد پیشرفت برنامه ای: 86.9%
درصد پیشرفت واقعی: 67.55%</v>
      </c>
      <c r="H134" s="55">
        <v>1</v>
      </c>
      <c r="I134" s="56">
        <f t="shared" si="71"/>
        <v>0.72500000000000042</v>
      </c>
      <c r="J134" s="56">
        <v>1.0000000000000004</v>
      </c>
      <c r="K134" s="56">
        <f t="shared" si="67"/>
        <v>1.0000000000000004</v>
      </c>
      <c r="L134" s="56">
        <f t="shared" si="70"/>
        <v>1.0000000000000004</v>
      </c>
      <c r="M134" s="56">
        <f t="shared" si="70"/>
        <v>1.0000000000000004</v>
      </c>
      <c r="N134" s="57">
        <f t="shared" si="68"/>
        <v>1.0000000000000004</v>
      </c>
      <c r="O134" s="16">
        <f t="shared" si="88"/>
        <v>26</v>
      </c>
      <c r="P134" s="17">
        <v>25</v>
      </c>
      <c r="Q134" s="17">
        <v>25</v>
      </c>
      <c r="R134" s="17">
        <v>26</v>
      </c>
      <c r="S134" s="17">
        <v>26</v>
      </c>
      <c r="T134" s="17">
        <v>25</v>
      </c>
      <c r="U134" s="58">
        <v>25</v>
      </c>
      <c r="V134" s="16">
        <f t="shared" si="83"/>
        <v>29</v>
      </c>
      <c r="W134" s="17">
        <f t="shared" si="84"/>
        <v>29</v>
      </c>
      <c r="X134" s="17">
        <f t="shared" si="84"/>
        <v>29</v>
      </c>
      <c r="Y134" s="17">
        <f t="shared" si="85"/>
        <v>27</v>
      </c>
      <c r="Z134" s="17">
        <f t="shared" si="72"/>
        <v>29</v>
      </c>
      <c r="AA134" s="17">
        <f t="shared" si="86"/>
        <v>26</v>
      </c>
      <c r="AB134" s="58">
        <f t="shared" si="87"/>
        <v>30</v>
      </c>
      <c r="AC134" s="67"/>
      <c r="AD134" s="67"/>
      <c r="AE134" s="67"/>
      <c r="AF134" s="67"/>
      <c r="AG134" s="67"/>
      <c r="AH134" s="67"/>
      <c r="AI134" s="73"/>
      <c r="AJ134" s="74"/>
      <c r="AK134" s="74"/>
      <c r="AL134" s="62">
        <v>0.6</v>
      </c>
      <c r="AM134" s="63">
        <v>0.5</v>
      </c>
      <c r="AN134" s="63">
        <v>0.66</v>
      </c>
      <c r="AO134" s="63">
        <v>0.5</v>
      </c>
      <c r="AP134" s="64">
        <v>0.9</v>
      </c>
      <c r="AQ134" s="62">
        <f t="shared" si="73"/>
        <v>1</v>
      </c>
      <c r="AR134" s="65">
        <v>1</v>
      </c>
      <c r="AS134" s="62">
        <f t="shared" si="74"/>
        <v>0.72500000000000042</v>
      </c>
      <c r="AT134" s="65">
        <f t="shared" ref="AT134:AT141" si="89">AT133+0.2%</f>
        <v>0.82400000000000051</v>
      </c>
      <c r="AU134" s="62">
        <f t="shared" si="75"/>
        <v>1.0000000000000004</v>
      </c>
      <c r="AV134" s="65">
        <v>1.0000000000000004</v>
      </c>
      <c r="AW134" s="62">
        <f t="shared" si="76"/>
        <v>1.0000000000000004</v>
      </c>
      <c r="AX134" s="65">
        <v>1</v>
      </c>
      <c r="AY134" s="62">
        <f t="shared" si="77"/>
        <v>1.0000000000000004</v>
      </c>
      <c r="AZ134" s="65">
        <v>1.0000000000000004</v>
      </c>
      <c r="BA134" s="62">
        <f t="shared" si="78"/>
        <v>1.0000000000000004</v>
      </c>
      <c r="BB134" s="65">
        <v>1</v>
      </c>
      <c r="BC134" s="62">
        <f t="shared" si="79"/>
        <v>1.0000000000000004</v>
      </c>
      <c r="BD134" s="65">
        <v>1</v>
      </c>
      <c r="BE134" s="74"/>
      <c r="BF134" s="7"/>
      <c r="BG134" s="74"/>
      <c r="BH134" s="7"/>
      <c r="BI134" s="7"/>
      <c r="BJ134" s="7"/>
      <c r="BK134" s="7"/>
      <c r="BL134" s="7"/>
      <c r="BM134" s="7"/>
      <c r="BN134" s="7"/>
      <c r="BO134" s="7"/>
      <c r="BP134" s="7"/>
      <c r="BQ134" s="7"/>
    </row>
    <row r="135" spans="1:69" ht="19.8" thickBot="1" x14ac:dyDescent="0.35">
      <c r="A135" s="16">
        <v>133</v>
      </c>
      <c r="B135" s="52">
        <v>44853</v>
      </c>
      <c r="C135" s="53" t="str">
        <f t="shared" si="80"/>
        <v>1401/07/27</v>
      </c>
      <c r="D135" s="54">
        <v>0.87500000000000078</v>
      </c>
      <c r="E135" s="54">
        <v>0.68157900000000116</v>
      </c>
      <c r="F135" s="11" t="e">
        <f t="shared" si="81"/>
        <v>#N/A</v>
      </c>
      <c r="G135" s="38" t="str">
        <f t="shared" si="82"/>
        <v>تاریخ: 1401/07/27
درصد پیشرفت برنامه ای: 87.5%
درصد پیشرفت واقعی: 68.16%</v>
      </c>
      <c r="H135" s="55">
        <v>1</v>
      </c>
      <c r="I135" s="56">
        <f t="shared" si="71"/>
        <v>0.73000000000000043</v>
      </c>
      <c r="J135" s="56">
        <v>1.0000000000000004</v>
      </c>
      <c r="K135" s="56">
        <f t="shared" si="67"/>
        <v>1.0000000000000004</v>
      </c>
      <c r="L135" s="56">
        <f t="shared" si="70"/>
        <v>1.0000000000000004</v>
      </c>
      <c r="M135" s="56">
        <f t="shared" si="70"/>
        <v>1.0000000000000004</v>
      </c>
      <c r="N135" s="57">
        <f t="shared" si="68"/>
        <v>1.0000000000000004</v>
      </c>
      <c r="O135" s="16">
        <f t="shared" si="88"/>
        <v>25</v>
      </c>
      <c r="P135" s="17">
        <v>15</v>
      </c>
      <c r="Q135" s="17">
        <v>15</v>
      </c>
      <c r="R135" s="17">
        <v>18</v>
      </c>
      <c r="S135" s="17">
        <v>17</v>
      </c>
      <c r="T135" s="17">
        <v>18</v>
      </c>
      <c r="U135" s="58">
        <v>19</v>
      </c>
      <c r="V135" s="16">
        <f t="shared" si="83"/>
        <v>28</v>
      </c>
      <c r="W135" s="17">
        <f t="shared" si="84"/>
        <v>19</v>
      </c>
      <c r="X135" s="17">
        <f t="shared" si="84"/>
        <v>19</v>
      </c>
      <c r="Y135" s="17">
        <f t="shared" si="85"/>
        <v>19</v>
      </c>
      <c r="Z135" s="17">
        <f t="shared" si="72"/>
        <v>20</v>
      </c>
      <c r="AA135" s="17">
        <f t="shared" si="86"/>
        <v>19</v>
      </c>
      <c r="AB135" s="58">
        <f t="shared" si="87"/>
        <v>24</v>
      </c>
      <c r="AC135" s="67"/>
      <c r="AD135" s="67"/>
      <c r="AE135" s="67"/>
      <c r="AF135" s="67"/>
      <c r="AG135" s="67"/>
      <c r="AH135" s="67"/>
      <c r="AI135" s="73"/>
      <c r="AJ135" s="74"/>
      <c r="AK135" s="74"/>
      <c r="AL135" s="62">
        <v>0.55000000000000004</v>
      </c>
      <c r="AM135" s="63">
        <v>0.62</v>
      </c>
      <c r="AN135" s="63">
        <v>0.78</v>
      </c>
      <c r="AO135" s="63">
        <v>0.42</v>
      </c>
      <c r="AP135" s="64">
        <v>0.8</v>
      </c>
      <c r="AQ135" s="62">
        <f t="shared" si="73"/>
        <v>1</v>
      </c>
      <c r="AR135" s="65">
        <v>1</v>
      </c>
      <c r="AS135" s="62">
        <f t="shared" si="74"/>
        <v>0.73000000000000043</v>
      </c>
      <c r="AT135" s="65">
        <f t="shared" si="89"/>
        <v>0.82600000000000051</v>
      </c>
      <c r="AU135" s="62">
        <f t="shared" si="75"/>
        <v>1.0000000000000004</v>
      </c>
      <c r="AV135" s="65">
        <v>1.0000000000000004</v>
      </c>
      <c r="AW135" s="62">
        <f t="shared" si="76"/>
        <v>1.0000000000000004</v>
      </c>
      <c r="AX135" s="65">
        <v>1</v>
      </c>
      <c r="AY135" s="62">
        <f t="shared" si="77"/>
        <v>1.0000000000000004</v>
      </c>
      <c r="AZ135" s="65">
        <v>1.0000000000000004</v>
      </c>
      <c r="BA135" s="62">
        <f t="shared" si="78"/>
        <v>1.0000000000000004</v>
      </c>
      <c r="BB135" s="65">
        <v>1</v>
      </c>
      <c r="BC135" s="62">
        <f t="shared" si="79"/>
        <v>1.0000000000000004</v>
      </c>
      <c r="BD135" s="65">
        <v>1</v>
      </c>
      <c r="BE135" s="74"/>
      <c r="BF135" s="7"/>
      <c r="BG135" s="74"/>
      <c r="BH135" s="7"/>
      <c r="BI135" s="7"/>
      <c r="BJ135" s="7"/>
      <c r="BK135" s="7"/>
      <c r="BL135" s="7"/>
      <c r="BM135" s="7"/>
      <c r="BN135" s="7"/>
      <c r="BO135" s="7"/>
      <c r="BP135" s="7"/>
      <c r="BQ135" s="7"/>
    </row>
    <row r="136" spans="1:69" ht="19.8" thickBot="1" x14ac:dyDescent="0.35">
      <c r="A136" s="16">
        <v>134</v>
      </c>
      <c r="B136" s="52">
        <v>44860</v>
      </c>
      <c r="C136" s="53" t="str">
        <f t="shared" si="80"/>
        <v>1401/08/04</v>
      </c>
      <c r="D136" s="54">
        <v>0.88100000000000078</v>
      </c>
      <c r="E136" s="54">
        <v>0.68770500000000112</v>
      </c>
      <c r="F136" s="11" t="e">
        <f t="shared" si="81"/>
        <v>#N/A</v>
      </c>
      <c r="G136" s="38" t="str">
        <f t="shared" si="82"/>
        <v>تاریخ: 1401/08/04
درصد پیشرفت برنامه ای: 88.1%
درصد پیشرفت واقعی: 68.77%</v>
      </c>
      <c r="H136" s="55">
        <v>1</v>
      </c>
      <c r="I136" s="56">
        <f t="shared" si="71"/>
        <v>0.73500000000000043</v>
      </c>
      <c r="J136" s="56">
        <v>1.0000000000000004</v>
      </c>
      <c r="K136" s="56">
        <f t="shared" si="67"/>
        <v>1.0000000000000004</v>
      </c>
      <c r="L136" s="56">
        <f t="shared" si="70"/>
        <v>1.0000000000000004</v>
      </c>
      <c r="M136" s="56">
        <f t="shared" si="70"/>
        <v>1.0000000000000004</v>
      </c>
      <c r="N136" s="57">
        <f t="shared" si="68"/>
        <v>1.0000000000000004</v>
      </c>
      <c r="O136" s="16">
        <f t="shared" si="88"/>
        <v>19</v>
      </c>
      <c r="P136" s="17">
        <v>19</v>
      </c>
      <c r="Q136" s="17">
        <v>17</v>
      </c>
      <c r="R136" s="17">
        <v>17</v>
      </c>
      <c r="S136" s="17">
        <v>19</v>
      </c>
      <c r="T136" s="17">
        <v>20</v>
      </c>
      <c r="U136" s="58">
        <v>21</v>
      </c>
      <c r="V136" s="16">
        <f t="shared" si="83"/>
        <v>22</v>
      </c>
      <c r="W136" s="17">
        <f t="shared" si="84"/>
        <v>23</v>
      </c>
      <c r="X136" s="17">
        <f t="shared" si="84"/>
        <v>21</v>
      </c>
      <c r="Y136" s="17">
        <f t="shared" si="85"/>
        <v>18</v>
      </c>
      <c r="Z136" s="17">
        <f t="shared" si="72"/>
        <v>22</v>
      </c>
      <c r="AA136" s="17">
        <f t="shared" si="86"/>
        <v>21</v>
      </c>
      <c r="AB136" s="58">
        <f t="shared" si="87"/>
        <v>26</v>
      </c>
      <c r="AC136" s="67"/>
      <c r="AD136" s="67"/>
      <c r="AE136" s="67"/>
      <c r="AF136" s="67"/>
      <c r="AG136" s="67"/>
      <c r="AH136" s="67"/>
      <c r="AI136" s="73"/>
      <c r="AJ136" s="74"/>
      <c r="AK136" s="74"/>
      <c r="AL136" s="62">
        <v>0.6</v>
      </c>
      <c r="AM136" s="63">
        <v>0.9</v>
      </c>
      <c r="AN136" s="63">
        <v>0.5</v>
      </c>
      <c r="AO136" s="63">
        <v>0.5</v>
      </c>
      <c r="AP136" s="64">
        <v>0.62</v>
      </c>
      <c r="AQ136" s="62">
        <f t="shared" si="73"/>
        <v>1</v>
      </c>
      <c r="AR136" s="65">
        <v>1</v>
      </c>
      <c r="AS136" s="62">
        <f t="shared" si="74"/>
        <v>0.73500000000000043</v>
      </c>
      <c r="AT136" s="65">
        <f t="shared" si="89"/>
        <v>0.82800000000000051</v>
      </c>
      <c r="AU136" s="62">
        <f t="shared" si="75"/>
        <v>1.0000000000000004</v>
      </c>
      <c r="AV136" s="65">
        <v>1.0000000000000004</v>
      </c>
      <c r="AW136" s="62">
        <f t="shared" si="76"/>
        <v>1.0000000000000004</v>
      </c>
      <c r="AX136" s="65">
        <v>1</v>
      </c>
      <c r="AY136" s="62">
        <f t="shared" si="77"/>
        <v>1.0000000000000004</v>
      </c>
      <c r="AZ136" s="65">
        <v>1.0000000000000004</v>
      </c>
      <c r="BA136" s="62">
        <f t="shared" si="78"/>
        <v>1.0000000000000004</v>
      </c>
      <c r="BB136" s="65">
        <v>1</v>
      </c>
      <c r="BC136" s="62">
        <f t="shared" si="79"/>
        <v>1.0000000000000004</v>
      </c>
      <c r="BD136" s="65">
        <v>1</v>
      </c>
      <c r="BE136" s="74"/>
      <c r="BF136" s="7"/>
      <c r="BG136" s="74"/>
      <c r="BH136" s="7"/>
      <c r="BI136" s="7"/>
      <c r="BJ136" s="7"/>
      <c r="BK136" s="7"/>
      <c r="BL136" s="7"/>
      <c r="BM136" s="7"/>
      <c r="BN136" s="7"/>
      <c r="BO136" s="7"/>
      <c r="BP136" s="7"/>
      <c r="BQ136" s="7"/>
    </row>
    <row r="137" spans="1:69" ht="19.8" thickBot="1" x14ac:dyDescent="0.35">
      <c r="A137" s="16">
        <v>135</v>
      </c>
      <c r="B137" s="52">
        <v>44867</v>
      </c>
      <c r="C137" s="53" t="str">
        <f t="shared" si="80"/>
        <v>1401/08/11</v>
      </c>
      <c r="D137" s="54">
        <v>0.88700000000000079</v>
      </c>
      <c r="E137" s="54">
        <v>0.69383100000000109</v>
      </c>
      <c r="F137" s="11" t="e">
        <f t="shared" si="81"/>
        <v>#N/A</v>
      </c>
      <c r="G137" s="38" t="str">
        <f t="shared" si="82"/>
        <v>تاریخ: 1401/08/11
درصد پیشرفت برنامه ای: 88.7%
درصد پیشرفت واقعی: 69.38%</v>
      </c>
      <c r="H137" s="55">
        <v>1</v>
      </c>
      <c r="I137" s="56">
        <f t="shared" si="71"/>
        <v>0.74000000000000044</v>
      </c>
      <c r="J137" s="56">
        <v>1.0000000000000004</v>
      </c>
      <c r="K137" s="56">
        <f t="shared" si="67"/>
        <v>1.0000000000000004</v>
      </c>
      <c r="L137" s="56">
        <f t="shared" si="70"/>
        <v>1.0000000000000004</v>
      </c>
      <c r="M137" s="56">
        <f t="shared" si="70"/>
        <v>1.0000000000000004</v>
      </c>
      <c r="N137" s="57">
        <f t="shared" si="68"/>
        <v>1.0000000000000004</v>
      </c>
      <c r="O137" s="16">
        <f t="shared" si="88"/>
        <v>21</v>
      </c>
      <c r="P137" s="17">
        <v>22</v>
      </c>
      <c r="Q137" s="17">
        <v>22</v>
      </c>
      <c r="R137" s="17">
        <v>23</v>
      </c>
      <c r="S137" s="17">
        <v>21</v>
      </c>
      <c r="T137" s="17">
        <v>22</v>
      </c>
      <c r="U137" s="58">
        <v>24</v>
      </c>
      <c r="V137" s="16">
        <f t="shared" si="83"/>
        <v>24</v>
      </c>
      <c r="W137" s="17">
        <f t="shared" si="84"/>
        <v>26</v>
      </c>
      <c r="X137" s="17">
        <f t="shared" si="84"/>
        <v>26</v>
      </c>
      <c r="Y137" s="17">
        <f t="shared" si="85"/>
        <v>24</v>
      </c>
      <c r="Z137" s="17">
        <f t="shared" si="72"/>
        <v>24</v>
      </c>
      <c r="AA137" s="17">
        <f t="shared" si="86"/>
        <v>23</v>
      </c>
      <c r="AB137" s="58">
        <f t="shared" si="87"/>
        <v>29</v>
      </c>
      <c r="AC137" s="67"/>
      <c r="AD137" s="67"/>
      <c r="AE137" s="67"/>
      <c r="AF137" s="67"/>
      <c r="AG137" s="67"/>
      <c r="AH137" s="67"/>
      <c r="AI137" s="73"/>
      <c r="AJ137" s="74"/>
      <c r="AK137" s="74"/>
      <c r="AL137" s="62">
        <v>0.66</v>
      </c>
      <c r="AM137" s="63">
        <v>0.7</v>
      </c>
      <c r="AN137" s="63">
        <v>0.8</v>
      </c>
      <c r="AO137" s="63">
        <v>0.55000000000000004</v>
      </c>
      <c r="AP137" s="64">
        <v>0.5</v>
      </c>
      <c r="AQ137" s="62">
        <f t="shared" si="73"/>
        <v>1</v>
      </c>
      <c r="AR137" s="65">
        <v>1</v>
      </c>
      <c r="AS137" s="62">
        <f t="shared" si="74"/>
        <v>0.74000000000000044</v>
      </c>
      <c r="AT137" s="65">
        <f t="shared" si="89"/>
        <v>0.83000000000000052</v>
      </c>
      <c r="AU137" s="62">
        <f t="shared" si="75"/>
        <v>1.0000000000000004</v>
      </c>
      <c r="AV137" s="65">
        <v>1.0000000000000004</v>
      </c>
      <c r="AW137" s="62">
        <f t="shared" si="76"/>
        <v>1.0000000000000004</v>
      </c>
      <c r="AX137" s="65">
        <v>1</v>
      </c>
      <c r="AY137" s="62">
        <f t="shared" si="77"/>
        <v>1.0000000000000004</v>
      </c>
      <c r="AZ137" s="65">
        <v>1.0000000000000004</v>
      </c>
      <c r="BA137" s="62">
        <f t="shared" si="78"/>
        <v>1.0000000000000004</v>
      </c>
      <c r="BB137" s="65">
        <v>1</v>
      </c>
      <c r="BC137" s="62">
        <f t="shared" si="79"/>
        <v>1.0000000000000004</v>
      </c>
      <c r="BD137" s="65">
        <v>1</v>
      </c>
      <c r="BE137" s="74"/>
      <c r="BF137" s="7"/>
      <c r="BG137" s="74"/>
      <c r="BH137" s="7"/>
      <c r="BI137" s="7"/>
      <c r="BJ137" s="7"/>
      <c r="BK137" s="7"/>
      <c r="BL137" s="7"/>
      <c r="BM137" s="7"/>
      <c r="BN137" s="7"/>
      <c r="BO137" s="7"/>
      <c r="BP137" s="7"/>
      <c r="BQ137" s="7"/>
    </row>
    <row r="138" spans="1:69" ht="19.8" thickBot="1" x14ac:dyDescent="0.35">
      <c r="A138" s="16">
        <v>136</v>
      </c>
      <c r="B138" s="52">
        <v>44874</v>
      </c>
      <c r="C138" s="53" t="str">
        <f t="shared" si="80"/>
        <v>1401/08/18</v>
      </c>
      <c r="D138" s="54">
        <v>0.89400000000000079</v>
      </c>
      <c r="E138" s="54">
        <v>0.7009780000000011</v>
      </c>
      <c r="F138" s="11" t="e">
        <f t="shared" si="81"/>
        <v>#N/A</v>
      </c>
      <c r="G138" s="38" t="str">
        <f t="shared" si="82"/>
        <v>تاریخ: 1401/08/18
درصد پیشرفت برنامه ای: 89.4%
درصد پیشرفت واقعی: 70.1%</v>
      </c>
      <c r="H138" s="55">
        <v>1</v>
      </c>
      <c r="I138" s="56">
        <f t="shared" si="71"/>
        <v>0.74500000000000044</v>
      </c>
      <c r="J138" s="56">
        <v>1.0000000000000004</v>
      </c>
      <c r="K138" s="56">
        <f t="shared" si="67"/>
        <v>1.0000000000000004</v>
      </c>
      <c r="L138" s="56">
        <f t="shared" si="70"/>
        <v>1.0000000000000004</v>
      </c>
      <c r="M138" s="56">
        <f t="shared" si="70"/>
        <v>1.0000000000000004</v>
      </c>
      <c r="N138" s="57">
        <f t="shared" si="68"/>
        <v>1.0000000000000004</v>
      </c>
      <c r="O138" s="16">
        <f t="shared" si="88"/>
        <v>24</v>
      </c>
      <c r="P138" s="17">
        <v>15</v>
      </c>
      <c r="Q138" s="17">
        <v>15</v>
      </c>
      <c r="R138" s="17">
        <v>18</v>
      </c>
      <c r="S138" s="17">
        <v>17</v>
      </c>
      <c r="T138" s="17">
        <v>18</v>
      </c>
      <c r="U138" s="58">
        <v>19</v>
      </c>
      <c r="V138" s="16">
        <f t="shared" si="83"/>
        <v>27</v>
      </c>
      <c r="W138" s="17">
        <f t="shared" si="84"/>
        <v>19</v>
      </c>
      <c r="X138" s="17">
        <f t="shared" si="84"/>
        <v>19</v>
      </c>
      <c r="Y138" s="17">
        <f t="shared" si="85"/>
        <v>19</v>
      </c>
      <c r="Z138" s="17">
        <f t="shared" si="72"/>
        <v>20</v>
      </c>
      <c r="AA138" s="17">
        <f t="shared" si="86"/>
        <v>19</v>
      </c>
      <c r="AB138" s="58">
        <f t="shared" si="87"/>
        <v>24</v>
      </c>
      <c r="AC138" s="67"/>
      <c r="AD138" s="67"/>
      <c r="AE138" s="67"/>
      <c r="AF138" s="67"/>
      <c r="AG138" s="67"/>
      <c r="AH138" s="67"/>
      <c r="AI138" s="73"/>
      <c r="AJ138" s="74"/>
      <c r="AK138" s="74"/>
      <c r="AL138" s="62">
        <v>0.55000000000000004</v>
      </c>
      <c r="AM138" s="63">
        <v>0.4</v>
      </c>
      <c r="AN138" s="63">
        <v>0.4</v>
      </c>
      <c r="AO138" s="63">
        <v>0.9</v>
      </c>
      <c r="AP138" s="64">
        <v>0.8</v>
      </c>
      <c r="AQ138" s="62">
        <f t="shared" si="73"/>
        <v>1</v>
      </c>
      <c r="AR138" s="65">
        <v>1</v>
      </c>
      <c r="AS138" s="62">
        <f t="shared" si="74"/>
        <v>0.74500000000000044</v>
      </c>
      <c r="AT138" s="65">
        <f t="shared" si="89"/>
        <v>0.83200000000000052</v>
      </c>
      <c r="AU138" s="62">
        <f t="shared" si="75"/>
        <v>1.0000000000000004</v>
      </c>
      <c r="AV138" s="65">
        <v>1.0000000000000004</v>
      </c>
      <c r="AW138" s="62">
        <f t="shared" si="76"/>
        <v>1.0000000000000004</v>
      </c>
      <c r="AX138" s="65">
        <v>1</v>
      </c>
      <c r="AY138" s="62">
        <f t="shared" si="77"/>
        <v>1.0000000000000004</v>
      </c>
      <c r="AZ138" s="65">
        <v>1.0000000000000004</v>
      </c>
      <c r="BA138" s="62">
        <f t="shared" si="78"/>
        <v>1.0000000000000004</v>
      </c>
      <c r="BB138" s="65">
        <v>1</v>
      </c>
      <c r="BC138" s="62">
        <f t="shared" si="79"/>
        <v>1.0000000000000004</v>
      </c>
      <c r="BD138" s="65">
        <v>1</v>
      </c>
      <c r="BE138" s="74"/>
      <c r="BF138" s="7"/>
      <c r="BG138" s="74"/>
      <c r="BH138" s="7"/>
      <c r="BI138" s="7"/>
      <c r="BJ138" s="7"/>
      <c r="BK138" s="7"/>
      <c r="BL138" s="7"/>
      <c r="BM138" s="7"/>
      <c r="BN138" s="7"/>
      <c r="BO138" s="7"/>
      <c r="BP138" s="7"/>
      <c r="BQ138" s="7"/>
    </row>
    <row r="139" spans="1:69" ht="19.8" thickBot="1" x14ac:dyDescent="0.35">
      <c r="A139" s="16">
        <v>137</v>
      </c>
      <c r="B139" s="52">
        <v>44881</v>
      </c>
      <c r="C139" s="53" t="str">
        <f t="shared" si="80"/>
        <v>1401/08/25</v>
      </c>
      <c r="D139" s="54">
        <v>0.9010000000000008</v>
      </c>
      <c r="E139" s="54">
        <v>0.70812500000000111</v>
      </c>
      <c r="F139" s="11" t="e">
        <f t="shared" si="81"/>
        <v>#N/A</v>
      </c>
      <c r="G139" s="38" t="str">
        <f t="shared" si="82"/>
        <v>تاریخ: 1401/08/25
درصد پیشرفت برنامه ای: 90.1%
درصد پیشرفت واقعی: 70.81%</v>
      </c>
      <c r="H139" s="55">
        <v>1</v>
      </c>
      <c r="I139" s="56">
        <f t="shared" si="71"/>
        <v>0.75000000000000044</v>
      </c>
      <c r="J139" s="56">
        <v>1.0000000000000004</v>
      </c>
      <c r="K139" s="56">
        <f t="shared" si="67"/>
        <v>1.0000000000000004</v>
      </c>
      <c r="L139" s="56">
        <f t="shared" si="70"/>
        <v>1.0000000000000004</v>
      </c>
      <c r="M139" s="56">
        <f t="shared" si="70"/>
        <v>1.0000000000000004</v>
      </c>
      <c r="N139" s="57">
        <f t="shared" si="68"/>
        <v>1.0000000000000004</v>
      </c>
      <c r="O139" s="16">
        <f t="shared" si="88"/>
        <v>19</v>
      </c>
      <c r="P139" s="17">
        <v>19</v>
      </c>
      <c r="Q139" s="17">
        <v>17</v>
      </c>
      <c r="R139" s="17">
        <v>17</v>
      </c>
      <c r="S139" s="17">
        <v>19</v>
      </c>
      <c r="T139" s="17">
        <v>20</v>
      </c>
      <c r="U139" s="58">
        <v>21</v>
      </c>
      <c r="V139" s="16">
        <f t="shared" si="83"/>
        <v>22</v>
      </c>
      <c r="W139" s="17">
        <f t="shared" si="84"/>
        <v>23</v>
      </c>
      <c r="X139" s="17">
        <f t="shared" si="84"/>
        <v>21</v>
      </c>
      <c r="Y139" s="17">
        <f t="shared" si="85"/>
        <v>18</v>
      </c>
      <c r="Z139" s="17">
        <f t="shared" si="72"/>
        <v>22</v>
      </c>
      <c r="AA139" s="17">
        <f t="shared" si="86"/>
        <v>21</v>
      </c>
      <c r="AB139" s="58">
        <f t="shared" si="87"/>
        <v>26</v>
      </c>
      <c r="AC139" s="67"/>
      <c r="AD139" s="67"/>
      <c r="AE139" s="67"/>
      <c r="AF139" s="67"/>
      <c r="AG139" s="67"/>
      <c r="AH139" s="67"/>
      <c r="AI139" s="73"/>
      <c r="AJ139" s="74"/>
      <c r="AK139" s="74"/>
      <c r="AL139" s="62">
        <v>0.7</v>
      </c>
      <c r="AM139" s="63">
        <v>0.55000000000000004</v>
      </c>
      <c r="AN139" s="63">
        <v>0.1</v>
      </c>
      <c r="AO139" s="63">
        <v>0.4</v>
      </c>
      <c r="AP139" s="64">
        <v>0.9</v>
      </c>
      <c r="AQ139" s="62">
        <f t="shared" si="73"/>
        <v>1</v>
      </c>
      <c r="AR139" s="65">
        <v>1</v>
      </c>
      <c r="AS139" s="62">
        <f t="shared" si="74"/>
        <v>0.75000000000000044</v>
      </c>
      <c r="AT139" s="65">
        <f t="shared" si="89"/>
        <v>0.83400000000000052</v>
      </c>
      <c r="AU139" s="62">
        <f t="shared" si="75"/>
        <v>1.0000000000000004</v>
      </c>
      <c r="AV139" s="65">
        <v>1.0000000000000004</v>
      </c>
      <c r="AW139" s="62">
        <f t="shared" si="76"/>
        <v>1.0000000000000004</v>
      </c>
      <c r="AX139" s="65">
        <v>1</v>
      </c>
      <c r="AY139" s="62">
        <f t="shared" si="77"/>
        <v>1.0000000000000004</v>
      </c>
      <c r="AZ139" s="65">
        <v>1.0000000000000004</v>
      </c>
      <c r="BA139" s="62">
        <f t="shared" si="78"/>
        <v>1.0000000000000004</v>
      </c>
      <c r="BB139" s="65">
        <v>1</v>
      </c>
      <c r="BC139" s="62">
        <f t="shared" si="79"/>
        <v>1.0000000000000004</v>
      </c>
      <c r="BD139" s="65">
        <v>1</v>
      </c>
      <c r="BE139" s="74"/>
      <c r="BF139" s="7"/>
      <c r="BG139" s="74"/>
      <c r="BH139" s="7"/>
      <c r="BI139" s="7"/>
      <c r="BJ139" s="7"/>
      <c r="BK139" s="7"/>
      <c r="BL139" s="7"/>
      <c r="BM139" s="7"/>
      <c r="BN139" s="7"/>
      <c r="BO139" s="7"/>
      <c r="BP139" s="7"/>
      <c r="BQ139" s="7"/>
    </row>
    <row r="140" spans="1:69" ht="19.8" thickBot="1" x14ac:dyDescent="0.35">
      <c r="A140" s="16">
        <v>138</v>
      </c>
      <c r="B140" s="52">
        <v>44888</v>
      </c>
      <c r="C140" s="53" t="str">
        <f t="shared" si="80"/>
        <v>1401/09/02</v>
      </c>
      <c r="D140" s="54">
        <v>0.90800000000000081</v>
      </c>
      <c r="E140" s="54">
        <v>0.71527200000000113</v>
      </c>
      <c r="F140" s="11" t="e">
        <f t="shared" si="81"/>
        <v>#N/A</v>
      </c>
      <c r="G140" s="38" t="str">
        <f t="shared" si="82"/>
        <v>تاریخ: 1401/09/02
درصد پیشرفت برنامه ای: 90.8%
درصد پیشرفت واقعی: 71.53%</v>
      </c>
      <c r="H140" s="55">
        <v>1</v>
      </c>
      <c r="I140" s="56">
        <f t="shared" si="71"/>
        <v>0.75500000000000045</v>
      </c>
      <c r="J140" s="56">
        <v>1.0000000000000004</v>
      </c>
      <c r="K140" s="56">
        <f t="shared" si="67"/>
        <v>1.0000000000000004</v>
      </c>
      <c r="L140" s="56">
        <f t="shared" si="70"/>
        <v>1.0000000000000004</v>
      </c>
      <c r="M140" s="56">
        <f t="shared" si="70"/>
        <v>1.0000000000000004</v>
      </c>
      <c r="N140" s="57">
        <f t="shared" si="68"/>
        <v>1.0000000000000004</v>
      </c>
      <c r="O140" s="16">
        <f t="shared" si="88"/>
        <v>21</v>
      </c>
      <c r="P140" s="17">
        <v>15</v>
      </c>
      <c r="Q140" s="17">
        <v>15</v>
      </c>
      <c r="R140" s="17">
        <v>18</v>
      </c>
      <c r="S140" s="17">
        <v>17</v>
      </c>
      <c r="T140" s="17">
        <v>18</v>
      </c>
      <c r="U140" s="58">
        <v>19</v>
      </c>
      <c r="V140" s="16">
        <f t="shared" si="83"/>
        <v>24</v>
      </c>
      <c r="W140" s="17">
        <f t="shared" si="84"/>
        <v>19</v>
      </c>
      <c r="X140" s="17">
        <f t="shared" si="84"/>
        <v>19</v>
      </c>
      <c r="Y140" s="17">
        <f t="shared" si="85"/>
        <v>19</v>
      </c>
      <c r="Z140" s="17">
        <f t="shared" si="72"/>
        <v>20</v>
      </c>
      <c r="AA140" s="17">
        <f t="shared" si="86"/>
        <v>19</v>
      </c>
      <c r="AB140" s="58">
        <f t="shared" si="87"/>
        <v>24</v>
      </c>
      <c r="AC140" s="67"/>
      <c r="AD140" s="67"/>
      <c r="AE140" s="67"/>
      <c r="AF140" s="67"/>
      <c r="AG140" s="67"/>
      <c r="AH140" s="67"/>
      <c r="AI140" s="73"/>
      <c r="AJ140" s="74"/>
      <c r="AK140" s="74"/>
      <c r="AL140" s="62">
        <v>0.4</v>
      </c>
      <c r="AM140" s="63">
        <v>0.69</v>
      </c>
      <c r="AN140" s="63">
        <v>0.5</v>
      </c>
      <c r="AO140" s="63">
        <v>0.2</v>
      </c>
      <c r="AP140" s="64">
        <v>0.4</v>
      </c>
      <c r="AQ140" s="62">
        <f t="shared" si="73"/>
        <v>1</v>
      </c>
      <c r="AR140" s="65">
        <v>1</v>
      </c>
      <c r="AS140" s="62">
        <f t="shared" si="74"/>
        <v>0.75500000000000045</v>
      </c>
      <c r="AT140" s="65">
        <f t="shared" si="89"/>
        <v>0.83600000000000052</v>
      </c>
      <c r="AU140" s="62">
        <f t="shared" si="75"/>
        <v>1.0000000000000004</v>
      </c>
      <c r="AV140" s="65">
        <v>1.0000000000000004</v>
      </c>
      <c r="AW140" s="62">
        <f t="shared" si="76"/>
        <v>1.0000000000000004</v>
      </c>
      <c r="AX140" s="65">
        <v>1</v>
      </c>
      <c r="AY140" s="62">
        <f t="shared" si="77"/>
        <v>1.0000000000000004</v>
      </c>
      <c r="AZ140" s="65">
        <v>1.0000000000000004</v>
      </c>
      <c r="BA140" s="62">
        <f t="shared" si="78"/>
        <v>1.0000000000000004</v>
      </c>
      <c r="BB140" s="65">
        <v>1</v>
      </c>
      <c r="BC140" s="62">
        <f t="shared" si="79"/>
        <v>1.0000000000000004</v>
      </c>
      <c r="BD140" s="65">
        <v>1</v>
      </c>
      <c r="BE140" s="74"/>
      <c r="BF140" s="7"/>
      <c r="BG140" s="74"/>
      <c r="BH140" s="7"/>
      <c r="BI140" s="7"/>
      <c r="BJ140" s="7"/>
      <c r="BK140" s="7"/>
      <c r="BL140" s="7"/>
      <c r="BM140" s="7"/>
      <c r="BN140" s="7"/>
      <c r="BO140" s="7"/>
      <c r="BP140" s="7"/>
      <c r="BQ140" s="7"/>
    </row>
    <row r="141" spans="1:69" ht="19.8" thickBot="1" x14ac:dyDescent="0.35">
      <c r="A141" s="16">
        <v>139</v>
      </c>
      <c r="B141" s="52">
        <v>44895</v>
      </c>
      <c r="C141" s="53" t="str">
        <f t="shared" si="80"/>
        <v>1401/09/09</v>
      </c>
      <c r="D141" s="54">
        <v>0.91500000000000081</v>
      </c>
      <c r="E141" s="54">
        <v>0.72241900000000114</v>
      </c>
      <c r="F141" s="11" t="e">
        <f t="shared" si="81"/>
        <v>#N/A</v>
      </c>
      <c r="G141" s="38" t="str">
        <f t="shared" si="82"/>
        <v>تاریخ: 1401/09/09
درصد پیشرفت برنامه ای: 91.5%
درصد پیشرفت واقعی: 72.24%</v>
      </c>
      <c r="H141" s="55">
        <v>1</v>
      </c>
      <c r="I141" s="56">
        <f t="shared" si="71"/>
        <v>0.76000000000000045</v>
      </c>
      <c r="J141" s="56">
        <v>1.0000000000000004</v>
      </c>
      <c r="K141" s="56">
        <f t="shared" si="67"/>
        <v>1.0000000000000004</v>
      </c>
      <c r="L141" s="56">
        <f t="shared" si="70"/>
        <v>1.0000000000000004</v>
      </c>
      <c r="M141" s="56">
        <f t="shared" si="70"/>
        <v>1.0000000000000004</v>
      </c>
      <c r="N141" s="57">
        <f t="shared" si="68"/>
        <v>1.0000000000000004</v>
      </c>
      <c r="O141" s="16">
        <f t="shared" si="88"/>
        <v>19</v>
      </c>
      <c r="P141" s="17">
        <v>19</v>
      </c>
      <c r="Q141" s="17">
        <v>17</v>
      </c>
      <c r="R141" s="17">
        <v>17</v>
      </c>
      <c r="S141" s="17">
        <v>19</v>
      </c>
      <c r="T141" s="17">
        <v>20</v>
      </c>
      <c r="U141" s="58">
        <v>21</v>
      </c>
      <c r="V141" s="16">
        <f t="shared" si="83"/>
        <v>22</v>
      </c>
      <c r="W141" s="17">
        <f t="shared" si="84"/>
        <v>23</v>
      </c>
      <c r="X141" s="17">
        <f t="shared" si="84"/>
        <v>21</v>
      </c>
      <c r="Y141" s="17">
        <f t="shared" si="85"/>
        <v>18</v>
      </c>
      <c r="Z141" s="17">
        <f t="shared" si="72"/>
        <v>22</v>
      </c>
      <c r="AA141" s="17">
        <f t="shared" si="86"/>
        <v>21</v>
      </c>
      <c r="AB141" s="58">
        <f t="shared" si="87"/>
        <v>26</v>
      </c>
      <c r="AC141" s="67"/>
      <c r="AD141" s="67"/>
      <c r="AE141" s="67"/>
      <c r="AF141" s="67"/>
      <c r="AG141" s="67"/>
      <c r="AH141" s="67"/>
      <c r="AI141" s="73"/>
      <c r="AJ141" s="74"/>
      <c r="AK141" s="74"/>
      <c r="AL141" s="62">
        <v>0.35</v>
      </c>
      <c r="AM141" s="63">
        <v>0.4</v>
      </c>
      <c r="AN141" s="63">
        <v>0.9</v>
      </c>
      <c r="AO141" s="63">
        <v>0.8</v>
      </c>
      <c r="AP141" s="64">
        <v>0.2</v>
      </c>
      <c r="AQ141" s="62">
        <f t="shared" si="73"/>
        <v>1</v>
      </c>
      <c r="AR141" s="65">
        <v>1</v>
      </c>
      <c r="AS141" s="62">
        <f t="shared" si="74"/>
        <v>0.76000000000000045</v>
      </c>
      <c r="AT141" s="65">
        <f t="shared" si="89"/>
        <v>0.83800000000000052</v>
      </c>
      <c r="AU141" s="62">
        <f t="shared" si="75"/>
        <v>1.0000000000000004</v>
      </c>
      <c r="AV141" s="65">
        <v>1.0000000000000004</v>
      </c>
      <c r="AW141" s="62">
        <f t="shared" si="76"/>
        <v>1.0000000000000004</v>
      </c>
      <c r="AX141" s="65">
        <v>1</v>
      </c>
      <c r="AY141" s="62">
        <f t="shared" si="77"/>
        <v>1.0000000000000004</v>
      </c>
      <c r="AZ141" s="65">
        <v>1.0000000000000004</v>
      </c>
      <c r="BA141" s="62">
        <f t="shared" si="78"/>
        <v>1.0000000000000004</v>
      </c>
      <c r="BB141" s="65">
        <v>1</v>
      </c>
      <c r="BC141" s="62">
        <f t="shared" si="79"/>
        <v>1.0000000000000004</v>
      </c>
      <c r="BD141" s="65">
        <v>1</v>
      </c>
      <c r="BE141" s="74"/>
      <c r="BF141" s="7"/>
      <c r="BG141" s="74"/>
      <c r="BH141" s="7"/>
      <c r="BI141" s="7"/>
      <c r="BJ141" s="7"/>
      <c r="BK141" s="7"/>
      <c r="BL141" s="7"/>
      <c r="BM141" s="7"/>
      <c r="BN141" s="7"/>
      <c r="BO141" s="7"/>
      <c r="BP141" s="7"/>
      <c r="BQ141" s="7"/>
    </row>
    <row r="142" spans="1:69" ht="19.8" thickBot="1" x14ac:dyDescent="0.35">
      <c r="A142" s="16">
        <v>140</v>
      </c>
      <c r="B142" s="52">
        <v>44902</v>
      </c>
      <c r="C142" s="53" t="str">
        <f t="shared" si="80"/>
        <v>1401/09/16</v>
      </c>
      <c r="D142" s="54">
        <v>0.92200000000000082</v>
      </c>
      <c r="E142" s="54">
        <v>0.73026600000000119</v>
      </c>
      <c r="F142" s="11" t="e">
        <f t="shared" si="81"/>
        <v>#N/A</v>
      </c>
      <c r="G142" s="38" t="str">
        <f t="shared" si="82"/>
        <v>تاریخ: 1401/09/16
درصد پیشرفت برنامه ای: 92.2%
درصد پیشرفت واقعی: 73.03%</v>
      </c>
      <c r="H142" s="55">
        <v>1</v>
      </c>
      <c r="I142" s="56">
        <v>0.76000000000000045</v>
      </c>
      <c r="J142" s="56">
        <v>1.0000000000000004</v>
      </c>
      <c r="K142" s="56">
        <f t="shared" si="67"/>
        <v>1.0000000000000004</v>
      </c>
      <c r="L142" s="56">
        <f t="shared" si="70"/>
        <v>1.0000000000000004</v>
      </c>
      <c r="M142" s="56">
        <f t="shared" si="70"/>
        <v>1.0000000000000004</v>
      </c>
      <c r="N142" s="57">
        <f t="shared" si="68"/>
        <v>1.0000000000000004</v>
      </c>
      <c r="O142" s="16">
        <f t="shared" si="88"/>
        <v>21</v>
      </c>
      <c r="P142" s="17">
        <v>15</v>
      </c>
      <c r="Q142" s="17">
        <v>15</v>
      </c>
      <c r="R142" s="17">
        <v>18</v>
      </c>
      <c r="S142" s="17">
        <v>14</v>
      </c>
      <c r="T142" s="17">
        <v>15</v>
      </c>
      <c r="U142" s="58">
        <v>13</v>
      </c>
      <c r="V142" s="16">
        <f t="shared" si="83"/>
        <v>24</v>
      </c>
      <c r="W142" s="17">
        <f t="shared" si="84"/>
        <v>19</v>
      </c>
      <c r="X142" s="17">
        <f t="shared" si="84"/>
        <v>19</v>
      </c>
      <c r="Y142" s="17">
        <f t="shared" si="85"/>
        <v>19</v>
      </c>
      <c r="Z142" s="17">
        <f t="shared" si="72"/>
        <v>17</v>
      </c>
      <c r="AA142" s="17">
        <f t="shared" si="86"/>
        <v>16</v>
      </c>
      <c r="AB142" s="58">
        <f t="shared" si="87"/>
        <v>18</v>
      </c>
      <c r="AC142" s="67"/>
      <c r="AD142" s="67"/>
      <c r="AE142" s="67"/>
      <c r="AF142" s="67"/>
      <c r="AG142" s="67"/>
      <c r="AH142" s="67"/>
      <c r="AI142" s="73"/>
      <c r="AJ142" s="74"/>
      <c r="AK142" s="74"/>
      <c r="AL142" s="62">
        <v>0.85</v>
      </c>
      <c r="AM142" s="63">
        <v>0.8</v>
      </c>
      <c r="AN142" s="63">
        <v>0.5</v>
      </c>
      <c r="AO142" s="63">
        <v>0.6</v>
      </c>
      <c r="AP142" s="64">
        <v>0.6</v>
      </c>
      <c r="AQ142" s="62">
        <f t="shared" si="73"/>
        <v>1</v>
      </c>
      <c r="AR142" s="65">
        <v>1</v>
      </c>
      <c r="AS142" s="62">
        <f t="shared" si="74"/>
        <v>0.76000000000000045</v>
      </c>
      <c r="AT142" s="65">
        <f>AT141+0.5%</f>
        <v>0.84300000000000053</v>
      </c>
      <c r="AU142" s="62">
        <f t="shared" si="75"/>
        <v>1.0000000000000004</v>
      </c>
      <c r="AV142" s="65">
        <v>1.0000000000000004</v>
      </c>
      <c r="AW142" s="62">
        <f t="shared" si="76"/>
        <v>1.0000000000000004</v>
      </c>
      <c r="AX142" s="65">
        <v>1</v>
      </c>
      <c r="AY142" s="62">
        <f t="shared" si="77"/>
        <v>1.0000000000000004</v>
      </c>
      <c r="AZ142" s="65">
        <v>1.0000000000000004</v>
      </c>
      <c r="BA142" s="62">
        <f t="shared" si="78"/>
        <v>1.0000000000000004</v>
      </c>
      <c r="BB142" s="65">
        <v>1</v>
      </c>
      <c r="BC142" s="62">
        <f t="shared" si="79"/>
        <v>1.0000000000000004</v>
      </c>
      <c r="BD142" s="65">
        <v>1</v>
      </c>
      <c r="BE142" s="74"/>
      <c r="BF142" s="7"/>
      <c r="BG142" s="74"/>
      <c r="BH142" s="7"/>
      <c r="BI142" s="7"/>
      <c r="BJ142" s="7"/>
      <c r="BK142" s="7"/>
      <c r="BL142" s="7"/>
      <c r="BM142" s="7"/>
      <c r="BN142" s="7"/>
      <c r="BO142" s="7"/>
      <c r="BP142" s="7"/>
      <c r="BQ142" s="7"/>
    </row>
    <row r="143" spans="1:69" ht="19.8" thickBot="1" x14ac:dyDescent="0.35">
      <c r="A143" s="16">
        <v>141</v>
      </c>
      <c r="B143" s="52">
        <v>44909</v>
      </c>
      <c r="C143" s="53" t="str">
        <f t="shared" si="80"/>
        <v>1401/09/23</v>
      </c>
      <c r="D143" s="54">
        <v>0.92900000000000083</v>
      </c>
      <c r="E143" s="54">
        <v>0.73811300000000124</v>
      </c>
      <c r="F143" s="11" t="e">
        <f t="shared" si="81"/>
        <v>#N/A</v>
      </c>
      <c r="G143" s="38" t="str">
        <f t="shared" si="82"/>
        <v>تاریخ: 1401/09/23
درصد پیشرفت برنامه ای: 92.9%
درصد پیشرفت واقعی: 73.81%</v>
      </c>
      <c r="H143" s="55">
        <v>1</v>
      </c>
      <c r="I143" s="56">
        <v>0.76000000000000045</v>
      </c>
      <c r="J143" s="56">
        <v>1.0000000000000004</v>
      </c>
      <c r="K143" s="56">
        <f t="shared" si="67"/>
        <v>1.0000000000000004</v>
      </c>
      <c r="L143" s="56">
        <f t="shared" si="70"/>
        <v>1.0000000000000004</v>
      </c>
      <c r="M143" s="56">
        <f t="shared" si="70"/>
        <v>1.0000000000000004</v>
      </c>
      <c r="N143" s="57">
        <f t="shared" si="68"/>
        <v>1.0000000000000004</v>
      </c>
      <c r="O143" s="16">
        <f t="shared" si="88"/>
        <v>13</v>
      </c>
      <c r="P143" s="17">
        <v>12</v>
      </c>
      <c r="Q143" s="17">
        <v>13</v>
      </c>
      <c r="R143" s="17">
        <v>14</v>
      </c>
      <c r="S143" s="17">
        <v>12</v>
      </c>
      <c r="T143" s="17">
        <v>12</v>
      </c>
      <c r="U143" s="58">
        <v>11</v>
      </c>
      <c r="V143" s="16">
        <f t="shared" si="83"/>
        <v>16</v>
      </c>
      <c r="W143" s="17">
        <f t="shared" si="84"/>
        <v>16</v>
      </c>
      <c r="X143" s="17">
        <f t="shared" si="84"/>
        <v>17</v>
      </c>
      <c r="Y143" s="17">
        <f t="shared" si="85"/>
        <v>15</v>
      </c>
      <c r="Z143" s="17">
        <f t="shared" si="72"/>
        <v>15</v>
      </c>
      <c r="AA143" s="17">
        <f t="shared" si="86"/>
        <v>13</v>
      </c>
      <c r="AB143" s="58">
        <f t="shared" si="87"/>
        <v>16</v>
      </c>
      <c r="AC143" s="67"/>
      <c r="AD143" s="67"/>
      <c r="AE143" s="67"/>
      <c r="AF143" s="67"/>
      <c r="AG143" s="67"/>
      <c r="AH143" s="67"/>
      <c r="AI143" s="73"/>
      <c r="AJ143" s="74"/>
      <c r="AK143" s="74"/>
      <c r="AL143" s="62">
        <v>0.9</v>
      </c>
      <c r="AM143" s="63">
        <v>0.95</v>
      </c>
      <c r="AN143" s="63">
        <v>0.8</v>
      </c>
      <c r="AO143" s="63">
        <v>0.7</v>
      </c>
      <c r="AP143" s="64">
        <v>0.1</v>
      </c>
      <c r="AQ143" s="62">
        <f t="shared" si="73"/>
        <v>1</v>
      </c>
      <c r="AR143" s="65">
        <v>1</v>
      </c>
      <c r="AS143" s="62">
        <f t="shared" si="74"/>
        <v>0.76000000000000045</v>
      </c>
      <c r="AT143" s="65">
        <f t="shared" ref="AT143:AT152" si="90">AT142+0.5%</f>
        <v>0.84800000000000053</v>
      </c>
      <c r="AU143" s="62">
        <f t="shared" si="75"/>
        <v>1.0000000000000004</v>
      </c>
      <c r="AV143" s="65">
        <v>1.0000000000000004</v>
      </c>
      <c r="AW143" s="62">
        <f t="shared" si="76"/>
        <v>1.0000000000000004</v>
      </c>
      <c r="AX143" s="65">
        <v>1</v>
      </c>
      <c r="AY143" s="62">
        <f t="shared" si="77"/>
        <v>1.0000000000000004</v>
      </c>
      <c r="AZ143" s="65">
        <v>1.0000000000000004</v>
      </c>
      <c r="BA143" s="62">
        <f t="shared" si="78"/>
        <v>1.0000000000000004</v>
      </c>
      <c r="BB143" s="65">
        <v>1</v>
      </c>
      <c r="BC143" s="62">
        <f t="shared" si="79"/>
        <v>1.0000000000000004</v>
      </c>
      <c r="BD143" s="65">
        <v>1</v>
      </c>
      <c r="BE143" s="74"/>
      <c r="BF143" s="7"/>
      <c r="BG143" s="74"/>
      <c r="BH143" s="7"/>
      <c r="BI143" s="7"/>
      <c r="BJ143" s="7"/>
      <c r="BK143" s="7"/>
      <c r="BL143" s="7"/>
      <c r="BM143" s="7"/>
      <c r="BN143" s="7"/>
      <c r="BO143" s="7"/>
      <c r="BP143" s="7"/>
      <c r="BQ143" s="7"/>
    </row>
    <row r="144" spans="1:69" ht="19.8" thickBot="1" x14ac:dyDescent="0.35">
      <c r="A144" s="16">
        <v>142</v>
      </c>
      <c r="B144" s="52">
        <v>44916</v>
      </c>
      <c r="C144" s="53" t="str">
        <f t="shared" si="80"/>
        <v>1401/09/30</v>
      </c>
      <c r="D144" s="54">
        <v>0.93100000000000083</v>
      </c>
      <c r="E144" s="54">
        <v>0.74035500000000121</v>
      </c>
      <c r="F144" s="11" t="e">
        <f t="shared" si="81"/>
        <v>#N/A</v>
      </c>
      <c r="G144" s="38" t="str">
        <f t="shared" si="82"/>
        <v>تاریخ: 1401/09/30
درصد پیشرفت برنامه ای: 93.1%
درصد پیشرفت واقعی: 74.04%</v>
      </c>
      <c r="H144" s="55">
        <v>1</v>
      </c>
      <c r="I144" s="56">
        <v>0.76000000000000045</v>
      </c>
      <c r="J144" s="56">
        <v>1.0000000000000004</v>
      </c>
      <c r="K144" s="56">
        <f t="shared" si="67"/>
        <v>1.0000000000000004</v>
      </c>
      <c r="L144" s="56">
        <f t="shared" si="70"/>
        <v>1.0000000000000004</v>
      </c>
      <c r="M144" s="56">
        <f t="shared" si="70"/>
        <v>1.0000000000000004</v>
      </c>
      <c r="N144" s="57">
        <f t="shared" si="68"/>
        <v>1.0000000000000004</v>
      </c>
      <c r="O144" s="16">
        <f t="shared" si="88"/>
        <v>11</v>
      </c>
      <c r="P144" s="17">
        <v>10</v>
      </c>
      <c r="Q144" s="17">
        <v>10</v>
      </c>
      <c r="R144" s="17">
        <v>12</v>
      </c>
      <c r="S144" s="17">
        <v>11</v>
      </c>
      <c r="T144" s="17">
        <v>10</v>
      </c>
      <c r="U144" s="58">
        <v>9</v>
      </c>
      <c r="V144" s="16">
        <f t="shared" si="83"/>
        <v>14</v>
      </c>
      <c r="W144" s="17">
        <f t="shared" si="84"/>
        <v>14</v>
      </c>
      <c r="X144" s="17">
        <f t="shared" si="84"/>
        <v>14</v>
      </c>
      <c r="Y144" s="17">
        <f t="shared" si="85"/>
        <v>13</v>
      </c>
      <c r="Z144" s="17">
        <f t="shared" si="72"/>
        <v>14</v>
      </c>
      <c r="AA144" s="17">
        <f t="shared" si="86"/>
        <v>11</v>
      </c>
      <c r="AB144" s="58">
        <f t="shared" si="87"/>
        <v>14</v>
      </c>
      <c r="AC144" s="67"/>
      <c r="AD144" s="67"/>
      <c r="AE144" s="67"/>
      <c r="AF144" s="67"/>
      <c r="AG144" s="67"/>
      <c r="AH144" s="67"/>
      <c r="AI144" s="73"/>
      <c r="AJ144" s="74"/>
      <c r="AK144" s="74"/>
      <c r="AL144" s="62">
        <v>0.7</v>
      </c>
      <c r="AM144" s="63">
        <v>0.68</v>
      </c>
      <c r="AN144" s="63">
        <v>0.5</v>
      </c>
      <c r="AO144" s="63">
        <v>0.9</v>
      </c>
      <c r="AP144" s="64">
        <v>0.55000000000000004</v>
      </c>
      <c r="AQ144" s="62">
        <f t="shared" si="73"/>
        <v>1</v>
      </c>
      <c r="AR144" s="65">
        <v>1</v>
      </c>
      <c r="AS144" s="62">
        <f t="shared" si="74"/>
        <v>0.76000000000000045</v>
      </c>
      <c r="AT144" s="65">
        <f t="shared" si="90"/>
        <v>0.85300000000000054</v>
      </c>
      <c r="AU144" s="62">
        <f t="shared" si="75"/>
        <v>1.0000000000000004</v>
      </c>
      <c r="AV144" s="65">
        <v>1.0000000000000004</v>
      </c>
      <c r="AW144" s="62">
        <f t="shared" si="76"/>
        <v>1.0000000000000004</v>
      </c>
      <c r="AX144" s="65">
        <v>1</v>
      </c>
      <c r="AY144" s="62">
        <f t="shared" si="77"/>
        <v>1.0000000000000004</v>
      </c>
      <c r="AZ144" s="65">
        <v>1.0000000000000004</v>
      </c>
      <c r="BA144" s="62">
        <f t="shared" si="78"/>
        <v>1.0000000000000004</v>
      </c>
      <c r="BB144" s="65">
        <v>1</v>
      </c>
      <c r="BC144" s="62">
        <f t="shared" si="79"/>
        <v>1.0000000000000004</v>
      </c>
      <c r="BD144" s="65">
        <v>1</v>
      </c>
      <c r="BE144" s="74"/>
      <c r="BF144" s="7"/>
      <c r="BG144" s="74"/>
      <c r="BH144" s="7"/>
      <c r="BI144" s="7"/>
      <c r="BJ144" s="7"/>
      <c r="BK144" s="7"/>
      <c r="BL144" s="7"/>
      <c r="BM144" s="7"/>
      <c r="BN144" s="7"/>
      <c r="BO144" s="7"/>
      <c r="BP144" s="7"/>
      <c r="BQ144" s="7"/>
    </row>
    <row r="145" spans="1:69" ht="19.8" thickBot="1" x14ac:dyDescent="0.35">
      <c r="A145" s="16">
        <v>143</v>
      </c>
      <c r="B145" s="52">
        <v>44923</v>
      </c>
      <c r="C145" s="53" t="str">
        <f t="shared" si="80"/>
        <v>1401/10/07</v>
      </c>
      <c r="D145" s="54">
        <v>0.93300000000000083</v>
      </c>
      <c r="E145" s="54">
        <v>0.74259700000000117</v>
      </c>
      <c r="F145" s="11" t="e">
        <f t="shared" si="81"/>
        <v>#N/A</v>
      </c>
      <c r="G145" s="38" t="str">
        <f t="shared" si="82"/>
        <v>تاریخ: 1401/10/07
درصد پیشرفت برنامه ای: 93.3%
درصد پیشرفت واقعی: 74.26%</v>
      </c>
      <c r="H145" s="55">
        <v>1</v>
      </c>
      <c r="I145" s="56">
        <v>0.76000000000000045</v>
      </c>
      <c r="J145" s="56">
        <v>1.0000000000000004</v>
      </c>
      <c r="K145" s="56">
        <f t="shared" si="67"/>
        <v>1.0000000000000004</v>
      </c>
      <c r="L145" s="56">
        <f t="shared" si="70"/>
        <v>1.0000000000000004</v>
      </c>
      <c r="M145" s="56">
        <f t="shared" si="70"/>
        <v>1.0000000000000004</v>
      </c>
      <c r="N145" s="57">
        <f t="shared" si="68"/>
        <v>1.0000000000000004</v>
      </c>
      <c r="O145" s="16">
        <f t="shared" si="88"/>
        <v>9</v>
      </c>
      <c r="P145" s="17">
        <v>9</v>
      </c>
      <c r="Q145" s="17">
        <v>9</v>
      </c>
      <c r="R145" s="17">
        <v>8</v>
      </c>
      <c r="S145" s="17">
        <v>10</v>
      </c>
      <c r="T145" s="17">
        <v>11</v>
      </c>
      <c r="U145" s="58">
        <v>10</v>
      </c>
      <c r="V145" s="16">
        <f t="shared" si="83"/>
        <v>12</v>
      </c>
      <c r="W145" s="17">
        <f t="shared" si="84"/>
        <v>13</v>
      </c>
      <c r="X145" s="17">
        <f t="shared" si="84"/>
        <v>13</v>
      </c>
      <c r="Y145" s="17">
        <f t="shared" si="85"/>
        <v>9</v>
      </c>
      <c r="Z145" s="17">
        <f t="shared" si="72"/>
        <v>13</v>
      </c>
      <c r="AA145" s="17">
        <f t="shared" si="86"/>
        <v>12</v>
      </c>
      <c r="AB145" s="58">
        <f t="shared" si="87"/>
        <v>15</v>
      </c>
      <c r="AC145" s="67"/>
      <c r="AD145" s="67"/>
      <c r="AE145" s="67"/>
      <c r="AF145" s="67"/>
      <c r="AG145" s="67"/>
      <c r="AH145" s="67"/>
      <c r="AI145" s="73"/>
      <c r="AJ145" s="74"/>
      <c r="AK145" s="74"/>
      <c r="AL145" s="62">
        <v>0.6</v>
      </c>
      <c r="AM145" s="63">
        <v>0.5</v>
      </c>
      <c r="AN145" s="63">
        <v>0.66</v>
      </c>
      <c r="AO145" s="63">
        <v>0.5</v>
      </c>
      <c r="AP145" s="64">
        <v>0.9</v>
      </c>
      <c r="AQ145" s="62">
        <f t="shared" si="73"/>
        <v>1</v>
      </c>
      <c r="AR145" s="65">
        <v>1</v>
      </c>
      <c r="AS145" s="62">
        <f t="shared" si="74"/>
        <v>0.76000000000000045</v>
      </c>
      <c r="AT145" s="65">
        <f t="shared" si="90"/>
        <v>0.85800000000000054</v>
      </c>
      <c r="AU145" s="62">
        <f t="shared" si="75"/>
        <v>1.0000000000000004</v>
      </c>
      <c r="AV145" s="65">
        <v>1.0000000000000004</v>
      </c>
      <c r="AW145" s="62">
        <f t="shared" si="76"/>
        <v>1.0000000000000004</v>
      </c>
      <c r="AX145" s="65">
        <v>1</v>
      </c>
      <c r="AY145" s="62">
        <f t="shared" si="77"/>
        <v>1.0000000000000004</v>
      </c>
      <c r="AZ145" s="65">
        <v>1.0000000000000004</v>
      </c>
      <c r="BA145" s="62">
        <f t="shared" si="78"/>
        <v>1.0000000000000004</v>
      </c>
      <c r="BB145" s="65">
        <v>1</v>
      </c>
      <c r="BC145" s="62">
        <f t="shared" si="79"/>
        <v>1.0000000000000004</v>
      </c>
      <c r="BD145" s="65">
        <v>1</v>
      </c>
      <c r="BE145" s="74"/>
      <c r="BF145" s="7"/>
      <c r="BG145" s="74"/>
      <c r="BH145" s="7"/>
      <c r="BI145" s="7"/>
      <c r="BJ145" s="7"/>
      <c r="BK145" s="7"/>
      <c r="BL145" s="7"/>
      <c r="BM145" s="7"/>
      <c r="BN145" s="7"/>
      <c r="BO145" s="7"/>
      <c r="BP145" s="7"/>
      <c r="BQ145" s="7"/>
    </row>
    <row r="146" spans="1:69" ht="19.8" thickBot="1" x14ac:dyDescent="0.35">
      <c r="A146" s="16">
        <v>144</v>
      </c>
      <c r="B146" s="52">
        <v>44930</v>
      </c>
      <c r="C146" s="53" t="str">
        <f t="shared" si="80"/>
        <v>1401/10/14</v>
      </c>
      <c r="D146" s="54">
        <v>0.93500000000000083</v>
      </c>
      <c r="E146" s="54">
        <v>0.74483900000000114</v>
      </c>
      <c r="F146" s="11" t="e">
        <f t="shared" si="81"/>
        <v>#N/A</v>
      </c>
      <c r="G146" s="38" t="str">
        <f t="shared" si="82"/>
        <v>تاریخ: 1401/10/14
درصد پیشرفت برنامه ای: 93.5%
درصد پیشرفت واقعی: 74.48%</v>
      </c>
      <c r="H146" s="55">
        <v>1</v>
      </c>
      <c r="I146" s="56">
        <v>0.76000000000000045</v>
      </c>
      <c r="J146" s="56">
        <v>1.0000000000000004</v>
      </c>
      <c r="K146" s="56">
        <f t="shared" si="67"/>
        <v>1.0000000000000004</v>
      </c>
      <c r="L146" s="56">
        <f t="shared" si="70"/>
        <v>1.0000000000000004</v>
      </c>
      <c r="M146" s="56">
        <f t="shared" si="70"/>
        <v>1.0000000000000004</v>
      </c>
      <c r="N146" s="57">
        <f t="shared" si="68"/>
        <v>1.0000000000000004</v>
      </c>
      <c r="O146" s="16">
        <f t="shared" si="88"/>
        <v>10</v>
      </c>
      <c r="P146" s="17">
        <v>10</v>
      </c>
      <c r="Q146" s="17">
        <v>9</v>
      </c>
      <c r="R146" s="17">
        <v>8</v>
      </c>
      <c r="S146" s="17">
        <v>7</v>
      </c>
      <c r="T146" s="17">
        <v>5</v>
      </c>
      <c r="U146" s="58">
        <v>4</v>
      </c>
      <c r="V146" s="16">
        <f t="shared" si="83"/>
        <v>13</v>
      </c>
      <c r="W146" s="17">
        <f t="shared" si="84"/>
        <v>14</v>
      </c>
      <c r="X146" s="17">
        <f t="shared" si="84"/>
        <v>13</v>
      </c>
      <c r="Y146" s="17">
        <f t="shared" si="85"/>
        <v>9</v>
      </c>
      <c r="Z146" s="17">
        <f t="shared" si="72"/>
        <v>10</v>
      </c>
      <c r="AA146" s="17">
        <f t="shared" si="86"/>
        <v>6</v>
      </c>
      <c r="AB146" s="58">
        <f t="shared" si="87"/>
        <v>9</v>
      </c>
      <c r="AC146" s="67"/>
      <c r="AD146" s="67"/>
      <c r="AE146" s="67"/>
      <c r="AF146" s="67"/>
      <c r="AG146" s="67"/>
      <c r="AH146" s="67"/>
      <c r="AI146" s="73"/>
      <c r="AJ146" s="74"/>
      <c r="AK146" s="74"/>
      <c r="AL146" s="62">
        <v>0.55000000000000004</v>
      </c>
      <c r="AM146" s="63">
        <v>0.62</v>
      </c>
      <c r="AN146" s="63">
        <v>0.78</v>
      </c>
      <c r="AO146" s="63">
        <v>0.42</v>
      </c>
      <c r="AP146" s="64">
        <v>0.8</v>
      </c>
      <c r="AQ146" s="62">
        <f t="shared" si="73"/>
        <v>1</v>
      </c>
      <c r="AR146" s="65">
        <v>1</v>
      </c>
      <c r="AS146" s="62">
        <f t="shared" si="74"/>
        <v>0.76000000000000045</v>
      </c>
      <c r="AT146" s="65">
        <f t="shared" si="90"/>
        <v>0.86300000000000054</v>
      </c>
      <c r="AU146" s="62">
        <f t="shared" si="75"/>
        <v>1.0000000000000004</v>
      </c>
      <c r="AV146" s="65">
        <v>1.0000000000000004</v>
      </c>
      <c r="AW146" s="62">
        <f t="shared" si="76"/>
        <v>1.0000000000000004</v>
      </c>
      <c r="AX146" s="65">
        <v>1</v>
      </c>
      <c r="AY146" s="62">
        <f t="shared" si="77"/>
        <v>1.0000000000000004</v>
      </c>
      <c r="AZ146" s="65">
        <v>1.0000000000000004</v>
      </c>
      <c r="BA146" s="62">
        <f t="shared" si="78"/>
        <v>1.0000000000000004</v>
      </c>
      <c r="BB146" s="65">
        <v>1</v>
      </c>
      <c r="BC146" s="62">
        <f t="shared" si="79"/>
        <v>1.0000000000000004</v>
      </c>
      <c r="BD146" s="65">
        <v>1</v>
      </c>
      <c r="BE146" s="74"/>
      <c r="BF146" s="7"/>
      <c r="BG146" s="74"/>
      <c r="BH146" s="7"/>
      <c r="BI146" s="7"/>
      <c r="BJ146" s="7"/>
      <c r="BK146" s="7"/>
      <c r="BL146" s="7"/>
      <c r="BM146" s="7"/>
      <c r="BN146" s="7"/>
      <c r="BO146" s="7"/>
      <c r="BP146" s="7"/>
      <c r="BQ146" s="7"/>
    </row>
    <row r="147" spans="1:69" ht="19.8" thickBot="1" x14ac:dyDescent="0.35">
      <c r="A147" s="16">
        <v>145</v>
      </c>
      <c r="B147" s="52">
        <v>44937</v>
      </c>
      <c r="C147" s="53" t="str">
        <f t="shared" si="80"/>
        <v>1401/10/21</v>
      </c>
      <c r="D147" s="54">
        <v>0.93700000000000083</v>
      </c>
      <c r="E147" s="54">
        <v>0.74708100000000111</v>
      </c>
      <c r="F147" s="11" t="e">
        <f t="shared" si="81"/>
        <v>#N/A</v>
      </c>
      <c r="G147" s="38" t="str">
        <f t="shared" si="82"/>
        <v>تاریخ: 1401/10/21
درصد پیشرفت برنامه ای: 93.7%
درصد پیشرفت واقعی: 74.71%</v>
      </c>
      <c r="H147" s="55">
        <v>1</v>
      </c>
      <c r="I147" s="56">
        <v>0.76000000000000045</v>
      </c>
      <c r="J147" s="56">
        <v>1.0000000000000004</v>
      </c>
      <c r="K147" s="56">
        <f t="shared" si="67"/>
        <v>1.0000000000000004</v>
      </c>
      <c r="L147" s="56">
        <f t="shared" si="70"/>
        <v>1.0000000000000004</v>
      </c>
      <c r="M147" s="56">
        <f t="shared" si="70"/>
        <v>1.0000000000000004</v>
      </c>
      <c r="N147" s="57">
        <f t="shared" si="68"/>
        <v>1.0000000000000004</v>
      </c>
      <c r="O147" s="16">
        <f t="shared" si="88"/>
        <v>4</v>
      </c>
      <c r="P147" s="17">
        <v>4</v>
      </c>
      <c r="Q147" s="17">
        <v>5</v>
      </c>
      <c r="R147" s="17">
        <v>5</v>
      </c>
      <c r="S147" s="17">
        <v>6</v>
      </c>
      <c r="T147" s="17">
        <v>5</v>
      </c>
      <c r="U147" s="58">
        <v>6</v>
      </c>
      <c r="V147" s="16">
        <f t="shared" si="83"/>
        <v>7</v>
      </c>
      <c r="W147" s="17">
        <f t="shared" si="84"/>
        <v>8</v>
      </c>
      <c r="X147" s="17">
        <f t="shared" si="84"/>
        <v>9</v>
      </c>
      <c r="Y147" s="17">
        <f t="shared" si="85"/>
        <v>6</v>
      </c>
      <c r="Z147" s="17">
        <f t="shared" si="72"/>
        <v>9</v>
      </c>
      <c r="AA147" s="17">
        <f t="shared" si="86"/>
        <v>6</v>
      </c>
      <c r="AB147" s="58">
        <f t="shared" si="87"/>
        <v>11</v>
      </c>
      <c r="AC147" s="67"/>
      <c r="AD147" s="67"/>
      <c r="AE147" s="67"/>
      <c r="AF147" s="67"/>
      <c r="AG147" s="67"/>
      <c r="AH147" s="67"/>
      <c r="AI147" s="73"/>
      <c r="AJ147" s="74"/>
      <c r="AK147" s="74"/>
      <c r="AL147" s="62">
        <v>0.6</v>
      </c>
      <c r="AM147" s="63">
        <v>0.9</v>
      </c>
      <c r="AN147" s="63">
        <v>0.5</v>
      </c>
      <c r="AO147" s="63">
        <v>0.5</v>
      </c>
      <c r="AP147" s="64">
        <v>0.62</v>
      </c>
      <c r="AQ147" s="62">
        <f t="shared" si="73"/>
        <v>1</v>
      </c>
      <c r="AR147" s="65">
        <v>1</v>
      </c>
      <c r="AS147" s="62">
        <f t="shared" si="74"/>
        <v>0.76000000000000045</v>
      </c>
      <c r="AT147" s="65">
        <f t="shared" si="90"/>
        <v>0.86800000000000055</v>
      </c>
      <c r="AU147" s="62">
        <f t="shared" si="75"/>
        <v>1.0000000000000004</v>
      </c>
      <c r="AV147" s="65">
        <v>1.0000000000000004</v>
      </c>
      <c r="AW147" s="62">
        <f t="shared" si="76"/>
        <v>1.0000000000000004</v>
      </c>
      <c r="AX147" s="65">
        <v>1</v>
      </c>
      <c r="AY147" s="62">
        <f t="shared" si="77"/>
        <v>1.0000000000000004</v>
      </c>
      <c r="AZ147" s="65">
        <v>1.0000000000000004</v>
      </c>
      <c r="BA147" s="62">
        <f t="shared" si="78"/>
        <v>1.0000000000000004</v>
      </c>
      <c r="BB147" s="65">
        <v>1</v>
      </c>
      <c r="BC147" s="62">
        <f t="shared" si="79"/>
        <v>1.0000000000000004</v>
      </c>
      <c r="BD147" s="65">
        <v>1</v>
      </c>
      <c r="BE147" s="74"/>
      <c r="BF147" s="7"/>
      <c r="BG147" s="74"/>
      <c r="BH147" s="7"/>
      <c r="BI147" s="7"/>
      <c r="BJ147" s="7"/>
      <c r="BK147" s="7"/>
      <c r="BL147" s="7"/>
      <c r="BM147" s="7"/>
      <c r="BN147" s="7"/>
      <c r="BO147" s="7"/>
      <c r="BP147" s="7"/>
      <c r="BQ147" s="7"/>
    </row>
    <row r="148" spans="1:69" ht="19.8" thickBot="1" x14ac:dyDescent="0.35">
      <c r="A148" s="16">
        <v>146</v>
      </c>
      <c r="B148" s="52">
        <v>44944</v>
      </c>
      <c r="C148" s="53" t="str">
        <f t="shared" si="80"/>
        <v>1401/10/28</v>
      </c>
      <c r="D148" s="54">
        <v>0.93900000000000083</v>
      </c>
      <c r="E148" s="54">
        <v>0.74952300000000116</v>
      </c>
      <c r="F148" s="11" t="e">
        <f t="shared" si="81"/>
        <v>#N/A</v>
      </c>
      <c r="G148" s="38" t="str">
        <f t="shared" si="82"/>
        <v>تاریخ: 1401/10/28
درصد پیشرفت برنامه ای: 93.9%
درصد پیشرفت واقعی: 74.95%</v>
      </c>
      <c r="H148" s="55">
        <v>1</v>
      </c>
      <c r="I148" s="56">
        <v>0.76000000000000045</v>
      </c>
      <c r="J148" s="56">
        <v>1.0000000000000004</v>
      </c>
      <c r="K148" s="56">
        <f t="shared" si="67"/>
        <v>1.0000000000000004</v>
      </c>
      <c r="L148" s="56">
        <f t="shared" si="70"/>
        <v>1.0000000000000004</v>
      </c>
      <c r="M148" s="56">
        <f t="shared" si="70"/>
        <v>1.0000000000000004</v>
      </c>
      <c r="N148" s="57">
        <f t="shared" si="68"/>
        <v>1.0000000000000004</v>
      </c>
      <c r="O148" s="16">
        <f t="shared" si="88"/>
        <v>6</v>
      </c>
      <c r="P148" s="17">
        <v>6</v>
      </c>
      <c r="Q148" s="17">
        <v>5</v>
      </c>
      <c r="R148" s="17">
        <v>4</v>
      </c>
      <c r="S148" s="17">
        <v>6</v>
      </c>
      <c r="T148" s="17">
        <v>5</v>
      </c>
      <c r="U148" s="58">
        <v>4</v>
      </c>
      <c r="V148" s="16">
        <f t="shared" si="83"/>
        <v>9</v>
      </c>
      <c r="W148" s="17">
        <f t="shared" si="84"/>
        <v>10</v>
      </c>
      <c r="X148" s="17">
        <f t="shared" si="84"/>
        <v>9</v>
      </c>
      <c r="Y148" s="17">
        <f t="shared" si="85"/>
        <v>5</v>
      </c>
      <c r="Z148" s="17">
        <f t="shared" si="72"/>
        <v>9</v>
      </c>
      <c r="AA148" s="17">
        <f t="shared" si="86"/>
        <v>6</v>
      </c>
      <c r="AB148" s="58">
        <f t="shared" si="87"/>
        <v>9</v>
      </c>
      <c r="AC148" s="67"/>
      <c r="AD148" s="67"/>
      <c r="AE148" s="67"/>
      <c r="AF148" s="67"/>
      <c r="AG148" s="67"/>
      <c r="AH148" s="67"/>
      <c r="AI148" s="73"/>
      <c r="AJ148" s="74"/>
      <c r="AK148" s="74"/>
      <c r="AL148" s="62">
        <v>0.66</v>
      </c>
      <c r="AM148" s="63">
        <v>0.7</v>
      </c>
      <c r="AN148" s="63">
        <v>0.8</v>
      </c>
      <c r="AO148" s="63">
        <v>0.55000000000000004</v>
      </c>
      <c r="AP148" s="64">
        <v>0.5</v>
      </c>
      <c r="AQ148" s="62">
        <f t="shared" si="73"/>
        <v>1</v>
      </c>
      <c r="AR148" s="65">
        <v>1</v>
      </c>
      <c r="AS148" s="62">
        <f t="shared" si="74"/>
        <v>0.76000000000000045</v>
      </c>
      <c r="AT148" s="65">
        <f t="shared" si="90"/>
        <v>0.87300000000000055</v>
      </c>
      <c r="AU148" s="62">
        <f t="shared" si="75"/>
        <v>1.0000000000000004</v>
      </c>
      <c r="AV148" s="65">
        <v>1.0000000000000004</v>
      </c>
      <c r="AW148" s="62">
        <f t="shared" si="76"/>
        <v>1.0000000000000004</v>
      </c>
      <c r="AX148" s="65">
        <v>1</v>
      </c>
      <c r="AY148" s="62">
        <f t="shared" si="77"/>
        <v>1.0000000000000004</v>
      </c>
      <c r="AZ148" s="65">
        <v>1.0000000000000004</v>
      </c>
      <c r="BA148" s="62">
        <f t="shared" si="78"/>
        <v>1.0000000000000004</v>
      </c>
      <c r="BB148" s="65">
        <v>1</v>
      </c>
      <c r="BC148" s="62">
        <f t="shared" si="79"/>
        <v>1.0000000000000004</v>
      </c>
      <c r="BD148" s="65">
        <v>1</v>
      </c>
      <c r="BE148" s="74"/>
      <c r="BF148" s="7"/>
      <c r="BG148" s="74"/>
      <c r="BH148" s="7"/>
      <c r="BI148" s="7"/>
      <c r="BJ148" s="7"/>
      <c r="BK148" s="7"/>
      <c r="BL148" s="7"/>
      <c r="BM148" s="7"/>
      <c r="BN148" s="7"/>
      <c r="BO148" s="7"/>
      <c r="BP148" s="7"/>
      <c r="BQ148" s="7"/>
    </row>
    <row r="149" spans="1:69" ht="19.8" thickBot="1" x14ac:dyDescent="0.35">
      <c r="A149" s="16">
        <v>147</v>
      </c>
      <c r="B149" s="52">
        <v>44951</v>
      </c>
      <c r="C149" s="53" t="str">
        <f t="shared" si="80"/>
        <v>1401/11/05</v>
      </c>
      <c r="D149" s="54">
        <v>0.94100000000000084</v>
      </c>
      <c r="E149" s="54">
        <v>0.75196500000000122</v>
      </c>
      <c r="F149" s="11" t="e">
        <f t="shared" si="81"/>
        <v>#N/A</v>
      </c>
      <c r="G149" s="38" t="str">
        <f t="shared" si="82"/>
        <v>تاریخ: 1401/11/05
درصد پیشرفت برنامه ای: 94.1%
درصد پیشرفت واقعی: 75.2%</v>
      </c>
      <c r="H149" s="55">
        <v>1</v>
      </c>
      <c r="I149" s="56">
        <v>0.76000000000000045</v>
      </c>
      <c r="J149" s="56">
        <v>1.0000000000000004</v>
      </c>
      <c r="K149" s="56">
        <f t="shared" si="67"/>
        <v>1.0000000000000004</v>
      </c>
      <c r="L149" s="56">
        <f t="shared" si="70"/>
        <v>1.0000000000000004</v>
      </c>
      <c r="M149" s="56">
        <f t="shared" si="70"/>
        <v>1.0000000000000004</v>
      </c>
      <c r="N149" s="57">
        <f t="shared" si="68"/>
        <v>1.0000000000000004</v>
      </c>
      <c r="O149" s="16">
        <f t="shared" si="88"/>
        <v>4</v>
      </c>
      <c r="P149" s="17">
        <v>4</v>
      </c>
      <c r="Q149" s="17">
        <v>5</v>
      </c>
      <c r="R149" s="17">
        <v>5</v>
      </c>
      <c r="S149" s="17">
        <v>6</v>
      </c>
      <c r="T149" s="17">
        <v>5</v>
      </c>
      <c r="U149" s="58">
        <v>6</v>
      </c>
      <c r="V149" s="16">
        <f t="shared" si="83"/>
        <v>7</v>
      </c>
      <c r="W149" s="17">
        <f t="shared" si="84"/>
        <v>8</v>
      </c>
      <c r="X149" s="17">
        <f t="shared" si="84"/>
        <v>9</v>
      </c>
      <c r="Y149" s="17">
        <f t="shared" si="85"/>
        <v>6</v>
      </c>
      <c r="Z149" s="17">
        <f t="shared" si="72"/>
        <v>9</v>
      </c>
      <c r="AA149" s="17">
        <f t="shared" si="86"/>
        <v>6</v>
      </c>
      <c r="AB149" s="58">
        <f t="shared" si="87"/>
        <v>11</v>
      </c>
      <c r="AC149" s="67"/>
      <c r="AD149" s="67"/>
      <c r="AE149" s="67"/>
      <c r="AF149" s="67"/>
      <c r="AG149" s="67"/>
      <c r="AH149" s="67"/>
      <c r="AI149" s="73"/>
      <c r="AJ149" s="74"/>
      <c r="AK149" s="74"/>
      <c r="AL149" s="62">
        <v>0.55000000000000004</v>
      </c>
      <c r="AM149" s="63">
        <v>0.4</v>
      </c>
      <c r="AN149" s="63">
        <v>0.4</v>
      </c>
      <c r="AO149" s="63">
        <v>0.9</v>
      </c>
      <c r="AP149" s="64">
        <v>0.8</v>
      </c>
      <c r="AQ149" s="62">
        <f t="shared" si="73"/>
        <v>1</v>
      </c>
      <c r="AR149" s="65">
        <v>1</v>
      </c>
      <c r="AS149" s="62">
        <f t="shared" si="74"/>
        <v>0.76000000000000045</v>
      </c>
      <c r="AT149" s="65">
        <f t="shared" si="90"/>
        <v>0.87800000000000056</v>
      </c>
      <c r="AU149" s="62">
        <f t="shared" si="75"/>
        <v>1.0000000000000004</v>
      </c>
      <c r="AV149" s="65">
        <v>1.0000000000000004</v>
      </c>
      <c r="AW149" s="62">
        <f t="shared" si="76"/>
        <v>1.0000000000000004</v>
      </c>
      <c r="AX149" s="65">
        <v>1</v>
      </c>
      <c r="AY149" s="62">
        <f t="shared" si="77"/>
        <v>1.0000000000000004</v>
      </c>
      <c r="AZ149" s="65">
        <v>1.0000000000000004</v>
      </c>
      <c r="BA149" s="62">
        <f t="shared" si="78"/>
        <v>1.0000000000000004</v>
      </c>
      <c r="BB149" s="65">
        <v>1</v>
      </c>
      <c r="BC149" s="62">
        <f t="shared" si="79"/>
        <v>1.0000000000000004</v>
      </c>
      <c r="BD149" s="65">
        <v>1</v>
      </c>
      <c r="BE149" s="74"/>
      <c r="BF149" s="7"/>
      <c r="BG149" s="74"/>
      <c r="BH149" s="7"/>
      <c r="BI149" s="7"/>
      <c r="BJ149" s="7"/>
      <c r="BK149" s="7"/>
      <c r="BL149" s="7"/>
      <c r="BM149" s="7"/>
      <c r="BN149" s="7"/>
      <c r="BO149" s="7"/>
      <c r="BP149" s="7"/>
      <c r="BQ149" s="7"/>
    </row>
    <row r="150" spans="1:69" ht="19.8" thickBot="1" x14ac:dyDescent="0.35">
      <c r="A150" s="16">
        <v>148</v>
      </c>
      <c r="B150" s="52">
        <v>44958</v>
      </c>
      <c r="C150" s="53" t="str">
        <f t="shared" si="80"/>
        <v>1401/11/12</v>
      </c>
      <c r="D150" s="54">
        <v>0.94300000000000084</v>
      </c>
      <c r="E150" s="54">
        <v>0.75440700000000127</v>
      </c>
      <c r="F150" s="11" t="e">
        <f t="shared" si="81"/>
        <v>#N/A</v>
      </c>
      <c r="G150" s="38" t="str">
        <f t="shared" si="82"/>
        <v>تاریخ: 1401/11/12
درصد پیشرفت برنامه ای: 94.3%
درصد پیشرفت واقعی: 75.44%</v>
      </c>
      <c r="H150" s="55">
        <v>1</v>
      </c>
      <c r="I150" s="56">
        <f t="shared" si="71"/>
        <v>0.76500000000000046</v>
      </c>
      <c r="J150" s="56">
        <v>1.0000000000000004</v>
      </c>
      <c r="K150" s="56">
        <f t="shared" si="67"/>
        <v>1.0000000000000004</v>
      </c>
      <c r="L150" s="56">
        <f t="shared" si="70"/>
        <v>1.0000000000000004</v>
      </c>
      <c r="M150" s="56">
        <f t="shared" si="70"/>
        <v>1.0000000000000004</v>
      </c>
      <c r="N150" s="57">
        <f t="shared" si="68"/>
        <v>1.0000000000000004</v>
      </c>
      <c r="O150" s="16">
        <f t="shared" si="88"/>
        <v>6</v>
      </c>
      <c r="P150" s="17">
        <v>6</v>
      </c>
      <c r="Q150" s="17">
        <v>5</v>
      </c>
      <c r="R150" s="17">
        <v>4</v>
      </c>
      <c r="S150" s="17">
        <v>6</v>
      </c>
      <c r="T150" s="17">
        <v>5</v>
      </c>
      <c r="U150" s="58">
        <v>4</v>
      </c>
      <c r="V150" s="16">
        <f t="shared" si="83"/>
        <v>9</v>
      </c>
      <c r="W150" s="17">
        <f t="shared" si="84"/>
        <v>10</v>
      </c>
      <c r="X150" s="17">
        <f t="shared" si="84"/>
        <v>9</v>
      </c>
      <c r="Y150" s="17">
        <f t="shared" si="85"/>
        <v>5</v>
      </c>
      <c r="Z150" s="17">
        <f t="shared" si="72"/>
        <v>9</v>
      </c>
      <c r="AA150" s="17">
        <f t="shared" si="86"/>
        <v>6</v>
      </c>
      <c r="AB150" s="58">
        <f t="shared" si="87"/>
        <v>9</v>
      </c>
      <c r="AC150" s="67"/>
      <c r="AD150" s="67"/>
      <c r="AE150" s="67"/>
      <c r="AF150" s="67"/>
      <c r="AG150" s="67"/>
      <c r="AH150" s="67"/>
      <c r="AI150" s="73"/>
      <c r="AJ150" s="74"/>
      <c r="AK150" s="74"/>
      <c r="AL150" s="62">
        <v>0.7</v>
      </c>
      <c r="AM150" s="63">
        <v>0.55000000000000004</v>
      </c>
      <c r="AN150" s="63">
        <v>0.1</v>
      </c>
      <c r="AO150" s="63">
        <v>0.4</v>
      </c>
      <c r="AP150" s="64">
        <v>0.9</v>
      </c>
      <c r="AQ150" s="62">
        <f t="shared" si="73"/>
        <v>1</v>
      </c>
      <c r="AR150" s="65">
        <v>1</v>
      </c>
      <c r="AS150" s="62">
        <f t="shared" si="74"/>
        <v>0.76500000000000046</v>
      </c>
      <c r="AT150" s="65">
        <f t="shared" si="90"/>
        <v>0.88300000000000056</v>
      </c>
      <c r="AU150" s="62">
        <f t="shared" si="75"/>
        <v>1.0000000000000004</v>
      </c>
      <c r="AV150" s="65">
        <v>1.0000000000000004</v>
      </c>
      <c r="AW150" s="62">
        <f t="shared" si="76"/>
        <v>1.0000000000000004</v>
      </c>
      <c r="AX150" s="65">
        <v>1</v>
      </c>
      <c r="AY150" s="62">
        <f t="shared" si="77"/>
        <v>1.0000000000000004</v>
      </c>
      <c r="AZ150" s="65">
        <v>1.0000000000000004</v>
      </c>
      <c r="BA150" s="62">
        <f t="shared" si="78"/>
        <v>1.0000000000000004</v>
      </c>
      <c r="BB150" s="65">
        <v>1</v>
      </c>
      <c r="BC150" s="62">
        <f t="shared" si="79"/>
        <v>1.0000000000000004</v>
      </c>
      <c r="BD150" s="65">
        <v>1</v>
      </c>
      <c r="BE150" s="74"/>
      <c r="BF150" s="7"/>
      <c r="BG150" s="74"/>
      <c r="BH150" s="7"/>
      <c r="BI150" s="7"/>
      <c r="BJ150" s="7"/>
      <c r="BK150" s="7"/>
      <c r="BL150" s="7"/>
      <c r="BM150" s="7"/>
      <c r="BN150" s="7"/>
      <c r="BO150" s="7"/>
      <c r="BP150" s="7"/>
      <c r="BQ150" s="7"/>
    </row>
    <row r="151" spans="1:69" ht="19.8" thickBot="1" x14ac:dyDescent="0.35">
      <c r="A151" s="16">
        <v>149</v>
      </c>
      <c r="B151" s="52">
        <v>44965</v>
      </c>
      <c r="C151" s="53" t="str">
        <f t="shared" si="80"/>
        <v>1401/11/19</v>
      </c>
      <c r="D151" s="54">
        <v>0.94500000000000084</v>
      </c>
      <c r="E151" s="54">
        <v>0.75440700000000127</v>
      </c>
      <c r="F151" s="11" t="e">
        <f t="shared" si="81"/>
        <v>#N/A</v>
      </c>
      <c r="G151" s="38" t="str">
        <f t="shared" si="82"/>
        <v>تاریخ: 1401/11/19
درصد پیشرفت برنامه ای: 94.5%
درصد پیشرفت واقعی: 75.44%</v>
      </c>
      <c r="H151" s="55">
        <v>1</v>
      </c>
      <c r="I151" s="56">
        <f t="shared" si="71"/>
        <v>0.77000000000000046</v>
      </c>
      <c r="J151" s="56">
        <v>1.0000000000000004</v>
      </c>
      <c r="K151" s="56">
        <f t="shared" si="67"/>
        <v>1.0000000000000004</v>
      </c>
      <c r="L151" s="56">
        <f t="shared" si="70"/>
        <v>1.0000000000000004</v>
      </c>
      <c r="M151" s="56">
        <f t="shared" si="70"/>
        <v>1.0000000000000004</v>
      </c>
      <c r="N151" s="57">
        <f t="shared" si="68"/>
        <v>1.0000000000000004</v>
      </c>
      <c r="O151" s="16">
        <f t="shared" si="88"/>
        <v>4</v>
      </c>
      <c r="P151" s="17">
        <v>4</v>
      </c>
      <c r="Q151" s="17">
        <v>5</v>
      </c>
      <c r="R151" s="17">
        <v>5</v>
      </c>
      <c r="S151" s="17">
        <v>6</v>
      </c>
      <c r="T151" s="17">
        <v>5</v>
      </c>
      <c r="U151" s="58">
        <v>6</v>
      </c>
      <c r="V151" s="16">
        <f t="shared" si="83"/>
        <v>7</v>
      </c>
      <c r="W151" s="17">
        <f t="shared" si="84"/>
        <v>8</v>
      </c>
      <c r="X151" s="17">
        <f t="shared" si="84"/>
        <v>9</v>
      </c>
      <c r="Y151" s="17">
        <f t="shared" si="85"/>
        <v>6</v>
      </c>
      <c r="Z151" s="17">
        <f t="shared" si="72"/>
        <v>9</v>
      </c>
      <c r="AA151" s="17">
        <f t="shared" si="86"/>
        <v>6</v>
      </c>
      <c r="AB151" s="58">
        <f t="shared" si="87"/>
        <v>11</v>
      </c>
      <c r="AC151" s="67"/>
      <c r="AD151" s="67"/>
      <c r="AE151" s="67"/>
      <c r="AF151" s="67"/>
      <c r="AG151" s="67"/>
      <c r="AH151" s="67"/>
      <c r="AI151" s="73"/>
      <c r="AJ151" s="74"/>
      <c r="AK151" s="74"/>
      <c r="AL151" s="62">
        <v>0.4</v>
      </c>
      <c r="AM151" s="63">
        <v>0.69</v>
      </c>
      <c r="AN151" s="63">
        <v>0.5</v>
      </c>
      <c r="AO151" s="63">
        <v>0.2</v>
      </c>
      <c r="AP151" s="64">
        <v>0.4</v>
      </c>
      <c r="AQ151" s="62">
        <f t="shared" si="73"/>
        <v>1</v>
      </c>
      <c r="AR151" s="65">
        <v>1</v>
      </c>
      <c r="AS151" s="62">
        <f t="shared" si="74"/>
        <v>0.77000000000000046</v>
      </c>
      <c r="AT151" s="65">
        <f t="shared" si="90"/>
        <v>0.88800000000000057</v>
      </c>
      <c r="AU151" s="62">
        <f t="shared" si="75"/>
        <v>1.0000000000000004</v>
      </c>
      <c r="AV151" s="65">
        <v>1.0000000000000004</v>
      </c>
      <c r="AW151" s="62">
        <f t="shared" si="76"/>
        <v>1.0000000000000004</v>
      </c>
      <c r="AX151" s="65">
        <v>1</v>
      </c>
      <c r="AY151" s="62">
        <f t="shared" si="77"/>
        <v>1.0000000000000004</v>
      </c>
      <c r="AZ151" s="65">
        <v>1.0000000000000004</v>
      </c>
      <c r="BA151" s="62">
        <f t="shared" si="78"/>
        <v>1.0000000000000004</v>
      </c>
      <c r="BB151" s="65">
        <v>1</v>
      </c>
      <c r="BC151" s="62">
        <f t="shared" si="79"/>
        <v>1.0000000000000004</v>
      </c>
      <c r="BD151" s="65">
        <v>1</v>
      </c>
      <c r="BE151" s="74"/>
      <c r="BF151" s="7"/>
      <c r="BG151" s="74"/>
      <c r="BH151" s="7"/>
      <c r="BI151" s="7"/>
      <c r="BJ151" s="7"/>
      <c r="BK151" s="7"/>
      <c r="BL151" s="7"/>
      <c r="BM151" s="7"/>
      <c r="BN151" s="7"/>
      <c r="BO151" s="7"/>
      <c r="BP151" s="7"/>
      <c r="BQ151" s="7"/>
    </row>
    <row r="152" spans="1:69" ht="19.8" thickBot="1" x14ac:dyDescent="0.35">
      <c r="A152" s="16">
        <v>150</v>
      </c>
      <c r="B152" s="52">
        <v>44972</v>
      </c>
      <c r="C152" s="53" t="str">
        <f t="shared" si="80"/>
        <v>1401/11/26</v>
      </c>
      <c r="D152" s="54">
        <v>0.94700000000000084</v>
      </c>
      <c r="E152" s="54">
        <v>0.75440700000000127</v>
      </c>
      <c r="F152" s="11" t="e">
        <f t="shared" si="81"/>
        <v>#N/A</v>
      </c>
      <c r="G152" s="38" t="str">
        <f t="shared" si="82"/>
        <v>تاریخ: 1401/11/26
درصد پیشرفت برنامه ای: 94.7%
درصد پیشرفت واقعی: 75.44%</v>
      </c>
      <c r="H152" s="55">
        <v>1</v>
      </c>
      <c r="I152" s="56">
        <f t="shared" si="71"/>
        <v>0.77500000000000047</v>
      </c>
      <c r="J152" s="56">
        <v>1.0000000000000004</v>
      </c>
      <c r="K152" s="56">
        <f t="shared" si="67"/>
        <v>1.0000000000000004</v>
      </c>
      <c r="L152" s="56">
        <f t="shared" si="70"/>
        <v>1.0000000000000004</v>
      </c>
      <c r="M152" s="56">
        <f t="shared" si="70"/>
        <v>1.0000000000000004</v>
      </c>
      <c r="N152" s="57">
        <f t="shared" si="68"/>
        <v>1.0000000000000004</v>
      </c>
      <c r="O152" s="16">
        <f t="shared" si="88"/>
        <v>6</v>
      </c>
      <c r="P152" s="17">
        <v>6</v>
      </c>
      <c r="Q152" s="17">
        <v>5</v>
      </c>
      <c r="R152" s="17">
        <v>4</v>
      </c>
      <c r="S152" s="17">
        <v>6</v>
      </c>
      <c r="T152" s="17">
        <v>5</v>
      </c>
      <c r="U152" s="58">
        <v>4</v>
      </c>
      <c r="V152" s="16">
        <f t="shared" si="83"/>
        <v>9</v>
      </c>
      <c r="W152" s="17">
        <f t="shared" si="84"/>
        <v>10</v>
      </c>
      <c r="X152" s="17">
        <f t="shared" si="84"/>
        <v>9</v>
      </c>
      <c r="Y152" s="17">
        <f t="shared" si="85"/>
        <v>5</v>
      </c>
      <c r="Z152" s="17">
        <f t="shared" si="72"/>
        <v>9</v>
      </c>
      <c r="AA152" s="17">
        <f t="shared" si="86"/>
        <v>6</v>
      </c>
      <c r="AB152" s="58">
        <f t="shared" si="87"/>
        <v>9</v>
      </c>
      <c r="AC152" s="67"/>
      <c r="AD152" s="67"/>
      <c r="AE152" s="67"/>
      <c r="AF152" s="67"/>
      <c r="AG152" s="67"/>
      <c r="AH152" s="67"/>
      <c r="AI152" s="73"/>
      <c r="AJ152" s="74"/>
      <c r="AK152" s="74"/>
      <c r="AL152" s="62">
        <v>0.35</v>
      </c>
      <c r="AM152" s="63">
        <v>0.4</v>
      </c>
      <c r="AN152" s="63">
        <v>0.9</v>
      </c>
      <c r="AO152" s="63">
        <v>0.8</v>
      </c>
      <c r="AP152" s="64">
        <v>0.2</v>
      </c>
      <c r="AQ152" s="62">
        <f t="shared" si="73"/>
        <v>1</v>
      </c>
      <c r="AR152" s="65">
        <v>1</v>
      </c>
      <c r="AS152" s="62">
        <f t="shared" si="74"/>
        <v>0.77500000000000047</v>
      </c>
      <c r="AT152" s="65">
        <f t="shared" si="90"/>
        <v>0.89300000000000057</v>
      </c>
      <c r="AU152" s="62">
        <f t="shared" si="75"/>
        <v>1.0000000000000004</v>
      </c>
      <c r="AV152" s="65">
        <v>1.0000000000000004</v>
      </c>
      <c r="AW152" s="62">
        <f t="shared" si="76"/>
        <v>1.0000000000000004</v>
      </c>
      <c r="AX152" s="65">
        <v>1</v>
      </c>
      <c r="AY152" s="62">
        <f t="shared" si="77"/>
        <v>1.0000000000000004</v>
      </c>
      <c r="AZ152" s="65">
        <v>1.0000000000000004</v>
      </c>
      <c r="BA152" s="62">
        <f t="shared" si="78"/>
        <v>1.0000000000000004</v>
      </c>
      <c r="BB152" s="65">
        <v>1</v>
      </c>
      <c r="BC152" s="62">
        <f t="shared" si="79"/>
        <v>1.0000000000000004</v>
      </c>
      <c r="BD152" s="65">
        <v>1</v>
      </c>
      <c r="BE152" s="74"/>
      <c r="BF152" s="7"/>
      <c r="BG152" s="74"/>
      <c r="BH152" s="7"/>
      <c r="BI152" s="7"/>
      <c r="BJ152" s="7"/>
      <c r="BK152" s="7"/>
      <c r="BL152" s="7"/>
      <c r="BM152" s="7"/>
      <c r="BN152" s="7"/>
      <c r="BO152" s="7"/>
      <c r="BP152" s="7"/>
      <c r="BQ152" s="7"/>
    </row>
    <row r="153" spans="1:69" ht="19.8" thickBot="1" x14ac:dyDescent="0.35">
      <c r="A153" s="16">
        <v>151</v>
      </c>
      <c r="B153" s="52">
        <v>44979</v>
      </c>
      <c r="C153" s="53" t="str">
        <f t="shared" si="80"/>
        <v>1401/12/03</v>
      </c>
      <c r="D153" s="54">
        <v>0.94900000000000084</v>
      </c>
      <c r="E153" s="54">
        <v>0.75684900000000133</v>
      </c>
      <c r="F153" s="11" t="e">
        <f t="shared" si="81"/>
        <v>#N/A</v>
      </c>
      <c r="G153" s="38" t="str">
        <f t="shared" si="82"/>
        <v>تاریخ: 1401/12/03
درصد پیشرفت برنامه ای: 94.9%
درصد پیشرفت واقعی: 75.68%</v>
      </c>
      <c r="H153" s="55">
        <v>1</v>
      </c>
      <c r="I153" s="56">
        <f t="shared" si="71"/>
        <v>0.78000000000000047</v>
      </c>
      <c r="J153" s="56">
        <v>1.0000000000000004</v>
      </c>
      <c r="K153" s="56">
        <f t="shared" si="67"/>
        <v>1.0000000000000004</v>
      </c>
      <c r="L153" s="56">
        <f t="shared" si="70"/>
        <v>1.0000000000000004</v>
      </c>
      <c r="M153" s="56">
        <f t="shared" si="70"/>
        <v>1.0000000000000004</v>
      </c>
      <c r="N153" s="57">
        <f t="shared" si="68"/>
        <v>1.0000000000000004</v>
      </c>
      <c r="O153" s="16">
        <f t="shared" si="88"/>
        <v>4</v>
      </c>
      <c r="P153" s="17">
        <v>10</v>
      </c>
      <c r="Q153" s="17">
        <v>9</v>
      </c>
      <c r="R153" s="17">
        <v>8</v>
      </c>
      <c r="S153" s="17">
        <v>7</v>
      </c>
      <c r="T153" s="17">
        <v>5</v>
      </c>
      <c r="U153" s="58">
        <v>4</v>
      </c>
      <c r="V153" s="16">
        <f t="shared" si="83"/>
        <v>7</v>
      </c>
      <c r="W153" s="17">
        <f t="shared" si="84"/>
        <v>14</v>
      </c>
      <c r="X153" s="17">
        <f t="shared" si="84"/>
        <v>13</v>
      </c>
      <c r="Y153" s="17">
        <f t="shared" si="85"/>
        <v>9</v>
      </c>
      <c r="Z153" s="17">
        <f t="shared" si="72"/>
        <v>10</v>
      </c>
      <c r="AA153" s="17">
        <f t="shared" si="86"/>
        <v>6</v>
      </c>
      <c r="AB153" s="58">
        <f t="shared" si="87"/>
        <v>9</v>
      </c>
      <c r="AC153" s="67"/>
      <c r="AD153" s="67"/>
      <c r="AE153" s="67"/>
      <c r="AF153" s="67"/>
      <c r="AG153" s="67"/>
      <c r="AH153" s="67"/>
      <c r="AI153" s="73"/>
      <c r="AJ153" s="74"/>
      <c r="AK153" s="74"/>
      <c r="AL153" s="62">
        <v>0.85</v>
      </c>
      <c r="AM153" s="63">
        <v>0.8</v>
      </c>
      <c r="AN153" s="63">
        <v>0.5</v>
      </c>
      <c r="AO153" s="63">
        <v>0.6</v>
      </c>
      <c r="AP153" s="64">
        <v>0.6</v>
      </c>
      <c r="AQ153" s="62">
        <f t="shared" si="73"/>
        <v>1</v>
      </c>
      <c r="AR153" s="65">
        <v>1</v>
      </c>
      <c r="AS153" s="62">
        <f t="shared" si="74"/>
        <v>0.78000000000000047</v>
      </c>
      <c r="AT153" s="65">
        <f>AT152+0.2%</f>
        <v>0.89500000000000057</v>
      </c>
      <c r="AU153" s="62">
        <f t="shared" si="75"/>
        <v>1.0000000000000004</v>
      </c>
      <c r="AV153" s="65">
        <v>1.0000000000000004</v>
      </c>
      <c r="AW153" s="62">
        <f t="shared" si="76"/>
        <v>1.0000000000000004</v>
      </c>
      <c r="AX153" s="65">
        <v>1</v>
      </c>
      <c r="AY153" s="62">
        <f t="shared" si="77"/>
        <v>1.0000000000000004</v>
      </c>
      <c r="AZ153" s="65">
        <v>1.0000000000000004</v>
      </c>
      <c r="BA153" s="62">
        <f t="shared" si="78"/>
        <v>1.0000000000000004</v>
      </c>
      <c r="BB153" s="65">
        <v>1</v>
      </c>
      <c r="BC153" s="62">
        <f t="shared" si="79"/>
        <v>1.0000000000000004</v>
      </c>
      <c r="BD153" s="65">
        <v>1</v>
      </c>
      <c r="BE153" s="74"/>
      <c r="BF153" s="7"/>
      <c r="BG153" s="74"/>
      <c r="BH153" s="7"/>
      <c r="BI153" s="7"/>
      <c r="BJ153" s="7"/>
      <c r="BK153" s="7"/>
      <c r="BL153" s="7"/>
      <c r="BM153" s="7"/>
      <c r="BN153" s="7"/>
      <c r="BO153" s="7"/>
      <c r="BP153" s="7"/>
      <c r="BQ153" s="7"/>
    </row>
    <row r="154" spans="1:69" ht="19.8" thickBot="1" x14ac:dyDescent="0.35">
      <c r="A154" s="16">
        <v>152</v>
      </c>
      <c r="B154" s="52">
        <v>44986</v>
      </c>
      <c r="C154" s="53" t="str">
        <f t="shared" si="80"/>
        <v>1401/12/10</v>
      </c>
      <c r="D154" s="54">
        <v>0.9504000000000008</v>
      </c>
      <c r="E154" s="54">
        <v>0.7585584000000013</v>
      </c>
      <c r="F154" s="11" t="e">
        <f t="shared" si="81"/>
        <v>#N/A</v>
      </c>
      <c r="G154" s="38" t="str">
        <f t="shared" si="82"/>
        <v>تاریخ: 1401/12/10
درصد پیشرفت برنامه ای: 95.04%
درصد پیشرفت واقعی: 75.86%</v>
      </c>
      <c r="H154" s="55">
        <v>1</v>
      </c>
      <c r="I154" s="56">
        <f t="shared" si="71"/>
        <v>0.78500000000000048</v>
      </c>
      <c r="J154" s="56">
        <v>1.0000000000000004</v>
      </c>
      <c r="K154" s="56">
        <f t="shared" si="67"/>
        <v>1.0000000000000004</v>
      </c>
      <c r="L154" s="56">
        <f t="shared" si="70"/>
        <v>1.0000000000000004</v>
      </c>
      <c r="M154" s="56">
        <f t="shared" si="70"/>
        <v>1.0000000000000004</v>
      </c>
      <c r="N154" s="57">
        <f t="shared" si="68"/>
        <v>1.0000000000000004</v>
      </c>
      <c r="O154" s="16">
        <f t="shared" si="88"/>
        <v>4</v>
      </c>
      <c r="P154" s="17">
        <v>10</v>
      </c>
      <c r="Q154" s="17">
        <v>9</v>
      </c>
      <c r="R154" s="17">
        <v>10</v>
      </c>
      <c r="S154" s="17">
        <v>11</v>
      </c>
      <c r="T154" s="17">
        <v>10</v>
      </c>
      <c r="U154" s="58">
        <v>11</v>
      </c>
      <c r="V154" s="16">
        <f t="shared" si="83"/>
        <v>7</v>
      </c>
      <c r="W154" s="17">
        <f t="shared" si="84"/>
        <v>14</v>
      </c>
      <c r="X154" s="17">
        <f t="shared" si="84"/>
        <v>13</v>
      </c>
      <c r="Y154" s="17">
        <f t="shared" si="85"/>
        <v>11</v>
      </c>
      <c r="Z154" s="17">
        <f t="shared" si="72"/>
        <v>14</v>
      </c>
      <c r="AA154" s="17">
        <f t="shared" si="86"/>
        <v>11</v>
      </c>
      <c r="AB154" s="58">
        <f t="shared" si="87"/>
        <v>16</v>
      </c>
      <c r="AC154" s="67"/>
      <c r="AD154" s="67"/>
      <c r="AE154" s="67"/>
      <c r="AF154" s="67"/>
      <c r="AG154" s="67"/>
      <c r="AH154" s="67"/>
      <c r="AI154" s="73"/>
      <c r="AJ154" s="74"/>
      <c r="AK154" s="74"/>
      <c r="AL154" s="62">
        <v>0.9</v>
      </c>
      <c r="AM154" s="63">
        <v>0.95</v>
      </c>
      <c r="AN154" s="63">
        <v>0.8</v>
      </c>
      <c r="AO154" s="63">
        <v>0.7</v>
      </c>
      <c r="AP154" s="64">
        <v>0.1</v>
      </c>
      <c r="AQ154" s="62">
        <f t="shared" si="73"/>
        <v>1</v>
      </c>
      <c r="AR154" s="65">
        <v>1</v>
      </c>
      <c r="AS154" s="62">
        <f t="shared" si="74"/>
        <v>0.78500000000000048</v>
      </c>
      <c r="AT154" s="65">
        <f t="shared" ref="AT154:AT176" si="91">AT153+0.4%</f>
        <v>0.89900000000000058</v>
      </c>
      <c r="AU154" s="62">
        <f t="shared" si="75"/>
        <v>1.0000000000000004</v>
      </c>
      <c r="AV154" s="65">
        <v>1.0000000000000004</v>
      </c>
      <c r="AW154" s="62">
        <f t="shared" si="76"/>
        <v>1.0000000000000004</v>
      </c>
      <c r="AX154" s="65">
        <v>1</v>
      </c>
      <c r="AY154" s="62">
        <f t="shared" si="77"/>
        <v>1.0000000000000004</v>
      </c>
      <c r="AZ154" s="65">
        <v>1.0000000000000004</v>
      </c>
      <c r="BA154" s="62">
        <f t="shared" si="78"/>
        <v>1.0000000000000004</v>
      </c>
      <c r="BB154" s="65">
        <v>1</v>
      </c>
      <c r="BC154" s="62">
        <f t="shared" si="79"/>
        <v>1.0000000000000004</v>
      </c>
      <c r="BD154" s="65">
        <v>1</v>
      </c>
      <c r="BE154" s="74"/>
      <c r="BF154" s="7"/>
      <c r="BG154" s="74"/>
      <c r="BH154" s="7"/>
      <c r="BI154" s="7"/>
      <c r="BJ154" s="7"/>
      <c r="BK154" s="7"/>
      <c r="BL154" s="7"/>
      <c r="BM154" s="7"/>
      <c r="BN154" s="7"/>
      <c r="BO154" s="7"/>
      <c r="BP154" s="7"/>
      <c r="BQ154" s="7"/>
    </row>
    <row r="155" spans="1:69" ht="19.8" thickBot="1" x14ac:dyDescent="0.35">
      <c r="A155" s="16">
        <v>153</v>
      </c>
      <c r="B155" s="52">
        <v>44993</v>
      </c>
      <c r="C155" s="53" t="str">
        <f t="shared" si="80"/>
        <v>1401/12/17</v>
      </c>
      <c r="D155" s="54">
        <v>0.95280000000000076</v>
      </c>
      <c r="E155" s="54">
        <v>0.7614888000000013</v>
      </c>
      <c r="F155" s="11" t="e">
        <f t="shared" si="81"/>
        <v>#N/A</v>
      </c>
      <c r="G155" s="38" t="str">
        <f t="shared" si="82"/>
        <v>تاریخ: 1401/12/17
درصد پیشرفت برنامه ای: 95.28%
درصد پیشرفت واقعی: 76.15%</v>
      </c>
      <c r="H155" s="55">
        <v>1</v>
      </c>
      <c r="I155" s="56">
        <f>I154+0.2%</f>
        <v>0.78700000000000048</v>
      </c>
      <c r="J155" s="56">
        <v>1.0000000000000004</v>
      </c>
      <c r="K155" s="56">
        <f t="shared" si="67"/>
        <v>1.0000000000000004</v>
      </c>
      <c r="L155" s="56">
        <f t="shared" si="70"/>
        <v>1.0000000000000004</v>
      </c>
      <c r="M155" s="56">
        <f t="shared" si="70"/>
        <v>1.0000000000000004</v>
      </c>
      <c r="N155" s="57">
        <f t="shared" si="68"/>
        <v>1.0000000000000004</v>
      </c>
      <c r="O155" s="16">
        <f t="shared" si="88"/>
        <v>11</v>
      </c>
      <c r="P155" s="17">
        <v>12</v>
      </c>
      <c r="Q155" s="17">
        <v>11</v>
      </c>
      <c r="R155" s="17">
        <v>13</v>
      </c>
      <c r="S155" s="17">
        <v>11</v>
      </c>
      <c r="T155" s="17">
        <v>12</v>
      </c>
      <c r="U155" s="58">
        <v>13</v>
      </c>
      <c r="V155" s="16">
        <f t="shared" si="83"/>
        <v>14</v>
      </c>
      <c r="W155" s="17">
        <f t="shared" si="84"/>
        <v>16</v>
      </c>
      <c r="X155" s="17">
        <f t="shared" si="84"/>
        <v>15</v>
      </c>
      <c r="Y155" s="17">
        <f t="shared" si="85"/>
        <v>14</v>
      </c>
      <c r="Z155" s="17">
        <f t="shared" si="72"/>
        <v>14</v>
      </c>
      <c r="AA155" s="17">
        <f t="shared" si="86"/>
        <v>13</v>
      </c>
      <c r="AB155" s="58">
        <f t="shared" si="87"/>
        <v>18</v>
      </c>
      <c r="AC155" s="67"/>
      <c r="AD155" s="67"/>
      <c r="AE155" s="67"/>
      <c r="AF155" s="67"/>
      <c r="AG155" s="67"/>
      <c r="AH155" s="67"/>
      <c r="AI155" s="73"/>
      <c r="AJ155" s="74"/>
      <c r="AK155" s="74"/>
      <c r="AL155" s="62">
        <v>0.7</v>
      </c>
      <c r="AM155" s="63">
        <v>0.68</v>
      </c>
      <c r="AN155" s="63">
        <v>0.5</v>
      </c>
      <c r="AO155" s="63">
        <v>0.9</v>
      </c>
      <c r="AP155" s="64">
        <v>0.55000000000000004</v>
      </c>
      <c r="AQ155" s="62">
        <f t="shared" si="73"/>
        <v>1</v>
      </c>
      <c r="AR155" s="65">
        <v>1</v>
      </c>
      <c r="AS155" s="62">
        <f t="shared" si="74"/>
        <v>0.78700000000000048</v>
      </c>
      <c r="AT155" s="65">
        <f t="shared" si="91"/>
        <v>0.90300000000000058</v>
      </c>
      <c r="AU155" s="62">
        <f t="shared" si="75"/>
        <v>1.0000000000000004</v>
      </c>
      <c r="AV155" s="65">
        <v>1.0000000000000004</v>
      </c>
      <c r="AW155" s="62">
        <f t="shared" si="76"/>
        <v>1.0000000000000004</v>
      </c>
      <c r="AX155" s="65">
        <v>1</v>
      </c>
      <c r="AY155" s="62">
        <f t="shared" si="77"/>
        <v>1.0000000000000004</v>
      </c>
      <c r="AZ155" s="65">
        <v>1.0000000000000004</v>
      </c>
      <c r="BA155" s="62">
        <f t="shared" si="78"/>
        <v>1.0000000000000004</v>
      </c>
      <c r="BB155" s="65">
        <v>1</v>
      </c>
      <c r="BC155" s="62">
        <f t="shared" si="79"/>
        <v>1.0000000000000004</v>
      </c>
      <c r="BD155" s="65">
        <v>1</v>
      </c>
      <c r="BE155" s="74"/>
      <c r="BF155" s="7"/>
      <c r="BG155" s="74"/>
      <c r="BH155" s="7"/>
      <c r="BI155" s="7"/>
      <c r="BJ155" s="7"/>
      <c r="BK155" s="7"/>
      <c r="BL155" s="7"/>
      <c r="BM155" s="7"/>
      <c r="BN155" s="7"/>
      <c r="BO155" s="7"/>
      <c r="BP155" s="7"/>
      <c r="BQ155" s="7"/>
    </row>
    <row r="156" spans="1:69" ht="19.8" thickBot="1" x14ac:dyDescent="0.35">
      <c r="A156" s="16">
        <v>154</v>
      </c>
      <c r="B156" s="52">
        <v>45000</v>
      </c>
      <c r="C156" s="53" t="str">
        <f t="shared" si="80"/>
        <v>1401/12/24</v>
      </c>
      <c r="D156" s="54">
        <v>0.95520000000000072</v>
      </c>
      <c r="E156" s="54">
        <v>0.7644192000000013</v>
      </c>
      <c r="F156" s="11" t="e">
        <f t="shared" si="81"/>
        <v>#N/A</v>
      </c>
      <c r="G156" s="38" t="str">
        <f t="shared" si="82"/>
        <v>تاریخ: 1401/12/24
درصد پیشرفت برنامه ای: 95.52%
درصد پیشرفت واقعی: 76.44%</v>
      </c>
      <c r="H156" s="55">
        <v>1</v>
      </c>
      <c r="I156" s="56">
        <f t="shared" ref="I156:I219" si="92">I155+0.2%</f>
        <v>0.78900000000000048</v>
      </c>
      <c r="J156" s="56">
        <v>1.0000000000000004</v>
      </c>
      <c r="K156" s="56">
        <f t="shared" si="67"/>
        <v>1.0000000000000004</v>
      </c>
      <c r="L156" s="56">
        <f t="shared" si="70"/>
        <v>1.0000000000000004</v>
      </c>
      <c r="M156" s="56">
        <f t="shared" si="70"/>
        <v>1.0000000000000004</v>
      </c>
      <c r="N156" s="57">
        <f t="shared" si="68"/>
        <v>1.0000000000000004</v>
      </c>
      <c r="O156" s="16">
        <f t="shared" si="88"/>
        <v>13</v>
      </c>
      <c r="P156" s="17">
        <v>16</v>
      </c>
      <c r="Q156" s="17">
        <v>18</v>
      </c>
      <c r="R156" s="17">
        <v>18</v>
      </c>
      <c r="S156" s="17">
        <v>15</v>
      </c>
      <c r="T156" s="17">
        <v>15</v>
      </c>
      <c r="U156" s="58">
        <v>14</v>
      </c>
      <c r="V156" s="16">
        <f t="shared" si="83"/>
        <v>16</v>
      </c>
      <c r="W156" s="17">
        <f t="shared" si="84"/>
        <v>20</v>
      </c>
      <c r="X156" s="17">
        <f t="shared" si="84"/>
        <v>22</v>
      </c>
      <c r="Y156" s="17">
        <f t="shared" si="85"/>
        <v>19</v>
      </c>
      <c r="Z156" s="17">
        <f t="shared" si="72"/>
        <v>18</v>
      </c>
      <c r="AA156" s="17">
        <f t="shared" si="86"/>
        <v>16</v>
      </c>
      <c r="AB156" s="58">
        <f t="shared" si="87"/>
        <v>19</v>
      </c>
      <c r="AC156" s="67"/>
      <c r="AD156" s="67"/>
      <c r="AE156" s="67"/>
      <c r="AF156" s="67"/>
      <c r="AG156" s="67"/>
      <c r="AH156" s="67"/>
      <c r="AI156" s="73"/>
      <c r="AJ156" s="74"/>
      <c r="AK156" s="74"/>
      <c r="AL156" s="62">
        <v>0.6</v>
      </c>
      <c r="AM156" s="63">
        <v>0.5</v>
      </c>
      <c r="AN156" s="63">
        <v>0.66</v>
      </c>
      <c r="AO156" s="63">
        <v>0.5</v>
      </c>
      <c r="AP156" s="64">
        <v>0.9</v>
      </c>
      <c r="AQ156" s="62">
        <f t="shared" si="73"/>
        <v>1</v>
      </c>
      <c r="AR156" s="65">
        <v>1</v>
      </c>
      <c r="AS156" s="62">
        <f t="shared" si="74"/>
        <v>0.78900000000000048</v>
      </c>
      <c r="AT156" s="65">
        <f t="shared" si="91"/>
        <v>0.90700000000000058</v>
      </c>
      <c r="AU156" s="62">
        <f t="shared" si="75"/>
        <v>1.0000000000000004</v>
      </c>
      <c r="AV156" s="65">
        <v>1.0000000000000004</v>
      </c>
      <c r="AW156" s="62">
        <f t="shared" si="76"/>
        <v>1.0000000000000004</v>
      </c>
      <c r="AX156" s="65">
        <v>1</v>
      </c>
      <c r="AY156" s="62">
        <f t="shared" si="77"/>
        <v>1.0000000000000004</v>
      </c>
      <c r="AZ156" s="65">
        <v>1.0000000000000004</v>
      </c>
      <c r="BA156" s="62">
        <f t="shared" si="78"/>
        <v>1.0000000000000004</v>
      </c>
      <c r="BB156" s="65">
        <v>1</v>
      </c>
      <c r="BC156" s="62">
        <f t="shared" si="79"/>
        <v>1.0000000000000004</v>
      </c>
      <c r="BD156" s="65">
        <v>1</v>
      </c>
      <c r="BE156" s="74"/>
      <c r="BF156" s="7"/>
      <c r="BG156" s="74"/>
      <c r="BH156" s="7"/>
      <c r="BI156" s="7"/>
      <c r="BJ156" s="7"/>
      <c r="BK156" s="7"/>
      <c r="BL156" s="7"/>
      <c r="BM156" s="7"/>
      <c r="BN156" s="7"/>
      <c r="BO156" s="7"/>
      <c r="BP156" s="7"/>
      <c r="BQ156" s="7"/>
    </row>
    <row r="157" spans="1:69" ht="19.8" thickBot="1" x14ac:dyDescent="0.35">
      <c r="A157" s="16">
        <v>155</v>
      </c>
      <c r="B157" s="52">
        <v>45007</v>
      </c>
      <c r="C157" s="53" t="str">
        <f t="shared" si="80"/>
        <v>1402/01/02</v>
      </c>
      <c r="D157" s="54">
        <v>0.95760000000000067</v>
      </c>
      <c r="E157" s="54">
        <v>0.7675896000000012</v>
      </c>
      <c r="F157" s="11" t="e">
        <f t="shared" si="81"/>
        <v>#N/A</v>
      </c>
      <c r="G157" s="38" t="str">
        <f t="shared" si="82"/>
        <v>تاریخ: 1402/01/02
درصد پیشرفت برنامه ای: 95.76%
درصد پیشرفت واقعی: 76.76%</v>
      </c>
      <c r="H157" s="55">
        <v>1</v>
      </c>
      <c r="I157" s="56">
        <f t="shared" si="92"/>
        <v>0.79100000000000048</v>
      </c>
      <c r="J157" s="56">
        <v>1.0000000000000004</v>
      </c>
      <c r="K157" s="56">
        <f t="shared" si="67"/>
        <v>1.0000000000000004</v>
      </c>
      <c r="L157" s="56">
        <f t="shared" si="70"/>
        <v>1.0000000000000004</v>
      </c>
      <c r="M157" s="56">
        <f t="shared" si="70"/>
        <v>1.0000000000000004</v>
      </c>
      <c r="N157" s="57">
        <f t="shared" si="68"/>
        <v>1.0000000000000004</v>
      </c>
      <c r="O157" s="16">
        <f t="shared" si="88"/>
        <v>14</v>
      </c>
      <c r="P157" s="17">
        <v>15</v>
      </c>
      <c r="Q157" s="17">
        <v>15</v>
      </c>
      <c r="R157" s="17">
        <v>18</v>
      </c>
      <c r="S157" s="17">
        <v>17</v>
      </c>
      <c r="T157" s="17">
        <v>18</v>
      </c>
      <c r="U157" s="58">
        <v>19</v>
      </c>
      <c r="V157" s="16">
        <f t="shared" si="83"/>
        <v>17</v>
      </c>
      <c r="W157" s="17">
        <f t="shared" si="84"/>
        <v>19</v>
      </c>
      <c r="X157" s="17">
        <f t="shared" si="84"/>
        <v>19</v>
      </c>
      <c r="Y157" s="17">
        <f t="shared" si="85"/>
        <v>19</v>
      </c>
      <c r="Z157" s="17">
        <f t="shared" si="72"/>
        <v>20</v>
      </c>
      <c r="AA157" s="17">
        <f t="shared" si="86"/>
        <v>19</v>
      </c>
      <c r="AB157" s="58">
        <f t="shared" si="87"/>
        <v>24</v>
      </c>
      <c r="AC157" s="67"/>
      <c r="AD157" s="67"/>
      <c r="AE157" s="67"/>
      <c r="AF157" s="67"/>
      <c r="AG157" s="67"/>
      <c r="AH157" s="67"/>
      <c r="AI157" s="73"/>
      <c r="AJ157" s="74"/>
      <c r="AK157" s="74"/>
      <c r="AL157" s="62">
        <v>0.55000000000000004</v>
      </c>
      <c r="AM157" s="63">
        <v>0.62</v>
      </c>
      <c r="AN157" s="63">
        <v>0.78</v>
      </c>
      <c r="AO157" s="63">
        <v>0.42</v>
      </c>
      <c r="AP157" s="64">
        <v>0.8</v>
      </c>
      <c r="AQ157" s="62">
        <f t="shared" si="73"/>
        <v>1</v>
      </c>
      <c r="AR157" s="65">
        <v>1</v>
      </c>
      <c r="AS157" s="62">
        <f t="shared" si="74"/>
        <v>0.79100000000000048</v>
      </c>
      <c r="AT157" s="65">
        <f t="shared" si="91"/>
        <v>0.91100000000000059</v>
      </c>
      <c r="AU157" s="62">
        <f t="shared" si="75"/>
        <v>1.0000000000000004</v>
      </c>
      <c r="AV157" s="65">
        <v>1.0000000000000004</v>
      </c>
      <c r="AW157" s="62">
        <f t="shared" si="76"/>
        <v>1.0000000000000004</v>
      </c>
      <c r="AX157" s="65">
        <v>1</v>
      </c>
      <c r="AY157" s="62">
        <f t="shared" si="77"/>
        <v>1.0000000000000004</v>
      </c>
      <c r="AZ157" s="65">
        <v>1.0000000000000004</v>
      </c>
      <c r="BA157" s="62">
        <f t="shared" si="78"/>
        <v>1.0000000000000004</v>
      </c>
      <c r="BB157" s="65">
        <v>1</v>
      </c>
      <c r="BC157" s="62">
        <f t="shared" si="79"/>
        <v>1.0000000000000004</v>
      </c>
      <c r="BD157" s="65">
        <v>1</v>
      </c>
      <c r="BE157" s="74"/>
      <c r="BF157" s="7"/>
      <c r="BG157" s="74"/>
      <c r="BH157" s="7"/>
      <c r="BI157" s="7"/>
      <c r="BJ157" s="7"/>
      <c r="BK157" s="7"/>
      <c r="BL157" s="7"/>
      <c r="BM157" s="7"/>
      <c r="BN157" s="7"/>
      <c r="BO157" s="7"/>
      <c r="BP157" s="7"/>
      <c r="BQ157" s="7"/>
    </row>
    <row r="158" spans="1:69" ht="19.8" thickBot="1" x14ac:dyDescent="0.35">
      <c r="A158" s="16">
        <v>156</v>
      </c>
      <c r="B158" s="52">
        <v>45014</v>
      </c>
      <c r="C158" s="53" t="str">
        <f t="shared" si="80"/>
        <v>1402/01/09</v>
      </c>
      <c r="D158" s="54">
        <v>0.96000000000000063</v>
      </c>
      <c r="E158" s="54">
        <v>0.77076000000000111</v>
      </c>
      <c r="F158" s="11" t="e">
        <f t="shared" si="81"/>
        <v>#N/A</v>
      </c>
      <c r="G158" s="38" t="str">
        <f t="shared" si="82"/>
        <v>تاریخ: 1402/01/09
درصد پیشرفت برنامه ای: 96%
درصد پیشرفت واقعی: 77.08%</v>
      </c>
      <c r="H158" s="55">
        <v>1</v>
      </c>
      <c r="I158" s="56">
        <f t="shared" si="92"/>
        <v>0.79300000000000048</v>
      </c>
      <c r="J158" s="56">
        <v>1.0000000000000004</v>
      </c>
      <c r="K158" s="56">
        <f t="shared" si="67"/>
        <v>1.0000000000000004</v>
      </c>
      <c r="L158" s="56">
        <f t="shared" si="70"/>
        <v>1.0000000000000004</v>
      </c>
      <c r="M158" s="56">
        <f t="shared" si="70"/>
        <v>1.0000000000000004</v>
      </c>
      <c r="N158" s="57">
        <f t="shared" si="68"/>
        <v>1.0000000000000004</v>
      </c>
      <c r="O158" s="16">
        <f t="shared" si="88"/>
        <v>19</v>
      </c>
      <c r="P158" s="17">
        <v>19</v>
      </c>
      <c r="Q158" s="17">
        <v>17</v>
      </c>
      <c r="R158" s="17">
        <v>17</v>
      </c>
      <c r="S158" s="17">
        <v>19</v>
      </c>
      <c r="T158" s="17">
        <v>20</v>
      </c>
      <c r="U158" s="58">
        <v>21</v>
      </c>
      <c r="V158" s="16">
        <f t="shared" si="83"/>
        <v>22</v>
      </c>
      <c r="W158" s="17">
        <f t="shared" si="84"/>
        <v>23</v>
      </c>
      <c r="X158" s="17">
        <f t="shared" si="84"/>
        <v>21</v>
      </c>
      <c r="Y158" s="17">
        <f t="shared" si="85"/>
        <v>18</v>
      </c>
      <c r="Z158" s="17">
        <f t="shared" si="72"/>
        <v>22</v>
      </c>
      <c r="AA158" s="17">
        <f t="shared" si="86"/>
        <v>21</v>
      </c>
      <c r="AB158" s="58">
        <f t="shared" si="87"/>
        <v>26</v>
      </c>
      <c r="AC158" s="67"/>
      <c r="AD158" s="67"/>
      <c r="AE158" s="67"/>
      <c r="AF158" s="67"/>
      <c r="AG158" s="67"/>
      <c r="AH158" s="67"/>
      <c r="AI158" s="73"/>
      <c r="AJ158" s="74"/>
      <c r="AK158" s="74"/>
      <c r="AL158" s="62">
        <v>0.6</v>
      </c>
      <c r="AM158" s="63">
        <v>0.9</v>
      </c>
      <c r="AN158" s="63">
        <v>0.5</v>
      </c>
      <c r="AO158" s="63">
        <v>0.5</v>
      </c>
      <c r="AP158" s="64">
        <v>0.62</v>
      </c>
      <c r="AQ158" s="62">
        <f t="shared" si="73"/>
        <v>1</v>
      </c>
      <c r="AR158" s="65">
        <v>1</v>
      </c>
      <c r="AS158" s="62">
        <f t="shared" si="74"/>
        <v>0.79300000000000048</v>
      </c>
      <c r="AT158" s="65">
        <f t="shared" si="91"/>
        <v>0.91500000000000059</v>
      </c>
      <c r="AU158" s="62">
        <f t="shared" si="75"/>
        <v>1.0000000000000004</v>
      </c>
      <c r="AV158" s="65">
        <v>1.0000000000000004</v>
      </c>
      <c r="AW158" s="62">
        <f t="shared" si="76"/>
        <v>1.0000000000000004</v>
      </c>
      <c r="AX158" s="65">
        <v>1</v>
      </c>
      <c r="AY158" s="62">
        <f t="shared" si="77"/>
        <v>1.0000000000000004</v>
      </c>
      <c r="AZ158" s="65">
        <v>1.0000000000000004</v>
      </c>
      <c r="BA158" s="62">
        <f t="shared" si="78"/>
        <v>1.0000000000000004</v>
      </c>
      <c r="BB158" s="65">
        <v>1</v>
      </c>
      <c r="BC158" s="62">
        <f t="shared" si="79"/>
        <v>1.0000000000000004</v>
      </c>
      <c r="BD158" s="65">
        <v>1</v>
      </c>
      <c r="BE158" s="74"/>
      <c r="BF158" s="7"/>
      <c r="BG158" s="74"/>
      <c r="BH158" s="7"/>
      <c r="BI158" s="7"/>
      <c r="BJ158" s="7"/>
      <c r="BK158" s="7"/>
      <c r="BL158" s="7"/>
      <c r="BM158" s="7"/>
      <c r="BN158" s="7"/>
      <c r="BO158" s="7"/>
      <c r="BP158" s="7"/>
      <c r="BQ158" s="7"/>
    </row>
    <row r="159" spans="1:69" ht="19.8" thickBot="1" x14ac:dyDescent="0.35">
      <c r="A159" s="16">
        <v>157</v>
      </c>
      <c r="B159" s="52">
        <v>45021</v>
      </c>
      <c r="C159" s="53" t="str">
        <f t="shared" si="80"/>
        <v>1402/01/16</v>
      </c>
      <c r="D159" s="54">
        <v>0.96240000000000059</v>
      </c>
      <c r="E159" s="54">
        <v>0.77393040000000102</v>
      </c>
      <c r="F159" s="11" t="e">
        <f t="shared" si="81"/>
        <v>#N/A</v>
      </c>
      <c r="G159" s="38" t="str">
        <f t="shared" si="82"/>
        <v>تاریخ: 1402/01/16
درصد پیشرفت برنامه ای: 96.24%
درصد پیشرفت واقعی: 77.39%</v>
      </c>
      <c r="H159" s="55">
        <v>1</v>
      </c>
      <c r="I159" s="56">
        <f t="shared" si="92"/>
        <v>0.79500000000000048</v>
      </c>
      <c r="J159" s="56">
        <v>1.0000000000000004</v>
      </c>
      <c r="K159" s="56">
        <f t="shared" si="67"/>
        <v>1.0000000000000004</v>
      </c>
      <c r="L159" s="56">
        <f t="shared" si="70"/>
        <v>1.0000000000000004</v>
      </c>
      <c r="M159" s="56">
        <f t="shared" si="70"/>
        <v>1.0000000000000004</v>
      </c>
      <c r="N159" s="57">
        <f t="shared" si="68"/>
        <v>1.0000000000000004</v>
      </c>
      <c r="O159" s="16">
        <f t="shared" si="88"/>
        <v>21</v>
      </c>
      <c r="P159" s="17">
        <v>22</v>
      </c>
      <c r="Q159" s="17">
        <v>22</v>
      </c>
      <c r="R159" s="17">
        <v>23</v>
      </c>
      <c r="S159" s="17">
        <v>21</v>
      </c>
      <c r="T159" s="17">
        <v>22</v>
      </c>
      <c r="U159" s="58">
        <v>24</v>
      </c>
      <c r="V159" s="16">
        <f t="shared" si="83"/>
        <v>24</v>
      </c>
      <c r="W159" s="17">
        <f t="shared" si="84"/>
        <v>26</v>
      </c>
      <c r="X159" s="17">
        <f t="shared" si="84"/>
        <v>26</v>
      </c>
      <c r="Y159" s="17">
        <f t="shared" si="85"/>
        <v>24</v>
      </c>
      <c r="Z159" s="17">
        <f t="shared" si="72"/>
        <v>24</v>
      </c>
      <c r="AA159" s="17">
        <f t="shared" si="86"/>
        <v>23</v>
      </c>
      <c r="AB159" s="58">
        <f t="shared" si="87"/>
        <v>29</v>
      </c>
      <c r="AC159" s="67"/>
      <c r="AD159" s="67"/>
      <c r="AE159" s="67"/>
      <c r="AF159" s="67"/>
      <c r="AG159" s="67"/>
      <c r="AH159" s="67"/>
      <c r="AI159" s="73"/>
      <c r="AJ159" s="74"/>
      <c r="AK159" s="74"/>
      <c r="AL159" s="62">
        <v>0.66</v>
      </c>
      <c r="AM159" s="63">
        <v>0.7</v>
      </c>
      <c r="AN159" s="63">
        <v>0.8</v>
      </c>
      <c r="AO159" s="63">
        <v>0.55000000000000004</v>
      </c>
      <c r="AP159" s="64">
        <v>0.5</v>
      </c>
      <c r="AQ159" s="62">
        <f t="shared" si="73"/>
        <v>1</v>
      </c>
      <c r="AR159" s="65">
        <v>1</v>
      </c>
      <c r="AS159" s="62">
        <f t="shared" si="74"/>
        <v>0.79500000000000048</v>
      </c>
      <c r="AT159" s="65">
        <f t="shared" si="91"/>
        <v>0.91900000000000059</v>
      </c>
      <c r="AU159" s="62">
        <f t="shared" si="75"/>
        <v>1.0000000000000004</v>
      </c>
      <c r="AV159" s="65">
        <v>1.0000000000000004</v>
      </c>
      <c r="AW159" s="62">
        <f t="shared" si="76"/>
        <v>1.0000000000000004</v>
      </c>
      <c r="AX159" s="65">
        <v>1</v>
      </c>
      <c r="AY159" s="62">
        <f t="shared" si="77"/>
        <v>1.0000000000000004</v>
      </c>
      <c r="AZ159" s="65">
        <v>1.0000000000000004</v>
      </c>
      <c r="BA159" s="62">
        <f t="shared" si="78"/>
        <v>1.0000000000000004</v>
      </c>
      <c r="BB159" s="65">
        <v>1</v>
      </c>
      <c r="BC159" s="62">
        <f t="shared" si="79"/>
        <v>1.0000000000000004</v>
      </c>
      <c r="BD159" s="65">
        <v>1</v>
      </c>
      <c r="BE159" s="74"/>
      <c r="BF159" s="7"/>
      <c r="BG159" s="74"/>
      <c r="BH159" s="7"/>
      <c r="BI159" s="7"/>
      <c r="BJ159" s="7"/>
      <c r="BK159" s="7"/>
      <c r="BL159" s="7"/>
      <c r="BM159" s="7"/>
      <c r="BN159" s="7"/>
      <c r="BO159" s="7"/>
      <c r="BP159" s="7"/>
      <c r="BQ159" s="7"/>
    </row>
    <row r="160" spans="1:69" ht="19.8" thickBot="1" x14ac:dyDescent="0.35">
      <c r="A160" s="16">
        <v>158</v>
      </c>
      <c r="B160" s="52">
        <v>45028</v>
      </c>
      <c r="C160" s="53" t="str">
        <f t="shared" si="80"/>
        <v>1402/01/23</v>
      </c>
      <c r="D160" s="54">
        <v>0.96480000000000055</v>
      </c>
      <c r="E160" s="54">
        <v>0.77710080000000092</v>
      </c>
      <c r="F160" s="11" t="e">
        <f t="shared" si="81"/>
        <v>#N/A</v>
      </c>
      <c r="G160" s="38" t="str">
        <f t="shared" si="82"/>
        <v>تاریخ: 1402/01/23
درصد پیشرفت برنامه ای: 96.48%
درصد پیشرفت واقعی: 77.71%</v>
      </c>
      <c r="H160" s="55">
        <v>1</v>
      </c>
      <c r="I160" s="56">
        <f t="shared" si="92"/>
        <v>0.79700000000000049</v>
      </c>
      <c r="J160" s="56">
        <v>1.0000000000000004</v>
      </c>
      <c r="K160" s="56">
        <f t="shared" si="67"/>
        <v>1.0000000000000004</v>
      </c>
      <c r="L160" s="56">
        <f t="shared" si="70"/>
        <v>1.0000000000000004</v>
      </c>
      <c r="M160" s="56">
        <f t="shared" si="70"/>
        <v>1.0000000000000004</v>
      </c>
      <c r="N160" s="57">
        <f t="shared" si="68"/>
        <v>1.0000000000000004</v>
      </c>
      <c r="O160" s="16">
        <f t="shared" si="88"/>
        <v>24</v>
      </c>
      <c r="P160" s="17">
        <v>23</v>
      </c>
      <c r="Q160" s="17">
        <v>24</v>
      </c>
      <c r="R160" s="17">
        <v>23</v>
      </c>
      <c r="S160" s="17">
        <v>25</v>
      </c>
      <c r="T160" s="17">
        <v>25</v>
      </c>
      <c r="U160" s="58">
        <v>26</v>
      </c>
      <c r="V160" s="16">
        <f t="shared" si="83"/>
        <v>27</v>
      </c>
      <c r="W160" s="17">
        <f t="shared" si="84"/>
        <v>27</v>
      </c>
      <c r="X160" s="17">
        <f t="shared" si="84"/>
        <v>28</v>
      </c>
      <c r="Y160" s="17">
        <f t="shared" si="85"/>
        <v>24</v>
      </c>
      <c r="Z160" s="17">
        <f t="shared" si="72"/>
        <v>28</v>
      </c>
      <c r="AA160" s="17">
        <f t="shared" si="86"/>
        <v>26</v>
      </c>
      <c r="AB160" s="58">
        <f t="shared" si="87"/>
        <v>31</v>
      </c>
      <c r="AC160" s="67"/>
      <c r="AD160" s="67"/>
      <c r="AE160" s="67"/>
      <c r="AF160" s="67"/>
      <c r="AG160" s="67"/>
      <c r="AH160" s="67"/>
      <c r="AI160" s="73"/>
      <c r="AJ160" s="74"/>
      <c r="AK160" s="74"/>
      <c r="AL160" s="62">
        <v>0.55000000000000004</v>
      </c>
      <c r="AM160" s="63">
        <v>0.4</v>
      </c>
      <c r="AN160" s="63">
        <v>0.4</v>
      </c>
      <c r="AO160" s="63">
        <v>0.9</v>
      </c>
      <c r="AP160" s="64">
        <v>0.8</v>
      </c>
      <c r="AQ160" s="62">
        <f t="shared" si="73"/>
        <v>1</v>
      </c>
      <c r="AR160" s="65">
        <v>1</v>
      </c>
      <c r="AS160" s="62">
        <f t="shared" si="74"/>
        <v>0.79700000000000049</v>
      </c>
      <c r="AT160" s="65">
        <f t="shared" si="91"/>
        <v>0.9230000000000006</v>
      </c>
      <c r="AU160" s="62">
        <f t="shared" si="75"/>
        <v>1.0000000000000004</v>
      </c>
      <c r="AV160" s="65">
        <v>1.0000000000000004</v>
      </c>
      <c r="AW160" s="62">
        <f t="shared" si="76"/>
        <v>1.0000000000000004</v>
      </c>
      <c r="AX160" s="65">
        <v>1</v>
      </c>
      <c r="AY160" s="62">
        <f t="shared" si="77"/>
        <v>1.0000000000000004</v>
      </c>
      <c r="AZ160" s="65">
        <v>1.0000000000000004</v>
      </c>
      <c r="BA160" s="62">
        <f t="shared" si="78"/>
        <v>1.0000000000000004</v>
      </c>
      <c r="BB160" s="65">
        <v>1</v>
      </c>
      <c r="BC160" s="62">
        <f t="shared" si="79"/>
        <v>1.0000000000000004</v>
      </c>
      <c r="BD160" s="65">
        <v>1</v>
      </c>
      <c r="BE160" s="74"/>
      <c r="BF160" s="7"/>
      <c r="BG160" s="74"/>
      <c r="BH160" s="7"/>
      <c r="BI160" s="7"/>
      <c r="BJ160" s="7"/>
      <c r="BK160" s="7"/>
      <c r="BL160" s="7"/>
      <c r="BM160" s="7"/>
      <c r="BN160" s="7"/>
      <c r="BO160" s="7"/>
      <c r="BP160" s="7"/>
      <c r="BQ160" s="7"/>
    </row>
    <row r="161" spans="1:69" ht="19.8" thickBot="1" x14ac:dyDescent="0.35">
      <c r="A161" s="16">
        <v>159</v>
      </c>
      <c r="B161" s="52">
        <v>45035</v>
      </c>
      <c r="C161" s="53" t="str">
        <f t="shared" si="80"/>
        <v>1402/01/30</v>
      </c>
      <c r="D161" s="54">
        <v>0.9672000000000005</v>
      </c>
      <c r="E161" s="54">
        <v>0.78027120000000083</v>
      </c>
      <c r="F161" s="11" t="e">
        <f t="shared" si="81"/>
        <v>#N/A</v>
      </c>
      <c r="G161" s="38" t="str">
        <f t="shared" si="82"/>
        <v>تاریخ: 1402/01/30
درصد پیشرفت برنامه ای: 96.72%
درصد پیشرفت واقعی: 78.03%</v>
      </c>
      <c r="H161" s="55">
        <v>1</v>
      </c>
      <c r="I161" s="56">
        <f t="shared" si="92"/>
        <v>0.79900000000000049</v>
      </c>
      <c r="J161" s="56">
        <v>1.0000000000000004</v>
      </c>
      <c r="K161" s="56">
        <f t="shared" si="67"/>
        <v>1.0000000000000004</v>
      </c>
      <c r="L161" s="56">
        <f t="shared" si="70"/>
        <v>1.0000000000000004</v>
      </c>
      <c r="M161" s="56">
        <f t="shared" si="70"/>
        <v>1.0000000000000004</v>
      </c>
      <c r="N161" s="57">
        <f t="shared" si="68"/>
        <v>1.0000000000000004</v>
      </c>
      <c r="O161" s="16">
        <f t="shared" si="88"/>
        <v>26</v>
      </c>
      <c r="P161" s="17">
        <v>25</v>
      </c>
      <c r="Q161" s="17">
        <v>25</v>
      </c>
      <c r="R161" s="17">
        <v>26</v>
      </c>
      <c r="S161" s="17">
        <v>26</v>
      </c>
      <c r="T161" s="17">
        <v>25</v>
      </c>
      <c r="U161" s="58">
        <v>25</v>
      </c>
      <c r="V161" s="16">
        <f t="shared" si="83"/>
        <v>29</v>
      </c>
      <c r="W161" s="17">
        <f t="shared" si="84"/>
        <v>29</v>
      </c>
      <c r="X161" s="17">
        <f t="shared" si="84"/>
        <v>29</v>
      </c>
      <c r="Y161" s="17">
        <f t="shared" si="85"/>
        <v>27</v>
      </c>
      <c r="Z161" s="17">
        <f t="shared" si="72"/>
        <v>29</v>
      </c>
      <c r="AA161" s="17">
        <f t="shared" si="86"/>
        <v>26</v>
      </c>
      <c r="AB161" s="58">
        <f t="shared" si="87"/>
        <v>30</v>
      </c>
      <c r="AC161" s="67"/>
      <c r="AD161" s="67"/>
      <c r="AE161" s="67"/>
      <c r="AF161" s="67"/>
      <c r="AG161" s="67"/>
      <c r="AH161" s="67"/>
      <c r="AI161" s="73"/>
      <c r="AJ161" s="74"/>
      <c r="AK161" s="74"/>
      <c r="AL161" s="62">
        <v>0.7</v>
      </c>
      <c r="AM161" s="63">
        <v>0.55000000000000004</v>
      </c>
      <c r="AN161" s="63">
        <v>0.1</v>
      </c>
      <c r="AO161" s="63">
        <v>0.4</v>
      </c>
      <c r="AP161" s="64">
        <v>0.9</v>
      </c>
      <c r="AQ161" s="62">
        <f t="shared" si="73"/>
        <v>1</v>
      </c>
      <c r="AR161" s="65">
        <v>1</v>
      </c>
      <c r="AS161" s="62">
        <f t="shared" si="74"/>
        <v>0.79900000000000049</v>
      </c>
      <c r="AT161" s="65">
        <f t="shared" si="91"/>
        <v>0.9270000000000006</v>
      </c>
      <c r="AU161" s="62">
        <f t="shared" si="75"/>
        <v>1.0000000000000004</v>
      </c>
      <c r="AV161" s="65">
        <v>1.0000000000000004</v>
      </c>
      <c r="AW161" s="62">
        <f t="shared" si="76"/>
        <v>1.0000000000000004</v>
      </c>
      <c r="AX161" s="65">
        <v>1</v>
      </c>
      <c r="AY161" s="62">
        <f t="shared" si="77"/>
        <v>1.0000000000000004</v>
      </c>
      <c r="AZ161" s="65">
        <v>1.0000000000000004</v>
      </c>
      <c r="BA161" s="62">
        <f t="shared" si="78"/>
        <v>1.0000000000000004</v>
      </c>
      <c r="BB161" s="65">
        <v>1</v>
      </c>
      <c r="BC161" s="62">
        <f t="shared" si="79"/>
        <v>1.0000000000000004</v>
      </c>
      <c r="BD161" s="65">
        <v>1</v>
      </c>
      <c r="BE161" s="74"/>
      <c r="BF161" s="7"/>
      <c r="BG161" s="74"/>
      <c r="BH161" s="7"/>
      <c r="BI161" s="7"/>
      <c r="BJ161" s="7"/>
      <c r="BK161" s="7"/>
      <c r="BL161" s="7"/>
      <c r="BM161" s="7"/>
      <c r="BN161" s="7"/>
      <c r="BO161" s="7"/>
      <c r="BP161" s="7"/>
      <c r="BQ161" s="7"/>
    </row>
    <row r="162" spans="1:69" ht="19.8" thickBot="1" x14ac:dyDescent="0.35">
      <c r="A162" s="16">
        <v>160</v>
      </c>
      <c r="B162" s="52">
        <v>45042</v>
      </c>
      <c r="C162" s="53" t="str">
        <f t="shared" si="80"/>
        <v>1402/02/06</v>
      </c>
      <c r="D162" s="54">
        <v>0.96960000000000046</v>
      </c>
      <c r="E162" s="54">
        <v>0.78344160000000074</v>
      </c>
      <c r="F162" s="11" t="e">
        <f t="shared" si="81"/>
        <v>#N/A</v>
      </c>
      <c r="G162" s="38" t="str">
        <f t="shared" si="82"/>
        <v>تاریخ: 1402/02/06
درصد پیشرفت برنامه ای: 96.96%
درصد پیشرفت واقعی: 78.34%</v>
      </c>
      <c r="H162" s="55">
        <v>1</v>
      </c>
      <c r="I162" s="56">
        <f t="shared" si="92"/>
        <v>0.80100000000000049</v>
      </c>
      <c r="J162" s="56">
        <v>1.0000000000000004</v>
      </c>
      <c r="K162" s="56">
        <f t="shared" si="67"/>
        <v>1.0000000000000004</v>
      </c>
      <c r="L162" s="56">
        <f t="shared" si="70"/>
        <v>1.0000000000000004</v>
      </c>
      <c r="M162" s="56">
        <f t="shared" si="70"/>
        <v>1.0000000000000004</v>
      </c>
      <c r="N162" s="57">
        <f t="shared" si="68"/>
        <v>1.0000000000000004</v>
      </c>
      <c r="O162" s="16">
        <f t="shared" si="88"/>
        <v>25</v>
      </c>
      <c r="P162" s="17">
        <v>26</v>
      </c>
      <c r="Q162" s="17">
        <v>26</v>
      </c>
      <c r="R162" s="17">
        <v>27</v>
      </c>
      <c r="S162" s="17">
        <v>28</v>
      </c>
      <c r="T162" s="17">
        <v>29</v>
      </c>
      <c r="U162" s="58">
        <v>29</v>
      </c>
      <c r="V162" s="16">
        <f t="shared" si="83"/>
        <v>28</v>
      </c>
      <c r="W162" s="17">
        <f t="shared" si="84"/>
        <v>30</v>
      </c>
      <c r="X162" s="17">
        <f t="shared" si="84"/>
        <v>30</v>
      </c>
      <c r="Y162" s="17">
        <f t="shared" si="85"/>
        <v>28</v>
      </c>
      <c r="Z162" s="17">
        <f t="shared" si="72"/>
        <v>31</v>
      </c>
      <c r="AA162" s="17">
        <f t="shared" si="86"/>
        <v>30</v>
      </c>
      <c r="AB162" s="58">
        <f t="shared" si="87"/>
        <v>34</v>
      </c>
      <c r="AC162" s="67"/>
      <c r="AD162" s="67"/>
      <c r="AE162" s="67"/>
      <c r="AF162" s="67"/>
      <c r="AG162" s="67"/>
      <c r="AH162" s="67"/>
      <c r="AI162" s="73"/>
      <c r="AJ162" s="74"/>
      <c r="AK162" s="74"/>
      <c r="AL162" s="62">
        <v>0.4</v>
      </c>
      <c r="AM162" s="63">
        <v>0.69</v>
      </c>
      <c r="AN162" s="63">
        <v>0.5</v>
      </c>
      <c r="AO162" s="63">
        <v>0.2</v>
      </c>
      <c r="AP162" s="64">
        <v>0.4</v>
      </c>
      <c r="AQ162" s="62">
        <f t="shared" si="73"/>
        <v>1</v>
      </c>
      <c r="AR162" s="65">
        <v>1</v>
      </c>
      <c r="AS162" s="62">
        <f t="shared" si="74"/>
        <v>0.80100000000000049</v>
      </c>
      <c r="AT162" s="65">
        <f t="shared" si="91"/>
        <v>0.9310000000000006</v>
      </c>
      <c r="AU162" s="62">
        <f t="shared" si="75"/>
        <v>1.0000000000000004</v>
      </c>
      <c r="AV162" s="65">
        <v>1.0000000000000004</v>
      </c>
      <c r="AW162" s="62">
        <f t="shared" si="76"/>
        <v>1.0000000000000004</v>
      </c>
      <c r="AX162" s="65">
        <v>1</v>
      </c>
      <c r="AY162" s="62">
        <f t="shared" si="77"/>
        <v>1.0000000000000004</v>
      </c>
      <c r="AZ162" s="65">
        <v>1.0000000000000004</v>
      </c>
      <c r="BA162" s="62">
        <f t="shared" si="78"/>
        <v>1.0000000000000004</v>
      </c>
      <c r="BB162" s="65">
        <v>1</v>
      </c>
      <c r="BC162" s="62">
        <f t="shared" si="79"/>
        <v>1.0000000000000004</v>
      </c>
      <c r="BD162" s="65">
        <v>1</v>
      </c>
      <c r="BE162" s="74"/>
      <c r="BF162" s="7"/>
      <c r="BG162" s="74"/>
      <c r="BH162" s="7"/>
      <c r="BI162" s="7"/>
      <c r="BJ162" s="7"/>
      <c r="BK162" s="7"/>
      <c r="BL162" s="7"/>
      <c r="BM162" s="7"/>
      <c r="BN162" s="7"/>
      <c r="BO162" s="7"/>
      <c r="BP162" s="7"/>
      <c r="BQ162" s="7"/>
    </row>
    <row r="163" spans="1:69" ht="19.8" thickBot="1" x14ac:dyDescent="0.35">
      <c r="A163" s="16">
        <v>161</v>
      </c>
      <c r="B163" s="52">
        <v>45049</v>
      </c>
      <c r="C163" s="53" t="str">
        <f t="shared" si="80"/>
        <v>1402/02/13</v>
      </c>
      <c r="D163" s="54">
        <v>0.97200000000000042</v>
      </c>
      <c r="E163" s="54">
        <v>0.78661200000000064</v>
      </c>
      <c r="F163" s="11" t="e">
        <f t="shared" si="81"/>
        <v>#N/A</v>
      </c>
      <c r="G163" s="38" t="str">
        <f t="shared" si="82"/>
        <v>تاریخ: 1402/02/13
درصد پیشرفت برنامه ای: 97.2%
درصد پیشرفت واقعی: 78.66%</v>
      </c>
      <c r="H163" s="55">
        <v>1</v>
      </c>
      <c r="I163" s="56">
        <f t="shared" si="92"/>
        <v>0.80300000000000049</v>
      </c>
      <c r="J163" s="56">
        <v>1.0000000000000004</v>
      </c>
      <c r="K163" s="56">
        <f t="shared" ref="K163:K226" si="93">J146</f>
        <v>1.0000000000000004</v>
      </c>
      <c r="L163" s="56">
        <f t="shared" si="70"/>
        <v>1.0000000000000004</v>
      </c>
      <c r="M163" s="56">
        <f t="shared" si="70"/>
        <v>1.0000000000000004</v>
      </c>
      <c r="N163" s="57">
        <f t="shared" si="68"/>
        <v>1.0000000000000004</v>
      </c>
      <c r="O163" s="16">
        <f t="shared" si="88"/>
        <v>29</v>
      </c>
      <c r="P163" s="17">
        <v>29</v>
      </c>
      <c r="Q163" s="17">
        <v>28</v>
      </c>
      <c r="R163" s="17">
        <v>29</v>
      </c>
      <c r="S163" s="17">
        <v>30</v>
      </c>
      <c r="T163" s="17">
        <v>31</v>
      </c>
      <c r="U163" s="58">
        <v>30</v>
      </c>
      <c r="V163" s="16">
        <f t="shared" si="83"/>
        <v>32</v>
      </c>
      <c r="W163" s="17">
        <f t="shared" si="84"/>
        <v>33</v>
      </c>
      <c r="X163" s="17">
        <f t="shared" si="84"/>
        <v>32</v>
      </c>
      <c r="Y163" s="17">
        <f t="shared" si="85"/>
        <v>30</v>
      </c>
      <c r="Z163" s="17">
        <f t="shared" si="72"/>
        <v>33</v>
      </c>
      <c r="AA163" s="17">
        <f t="shared" si="86"/>
        <v>32</v>
      </c>
      <c r="AB163" s="58">
        <f t="shared" si="87"/>
        <v>35</v>
      </c>
      <c r="AC163" s="67"/>
      <c r="AD163" s="67"/>
      <c r="AE163" s="67"/>
      <c r="AF163" s="67"/>
      <c r="AG163" s="67"/>
      <c r="AH163" s="67"/>
      <c r="AI163" s="73"/>
      <c r="AJ163" s="74"/>
      <c r="AK163" s="74"/>
      <c r="AL163" s="62">
        <v>0.35</v>
      </c>
      <c r="AM163" s="63">
        <v>0.4</v>
      </c>
      <c r="AN163" s="63">
        <v>0.9</v>
      </c>
      <c r="AO163" s="63">
        <v>0.8</v>
      </c>
      <c r="AP163" s="64">
        <v>0.2</v>
      </c>
      <c r="AQ163" s="62">
        <f t="shared" si="73"/>
        <v>1</v>
      </c>
      <c r="AR163" s="65">
        <v>1</v>
      </c>
      <c r="AS163" s="62">
        <f t="shared" si="74"/>
        <v>0.80300000000000049</v>
      </c>
      <c r="AT163" s="65">
        <f t="shared" si="91"/>
        <v>0.93500000000000061</v>
      </c>
      <c r="AU163" s="62">
        <f t="shared" si="75"/>
        <v>1.0000000000000004</v>
      </c>
      <c r="AV163" s="65">
        <v>1.0000000000000004</v>
      </c>
      <c r="AW163" s="62">
        <f t="shared" si="76"/>
        <v>1.0000000000000004</v>
      </c>
      <c r="AX163" s="65">
        <v>1</v>
      </c>
      <c r="AY163" s="62">
        <f t="shared" si="77"/>
        <v>1.0000000000000004</v>
      </c>
      <c r="AZ163" s="65">
        <v>1.0000000000000004</v>
      </c>
      <c r="BA163" s="62">
        <f t="shared" si="78"/>
        <v>1.0000000000000004</v>
      </c>
      <c r="BB163" s="65">
        <v>1</v>
      </c>
      <c r="BC163" s="62">
        <f t="shared" si="79"/>
        <v>1.0000000000000004</v>
      </c>
      <c r="BD163" s="65">
        <v>1</v>
      </c>
      <c r="BE163" s="74"/>
      <c r="BF163" s="7"/>
      <c r="BG163" s="74"/>
      <c r="BH163" s="7"/>
      <c r="BI163" s="7"/>
      <c r="BJ163" s="7"/>
      <c r="BK163" s="7"/>
      <c r="BL163" s="7"/>
      <c r="BM163" s="7"/>
      <c r="BN163" s="7"/>
      <c r="BO163" s="7"/>
      <c r="BP163" s="7"/>
      <c r="BQ163" s="7"/>
    </row>
    <row r="164" spans="1:69" ht="19.8" thickBot="1" x14ac:dyDescent="0.35">
      <c r="A164" s="16">
        <v>162</v>
      </c>
      <c r="B164" s="52">
        <v>45056</v>
      </c>
      <c r="C164" s="53" t="str">
        <f t="shared" si="80"/>
        <v>1402/02/20</v>
      </c>
      <c r="D164" s="54">
        <v>0.97440000000000038</v>
      </c>
      <c r="E164" s="54">
        <v>0.78930240000000063</v>
      </c>
      <c r="F164" s="11" t="e">
        <f t="shared" si="81"/>
        <v>#N/A</v>
      </c>
      <c r="G164" s="38" t="str">
        <f t="shared" si="82"/>
        <v>تاریخ: 1402/02/20
درصد پیشرفت برنامه ای: 97.44%
درصد پیشرفت واقعی: 78.93%</v>
      </c>
      <c r="H164" s="55">
        <v>1</v>
      </c>
      <c r="I164" s="56">
        <f t="shared" si="92"/>
        <v>0.80500000000000049</v>
      </c>
      <c r="J164" s="56">
        <v>1.0000000000000004</v>
      </c>
      <c r="K164" s="56">
        <f t="shared" si="93"/>
        <v>1.0000000000000004</v>
      </c>
      <c r="L164" s="56">
        <f t="shared" si="70"/>
        <v>1.0000000000000004</v>
      </c>
      <c r="M164" s="56">
        <f t="shared" si="70"/>
        <v>1.0000000000000004</v>
      </c>
      <c r="N164" s="57">
        <f t="shared" si="68"/>
        <v>1.0000000000000004</v>
      </c>
      <c r="O164" s="16">
        <f t="shared" si="88"/>
        <v>30</v>
      </c>
      <c r="P164" s="17">
        <v>25</v>
      </c>
      <c r="Q164" s="17">
        <v>25</v>
      </c>
      <c r="R164" s="17">
        <v>26</v>
      </c>
      <c r="S164" s="17">
        <v>26</v>
      </c>
      <c r="T164" s="17">
        <v>25</v>
      </c>
      <c r="U164" s="58">
        <v>25</v>
      </c>
      <c r="V164" s="16">
        <f t="shared" si="83"/>
        <v>33</v>
      </c>
      <c r="W164" s="17">
        <f t="shared" si="84"/>
        <v>29</v>
      </c>
      <c r="X164" s="17">
        <f t="shared" si="84"/>
        <v>29</v>
      </c>
      <c r="Y164" s="17">
        <f t="shared" si="85"/>
        <v>27</v>
      </c>
      <c r="Z164" s="17">
        <f t="shared" si="72"/>
        <v>29</v>
      </c>
      <c r="AA164" s="17">
        <f t="shared" si="86"/>
        <v>26</v>
      </c>
      <c r="AB164" s="58">
        <f t="shared" si="87"/>
        <v>30</v>
      </c>
      <c r="AC164" s="67"/>
      <c r="AD164" s="67"/>
      <c r="AE164" s="67"/>
      <c r="AF164" s="67"/>
      <c r="AG164" s="67"/>
      <c r="AH164" s="67"/>
      <c r="AI164" s="73"/>
      <c r="AJ164" s="74"/>
      <c r="AK164" s="74"/>
      <c r="AL164" s="62">
        <v>0.85</v>
      </c>
      <c r="AM164" s="63">
        <v>0.8</v>
      </c>
      <c r="AN164" s="63">
        <v>0.5</v>
      </c>
      <c r="AO164" s="63">
        <v>0.6</v>
      </c>
      <c r="AP164" s="64">
        <v>0.6</v>
      </c>
      <c r="AQ164" s="62">
        <f t="shared" si="73"/>
        <v>1</v>
      </c>
      <c r="AR164" s="65">
        <v>1</v>
      </c>
      <c r="AS164" s="62">
        <f t="shared" si="74"/>
        <v>0.80500000000000049</v>
      </c>
      <c r="AT164" s="65">
        <f t="shared" si="91"/>
        <v>0.93900000000000061</v>
      </c>
      <c r="AU164" s="62">
        <f t="shared" si="75"/>
        <v>1.0000000000000004</v>
      </c>
      <c r="AV164" s="65">
        <v>1.0000000000000004</v>
      </c>
      <c r="AW164" s="62">
        <f t="shared" si="76"/>
        <v>1.0000000000000004</v>
      </c>
      <c r="AX164" s="65">
        <v>1</v>
      </c>
      <c r="AY164" s="62">
        <f t="shared" si="77"/>
        <v>1.0000000000000004</v>
      </c>
      <c r="AZ164" s="65">
        <v>1.0000000000000004</v>
      </c>
      <c r="BA164" s="62">
        <f t="shared" si="78"/>
        <v>1.0000000000000004</v>
      </c>
      <c r="BB164" s="65">
        <v>1</v>
      </c>
      <c r="BC164" s="62">
        <f t="shared" si="79"/>
        <v>1.0000000000000004</v>
      </c>
      <c r="BD164" s="65">
        <v>1</v>
      </c>
      <c r="BE164" s="74"/>
      <c r="BF164" s="7"/>
      <c r="BG164" s="74"/>
      <c r="BH164" s="7"/>
      <c r="BI164" s="7"/>
      <c r="BJ164" s="7"/>
      <c r="BK164" s="7"/>
      <c r="BL164" s="7"/>
      <c r="BM164" s="7"/>
      <c r="BN164" s="7"/>
      <c r="BO164" s="7"/>
      <c r="BP164" s="7"/>
      <c r="BQ164" s="7"/>
    </row>
    <row r="165" spans="1:69" ht="19.8" thickBot="1" x14ac:dyDescent="0.35">
      <c r="A165" s="16">
        <v>163</v>
      </c>
      <c r="B165" s="52">
        <v>45063</v>
      </c>
      <c r="C165" s="53" t="str">
        <f t="shared" si="80"/>
        <v>1402/02/27</v>
      </c>
      <c r="D165" s="54">
        <v>0.97680000000000033</v>
      </c>
      <c r="E165" s="54">
        <v>0.79199280000000061</v>
      </c>
      <c r="F165" s="11" t="e">
        <f t="shared" si="81"/>
        <v>#N/A</v>
      </c>
      <c r="G165" s="38" t="str">
        <f t="shared" si="82"/>
        <v>تاریخ: 1402/02/27
درصد پیشرفت برنامه ای: 97.68%
درصد پیشرفت واقعی: 79.2%</v>
      </c>
      <c r="H165" s="55">
        <v>1</v>
      </c>
      <c r="I165" s="56">
        <f t="shared" si="92"/>
        <v>0.80700000000000049</v>
      </c>
      <c r="J165" s="56">
        <v>1.0000000000000004</v>
      </c>
      <c r="K165" s="56">
        <f t="shared" si="93"/>
        <v>1.0000000000000004</v>
      </c>
      <c r="L165" s="56">
        <f t="shared" si="70"/>
        <v>1.0000000000000004</v>
      </c>
      <c r="M165" s="56">
        <f t="shared" si="70"/>
        <v>1.0000000000000004</v>
      </c>
      <c r="N165" s="57">
        <f t="shared" si="68"/>
        <v>1.0000000000000004</v>
      </c>
      <c r="O165" s="16">
        <f t="shared" si="88"/>
        <v>25</v>
      </c>
      <c r="P165" s="17">
        <v>26</v>
      </c>
      <c r="Q165" s="17">
        <v>26</v>
      </c>
      <c r="R165" s="17">
        <v>27</v>
      </c>
      <c r="S165" s="17">
        <v>28</v>
      </c>
      <c r="T165" s="17">
        <v>29</v>
      </c>
      <c r="U165" s="58">
        <v>29</v>
      </c>
      <c r="V165" s="16">
        <f t="shared" si="83"/>
        <v>28</v>
      </c>
      <c r="W165" s="17">
        <f t="shared" si="84"/>
        <v>30</v>
      </c>
      <c r="X165" s="17">
        <f t="shared" si="84"/>
        <v>30</v>
      </c>
      <c r="Y165" s="17">
        <f t="shared" si="85"/>
        <v>28</v>
      </c>
      <c r="Z165" s="17">
        <f t="shared" si="72"/>
        <v>31</v>
      </c>
      <c r="AA165" s="17">
        <f t="shared" si="86"/>
        <v>30</v>
      </c>
      <c r="AB165" s="58">
        <f t="shared" si="87"/>
        <v>34</v>
      </c>
      <c r="AC165" s="67"/>
      <c r="AD165" s="67"/>
      <c r="AE165" s="67"/>
      <c r="AF165" s="67"/>
      <c r="AG165" s="67"/>
      <c r="AH165" s="67"/>
      <c r="AI165" s="73"/>
      <c r="AJ165" s="74"/>
      <c r="AK165" s="74"/>
      <c r="AL165" s="62">
        <v>0.9</v>
      </c>
      <c r="AM165" s="63">
        <v>0.95</v>
      </c>
      <c r="AN165" s="63">
        <v>0.8</v>
      </c>
      <c r="AO165" s="63">
        <v>0.7</v>
      </c>
      <c r="AP165" s="64">
        <v>0.1</v>
      </c>
      <c r="AQ165" s="62">
        <f t="shared" si="73"/>
        <v>1</v>
      </c>
      <c r="AR165" s="65">
        <v>1</v>
      </c>
      <c r="AS165" s="62">
        <f t="shared" si="74"/>
        <v>0.80700000000000049</v>
      </c>
      <c r="AT165" s="65">
        <f t="shared" si="91"/>
        <v>0.94300000000000062</v>
      </c>
      <c r="AU165" s="62">
        <f t="shared" si="75"/>
        <v>1.0000000000000004</v>
      </c>
      <c r="AV165" s="65">
        <v>1.0000000000000004</v>
      </c>
      <c r="AW165" s="62">
        <f t="shared" si="76"/>
        <v>1.0000000000000004</v>
      </c>
      <c r="AX165" s="65">
        <v>1</v>
      </c>
      <c r="AY165" s="62">
        <f t="shared" si="77"/>
        <v>1.0000000000000004</v>
      </c>
      <c r="AZ165" s="65">
        <v>1.0000000000000004</v>
      </c>
      <c r="BA165" s="62">
        <f t="shared" si="78"/>
        <v>1.0000000000000004</v>
      </c>
      <c r="BB165" s="65">
        <v>1</v>
      </c>
      <c r="BC165" s="62">
        <f t="shared" si="79"/>
        <v>1.0000000000000004</v>
      </c>
      <c r="BD165" s="65">
        <v>1</v>
      </c>
      <c r="BE165" s="74"/>
      <c r="BF165" s="7"/>
      <c r="BG165" s="74"/>
      <c r="BH165" s="7"/>
      <c r="BI165" s="7"/>
      <c r="BJ165" s="7"/>
      <c r="BK165" s="7"/>
      <c r="BL165" s="7"/>
      <c r="BM165" s="7"/>
      <c r="BN165" s="7"/>
      <c r="BO165" s="7"/>
      <c r="BP165" s="7"/>
      <c r="BQ165" s="7"/>
    </row>
    <row r="166" spans="1:69" ht="19.8" thickBot="1" x14ac:dyDescent="0.35">
      <c r="A166" s="16">
        <v>164</v>
      </c>
      <c r="B166" s="52">
        <v>45070</v>
      </c>
      <c r="C166" s="53" t="str">
        <f t="shared" si="80"/>
        <v>1402/03/03</v>
      </c>
      <c r="D166" s="54">
        <v>0.97820000000000029</v>
      </c>
      <c r="E166" s="54">
        <v>0.79356220000000055</v>
      </c>
      <c r="F166" s="11" t="e">
        <f t="shared" si="81"/>
        <v>#N/A</v>
      </c>
      <c r="G166" s="38" t="str">
        <f t="shared" si="82"/>
        <v>تاریخ: 1402/03/03
درصد پیشرفت برنامه ای: 97.82%
درصد پیشرفت واقعی: 79.36%</v>
      </c>
      <c r="H166" s="55">
        <v>1</v>
      </c>
      <c r="I166" s="56">
        <f t="shared" si="92"/>
        <v>0.8090000000000005</v>
      </c>
      <c r="J166" s="56">
        <v>1.0000000000000004</v>
      </c>
      <c r="K166" s="56">
        <f t="shared" si="93"/>
        <v>1.0000000000000004</v>
      </c>
      <c r="L166" s="56">
        <f t="shared" si="70"/>
        <v>1.0000000000000004</v>
      </c>
      <c r="M166" s="56">
        <f t="shared" si="70"/>
        <v>1.0000000000000004</v>
      </c>
      <c r="N166" s="57">
        <f t="shared" ref="N166:N229" si="94">M147</f>
        <v>1.0000000000000004</v>
      </c>
      <c r="O166" s="16">
        <f t="shared" si="88"/>
        <v>29</v>
      </c>
      <c r="P166" s="17">
        <v>29</v>
      </c>
      <c r="Q166" s="17">
        <v>28</v>
      </c>
      <c r="R166" s="17">
        <v>29</v>
      </c>
      <c r="S166" s="17">
        <v>30</v>
      </c>
      <c r="T166" s="17">
        <v>31</v>
      </c>
      <c r="U166" s="58">
        <v>30</v>
      </c>
      <c r="V166" s="16">
        <f t="shared" si="83"/>
        <v>32</v>
      </c>
      <c r="W166" s="17">
        <f t="shared" si="84"/>
        <v>33</v>
      </c>
      <c r="X166" s="17">
        <f t="shared" si="84"/>
        <v>32</v>
      </c>
      <c r="Y166" s="17">
        <f t="shared" si="85"/>
        <v>30</v>
      </c>
      <c r="Z166" s="17">
        <f t="shared" si="72"/>
        <v>33</v>
      </c>
      <c r="AA166" s="17">
        <f t="shared" si="86"/>
        <v>32</v>
      </c>
      <c r="AB166" s="58">
        <f t="shared" si="87"/>
        <v>35</v>
      </c>
      <c r="AC166" s="67"/>
      <c r="AD166" s="67"/>
      <c r="AE166" s="67"/>
      <c r="AF166" s="67"/>
      <c r="AG166" s="67"/>
      <c r="AH166" s="67"/>
      <c r="AI166" s="73"/>
      <c r="AJ166" s="74"/>
      <c r="AK166" s="74"/>
      <c r="AL166" s="62">
        <v>0.7</v>
      </c>
      <c r="AM166" s="63">
        <v>0.68</v>
      </c>
      <c r="AN166" s="63">
        <v>0.5</v>
      </c>
      <c r="AO166" s="63">
        <v>0.9</v>
      </c>
      <c r="AP166" s="64">
        <v>0.55000000000000004</v>
      </c>
      <c r="AQ166" s="62">
        <f t="shared" si="73"/>
        <v>1</v>
      </c>
      <c r="AR166" s="65">
        <v>1</v>
      </c>
      <c r="AS166" s="62">
        <f t="shared" si="74"/>
        <v>0.8090000000000005</v>
      </c>
      <c r="AT166" s="65">
        <f t="shared" si="91"/>
        <v>0.94700000000000062</v>
      </c>
      <c r="AU166" s="62">
        <f t="shared" si="75"/>
        <v>1.0000000000000004</v>
      </c>
      <c r="AV166" s="65">
        <v>1.0000000000000004</v>
      </c>
      <c r="AW166" s="62">
        <f t="shared" si="76"/>
        <v>1.0000000000000004</v>
      </c>
      <c r="AX166" s="65">
        <v>1</v>
      </c>
      <c r="AY166" s="62">
        <f t="shared" si="77"/>
        <v>1.0000000000000004</v>
      </c>
      <c r="AZ166" s="65">
        <v>1.0000000000000004</v>
      </c>
      <c r="BA166" s="62">
        <f t="shared" si="78"/>
        <v>1.0000000000000004</v>
      </c>
      <c r="BB166" s="65">
        <v>1</v>
      </c>
      <c r="BC166" s="62">
        <f t="shared" si="79"/>
        <v>1.0000000000000004</v>
      </c>
      <c r="BD166" s="65">
        <v>1</v>
      </c>
      <c r="BE166" s="74"/>
      <c r="BF166" s="7"/>
      <c r="BG166" s="74"/>
      <c r="BH166" s="7"/>
      <c r="BI166" s="7"/>
      <c r="BJ166" s="7"/>
      <c r="BK166" s="7"/>
      <c r="BL166" s="7"/>
      <c r="BM166" s="7"/>
      <c r="BN166" s="7"/>
      <c r="BO166" s="7"/>
      <c r="BP166" s="7"/>
      <c r="BQ166" s="7"/>
    </row>
    <row r="167" spans="1:69" ht="19.8" thickBot="1" x14ac:dyDescent="0.35">
      <c r="A167" s="16">
        <v>165</v>
      </c>
      <c r="B167" s="52">
        <v>45077</v>
      </c>
      <c r="C167" s="53" t="str">
        <f t="shared" si="80"/>
        <v>1402/03/10</v>
      </c>
      <c r="D167" s="54">
        <v>0.97960000000000025</v>
      </c>
      <c r="E167" s="54">
        <v>0.79356220000000055</v>
      </c>
      <c r="F167" s="11" t="e">
        <f t="shared" si="81"/>
        <v>#N/A</v>
      </c>
      <c r="G167" s="38" t="str">
        <f t="shared" si="82"/>
        <v>تاریخ: 1402/03/10
درصد پیشرفت برنامه ای: 97.96%
درصد پیشرفت واقعی: 79.36%</v>
      </c>
      <c r="H167" s="55">
        <v>1</v>
      </c>
      <c r="I167" s="56">
        <f t="shared" si="92"/>
        <v>0.8110000000000005</v>
      </c>
      <c r="J167" s="56">
        <v>1.0000000000000004</v>
      </c>
      <c r="K167" s="56">
        <f t="shared" si="93"/>
        <v>1.0000000000000004</v>
      </c>
      <c r="L167" s="56">
        <f t="shared" si="70"/>
        <v>1.0000000000000004</v>
      </c>
      <c r="M167" s="56">
        <f t="shared" si="70"/>
        <v>1.0000000000000004</v>
      </c>
      <c r="N167" s="57">
        <f t="shared" si="94"/>
        <v>1.0000000000000004</v>
      </c>
      <c r="O167" s="16">
        <f t="shared" si="88"/>
        <v>30</v>
      </c>
      <c r="P167" s="17">
        <v>31</v>
      </c>
      <c r="Q167" s="17">
        <v>31</v>
      </c>
      <c r="R167" s="17">
        <v>32</v>
      </c>
      <c r="S167" s="17">
        <v>31</v>
      </c>
      <c r="T167" s="17">
        <v>33</v>
      </c>
      <c r="U167" s="58">
        <v>30</v>
      </c>
      <c r="V167" s="16">
        <f t="shared" si="83"/>
        <v>33</v>
      </c>
      <c r="W167" s="17">
        <f t="shared" si="84"/>
        <v>35</v>
      </c>
      <c r="X167" s="17">
        <f t="shared" si="84"/>
        <v>35</v>
      </c>
      <c r="Y167" s="17">
        <f t="shared" si="85"/>
        <v>33</v>
      </c>
      <c r="Z167" s="17">
        <f t="shared" si="72"/>
        <v>34</v>
      </c>
      <c r="AA167" s="17">
        <f t="shared" si="86"/>
        <v>34</v>
      </c>
      <c r="AB167" s="58">
        <f t="shared" si="87"/>
        <v>35</v>
      </c>
      <c r="AC167" s="67"/>
      <c r="AD167" s="67"/>
      <c r="AE167" s="67"/>
      <c r="AF167" s="67"/>
      <c r="AG167" s="67"/>
      <c r="AH167" s="67"/>
      <c r="AI167" s="73"/>
      <c r="AJ167" s="74"/>
      <c r="AK167" s="74"/>
      <c r="AL167" s="62">
        <v>0.6</v>
      </c>
      <c r="AM167" s="63">
        <v>0.5</v>
      </c>
      <c r="AN167" s="63">
        <v>0.66</v>
      </c>
      <c r="AO167" s="63">
        <v>0.5</v>
      </c>
      <c r="AP167" s="64">
        <v>0.9</v>
      </c>
      <c r="AQ167" s="62">
        <f t="shared" si="73"/>
        <v>1</v>
      </c>
      <c r="AR167" s="65">
        <v>1</v>
      </c>
      <c r="AS167" s="62">
        <f t="shared" si="74"/>
        <v>0.8110000000000005</v>
      </c>
      <c r="AT167" s="65">
        <f t="shared" si="91"/>
        <v>0.95100000000000062</v>
      </c>
      <c r="AU167" s="62">
        <f t="shared" si="75"/>
        <v>1.0000000000000004</v>
      </c>
      <c r="AV167" s="65">
        <v>1.0000000000000004</v>
      </c>
      <c r="AW167" s="62">
        <f t="shared" si="76"/>
        <v>1.0000000000000004</v>
      </c>
      <c r="AX167" s="65">
        <v>1</v>
      </c>
      <c r="AY167" s="62">
        <f t="shared" si="77"/>
        <v>1.0000000000000004</v>
      </c>
      <c r="AZ167" s="65">
        <v>1.0000000000000004</v>
      </c>
      <c r="BA167" s="62">
        <f t="shared" si="78"/>
        <v>1.0000000000000004</v>
      </c>
      <c r="BB167" s="65">
        <v>1</v>
      </c>
      <c r="BC167" s="62">
        <f t="shared" si="79"/>
        <v>1.0000000000000004</v>
      </c>
      <c r="BD167" s="65">
        <v>1</v>
      </c>
      <c r="BE167" s="74"/>
      <c r="BF167" s="7"/>
      <c r="BG167" s="74"/>
      <c r="BH167" s="7"/>
      <c r="BI167" s="7"/>
      <c r="BJ167" s="7"/>
      <c r="BK167" s="7"/>
      <c r="BL167" s="7"/>
      <c r="BM167" s="7"/>
      <c r="BN167" s="7"/>
      <c r="BO167" s="7"/>
      <c r="BP167" s="7"/>
      <c r="BQ167" s="7"/>
    </row>
    <row r="168" spans="1:69" ht="19.8" thickBot="1" x14ac:dyDescent="0.35">
      <c r="A168" s="16">
        <v>166</v>
      </c>
      <c r="B168" s="52">
        <v>45084</v>
      </c>
      <c r="C168" s="53" t="str">
        <f t="shared" si="80"/>
        <v>1402/03/17</v>
      </c>
      <c r="D168" s="54">
        <v>0.98100000000000021</v>
      </c>
      <c r="E168" s="54">
        <v>0.79356220000000055</v>
      </c>
      <c r="F168" s="11" t="e">
        <f t="shared" si="81"/>
        <v>#N/A</v>
      </c>
      <c r="G168" s="38" t="str">
        <f t="shared" si="82"/>
        <v>تاریخ: 1402/03/17
درصد پیشرفت برنامه ای: 98.1%
درصد پیشرفت واقعی: 79.36%</v>
      </c>
      <c r="H168" s="55">
        <v>1</v>
      </c>
      <c r="I168" s="56">
        <f t="shared" si="92"/>
        <v>0.8130000000000005</v>
      </c>
      <c r="J168" s="56">
        <v>1.0000000000000004</v>
      </c>
      <c r="K168" s="56">
        <f t="shared" si="93"/>
        <v>1.0000000000000004</v>
      </c>
      <c r="L168" s="56">
        <f t="shared" si="70"/>
        <v>1.0000000000000004</v>
      </c>
      <c r="M168" s="56">
        <f t="shared" si="70"/>
        <v>1.0000000000000004</v>
      </c>
      <c r="N168" s="57">
        <f t="shared" si="94"/>
        <v>1.0000000000000004</v>
      </c>
      <c r="O168" s="16">
        <f t="shared" si="88"/>
        <v>30</v>
      </c>
      <c r="P168" s="17">
        <v>32</v>
      </c>
      <c r="Q168" s="17">
        <v>33</v>
      </c>
      <c r="R168" s="17">
        <v>34</v>
      </c>
      <c r="S168" s="17">
        <v>32</v>
      </c>
      <c r="T168" s="17">
        <v>35</v>
      </c>
      <c r="U168" s="58">
        <v>34</v>
      </c>
      <c r="V168" s="16">
        <f t="shared" si="83"/>
        <v>33</v>
      </c>
      <c r="W168" s="17">
        <f t="shared" si="84"/>
        <v>36</v>
      </c>
      <c r="X168" s="17">
        <f t="shared" si="84"/>
        <v>37</v>
      </c>
      <c r="Y168" s="17">
        <f t="shared" si="85"/>
        <v>35</v>
      </c>
      <c r="Z168" s="17">
        <f t="shared" si="72"/>
        <v>35</v>
      </c>
      <c r="AA168" s="17">
        <f t="shared" si="86"/>
        <v>36</v>
      </c>
      <c r="AB168" s="58">
        <f t="shared" si="87"/>
        <v>39</v>
      </c>
      <c r="AC168" s="67"/>
      <c r="AD168" s="67"/>
      <c r="AE168" s="67"/>
      <c r="AF168" s="67"/>
      <c r="AG168" s="67"/>
      <c r="AH168" s="67"/>
      <c r="AI168" s="73"/>
      <c r="AJ168" s="74"/>
      <c r="AK168" s="74"/>
      <c r="AL168" s="62">
        <v>0.55000000000000004</v>
      </c>
      <c r="AM168" s="63">
        <v>0.62</v>
      </c>
      <c r="AN168" s="63">
        <v>0.78</v>
      </c>
      <c r="AO168" s="63">
        <v>0.42</v>
      </c>
      <c r="AP168" s="64">
        <v>0.8</v>
      </c>
      <c r="AQ168" s="62">
        <f t="shared" si="73"/>
        <v>1</v>
      </c>
      <c r="AR168" s="65">
        <v>1</v>
      </c>
      <c r="AS168" s="62">
        <f t="shared" si="74"/>
        <v>0.8130000000000005</v>
      </c>
      <c r="AT168" s="65">
        <f t="shared" si="91"/>
        <v>0.95500000000000063</v>
      </c>
      <c r="AU168" s="62">
        <f t="shared" si="75"/>
        <v>1.0000000000000004</v>
      </c>
      <c r="AV168" s="65">
        <v>1.0000000000000004</v>
      </c>
      <c r="AW168" s="62">
        <f t="shared" si="76"/>
        <v>1.0000000000000004</v>
      </c>
      <c r="AX168" s="65">
        <v>1</v>
      </c>
      <c r="AY168" s="62">
        <f t="shared" si="77"/>
        <v>1.0000000000000004</v>
      </c>
      <c r="AZ168" s="65">
        <v>1.0000000000000004</v>
      </c>
      <c r="BA168" s="62">
        <f t="shared" si="78"/>
        <v>1.0000000000000004</v>
      </c>
      <c r="BB168" s="65">
        <v>1</v>
      </c>
      <c r="BC168" s="62">
        <f t="shared" si="79"/>
        <v>1.0000000000000004</v>
      </c>
      <c r="BD168" s="65">
        <v>1</v>
      </c>
      <c r="BE168" s="74"/>
      <c r="BF168" s="7"/>
      <c r="BG168" s="74"/>
      <c r="BH168" s="7"/>
      <c r="BI168" s="7"/>
      <c r="BJ168" s="7"/>
      <c r="BK168" s="7"/>
      <c r="BL168" s="7"/>
      <c r="BM168" s="7"/>
      <c r="BN168" s="7"/>
      <c r="BO168" s="7"/>
      <c r="BP168" s="7"/>
      <c r="BQ168" s="7"/>
    </row>
    <row r="169" spans="1:69" ht="19.8" thickBot="1" x14ac:dyDescent="0.35">
      <c r="A169" s="16">
        <v>167</v>
      </c>
      <c r="B169" s="52">
        <v>45091</v>
      </c>
      <c r="C169" s="53" t="str">
        <f t="shared" si="80"/>
        <v>1402/03/24</v>
      </c>
      <c r="D169" s="54">
        <v>0.98240000000000016</v>
      </c>
      <c r="E169" s="54">
        <v>0.79513160000000049</v>
      </c>
      <c r="F169" s="11" t="e">
        <f t="shared" si="81"/>
        <v>#N/A</v>
      </c>
      <c r="G169" s="38" t="str">
        <f t="shared" si="82"/>
        <v>تاریخ: 1402/03/24
درصد پیشرفت برنامه ای: 98.24%
درصد پیشرفت واقعی: 79.51%</v>
      </c>
      <c r="H169" s="55">
        <v>1</v>
      </c>
      <c r="I169" s="56">
        <f t="shared" si="92"/>
        <v>0.8150000000000005</v>
      </c>
      <c r="J169" s="56">
        <v>1.0000000000000004</v>
      </c>
      <c r="K169" s="56">
        <f t="shared" si="93"/>
        <v>1.0000000000000004</v>
      </c>
      <c r="L169" s="56">
        <f t="shared" si="70"/>
        <v>1.0000000000000004</v>
      </c>
      <c r="M169" s="56">
        <f t="shared" si="70"/>
        <v>1.0000000000000004</v>
      </c>
      <c r="N169" s="57">
        <f t="shared" si="94"/>
        <v>1.0000000000000004</v>
      </c>
      <c r="O169" s="16">
        <f t="shared" si="88"/>
        <v>34</v>
      </c>
      <c r="P169" s="17">
        <v>36</v>
      </c>
      <c r="Q169" s="17">
        <v>37</v>
      </c>
      <c r="R169" s="17">
        <v>36</v>
      </c>
      <c r="S169" s="17">
        <v>38</v>
      </c>
      <c r="T169" s="17">
        <v>36</v>
      </c>
      <c r="U169" s="58">
        <v>36</v>
      </c>
      <c r="V169" s="16">
        <f t="shared" si="83"/>
        <v>37</v>
      </c>
      <c r="W169" s="17">
        <f t="shared" si="84"/>
        <v>40</v>
      </c>
      <c r="X169" s="17">
        <f t="shared" si="84"/>
        <v>41</v>
      </c>
      <c r="Y169" s="17">
        <f t="shared" si="85"/>
        <v>37</v>
      </c>
      <c r="Z169" s="17">
        <f t="shared" si="72"/>
        <v>41</v>
      </c>
      <c r="AA169" s="17">
        <f t="shared" si="86"/>
        <v>37</v>
      </c>
      <c r="AB169" s="58">
        <f t="shared" si="87"/>
        <v>41</v>
      </c>
      <c r="AC169" s="67"/>
      <c r="AD169" s="67"/>
      <c r="AE169" s="67"/>
      <c r="AF169" s="67"/>
      <c r="AG169" s="67"/>
      <c r="AH169" s="67"/>
      <c r="AI169" s="73"/>
      <c r="AJ169" s="74"/>
      <c r="AK169" s="74"/>
      <c r="AL169" s="62">
        <v>0.6</v>
      </c>
      <c r="AM169" s="63">
        <v>0.9</v>
      </c>
      <c r="AN169" s="63">
        <v>0.5</v>
      </c>
      <c r="AO169" s="63">
        <v>0.5</v>
      </c>
      <c r="AP169" s="64">
        <v>0.62</v>
      </c>
      <c r="AQ169" s="62">
        <f t="shared" si="73"/>
        <v>1</v>
      </c>
      <c r="AR169" s="65">
        <v>1</v>
      </c>
      <c r="AS169" s="62">
        <f t="shared" si="74"/>
        <v>0.8150000000000005</v>
      </c>
      <c r="AT169" s="65">
        <f t="shared" si="91"/>
        <v>0.95900000000000063</v>
      </c>
      <c r="AU169" s="62">
        <f t="shared" si="75"/>
        <v>1.0000000000000004</v>
      </c>
      <c r="AV169" s="65">
        <v>1.0000000000000004</v>
      </c>
      <c r="AW169" s="62">
        <f t="shared" si="76"/>
        <v>1.0000000000000004</v>
      </c>
      <c r="AX169" s="65">
        <v>1</v>
      </c>
      <c r="AY169" s="62">
        <f t="shared" si="77"/>
        <v>1.0000000000000004</v>
      </c>
      <c r="AZ169" s="65">
        <v>1.0000000000000004</v>
      </c>
      <c r="BA169" s="62">
        <f t="shared" si="78"/>
        <v>1.0000000000000004</v>
      </c>
      <c r="BB169" s="65">
        <v>1</v>
      </c>
      <c r="BC169" s="62">
        <f t="shared" si="79"/>
        <v>1.0000000000000004</v>
      </c>
      <c r="BD169" s="65">
        <v>1</v>
      </c>
      <c r="BE169" s="74"/>
      <c r="BF169" s="7"/>
      <c r="BG169" s="74"/>
      <c r="BH169" s="7"/>
      <c r="BI169" s="7"/>
      <c r="BJ169" s="7"/>
      <c r="BK169" s="7"/>
      <c r="BL169" s="7"/>
      <c r="BM169" s="7"/>
      <c r="BN169" s="7"/>
      <c r="BO169" s="7"/>
      <c r="BP169" s="7"/>
      <c r="BQ169" s="7"/>
    </row>
    <row r="170" spans="1:69" ht="19.8" thickBot="1" x14ac:dyDescent="0.35">
      <c r="A170" s="16">
        <v>168</v>
      </c>
      <c r="B170" s="52">
        <v>45098</v>
      </c>
      <c r="C170" s="53" t="str">
        <f t="shared" si="80"/>
        <v>1402/03/31</v>
      </c>
      <c r="D170" s="54">
        <v>0.98380000000000012</v>
      </c>
      <c r="E170" s="54">
        <v>0.79670100000000044</v>
      </c>
      <c r="F170" s="11" t="e">
        <f t="shared" si="81"/>
        <v>#N/A</v>
      </c>
      <c r="G170" s="38" t="str">
        <f t="shared" si="82"/>
        <v>تاریخ: 1402/03/31
درصد پیشرفت برنامه ای: 98.38%
درصد پیشرفت واقعی: 79.67%</v>
      </c>
      <c r="H170" s="55">
        <v>1</v>
      </c>
      <c r="I170" s="56">
        <f t="shared" si="92"/>
        <v>0.8170000000000005</v>
      </c>
      <c r="J170" s="56">
        <v>1.0000000000000004</v>
      </c>
      <c r="K170" s="56">
        <f t="shared" si="93"/>
        <v>1.0000000000000004</v>
      </c>
      <c r="L170" s="56">
        <f t="shared" si="70"/>
        <v>1.0000000000000004</v>
      </c>
      <c r="M170" s="56">
        <f t="shared" si="70"/>
        <v>1.0000000000000004</v>
      </c>
      <c r="N170" s="57">
        <f t="shared" si="94"/>
        <v>1.0000000000000004</v>
      </c>
      <c r="O170" s="16">
        <f t="shared" si="88"/>
        <v>36</v>
      </c>
      <c r="P170" s="17">
        <v>38</v>
      </c>
      <c r="Q170" s="17">
        <v>39</v>
      </c>
      <c r="R170" s="17">
        <v>40</v>
      </c>
      <c r="S170" s="17">
        <v>39</v>
      </c>
      <c r="T170" s="17">
        <v>40</v>
      </c>
      <c r="U170" s="58">
        <v>39</v>
      </c>
      <c r="V170" s="16">
        <f t="shared" si="83"/>
        <v>39</v>
      </c>
      <c r="W170" s="17">
        <f t="shared" si="84"/>
        <v>42</v>
      </c>
      <c r="X170" s="17">
        <f t="shared" si="84"/>
        <v>43</v>
      </c>
      <c r="Y170" s="17">
        <f t="shared" si="85"/>
        <v>41</v>
      </c>
      <c r="Z170" s="17">
        <f t="shared" si="72"/>
        <v>42</v>
      </c>
      <c r="AA170" s="17">
        <f t="shared" si="86"/>
        <v>41</v>
      </c>
      <c r="AB170" s="58">
        <f t="shared" si="87"/>
        <v>44</v>
      </c>
      <c r="AC170" s="67"/>
      <c r="AD170" s="67"/>
      <c r="AE170" s="67"/>
      <c r="AF170" s="67"/>
      <c r="AG170" s="67"/>
      <c r="AH170" s="67"/>
      <c r="AI170" s="73"/>
      <c r="AJ170" s="74"/>
      <c r="AK170" s="74"/>
      <c r="AL170" s="62">
        <v>0.66</v>
      </c>
      <c r="AM170" s="63">
        <v>0.7</v>
      </c>
      <c r="AN170" s="63">
        <v>0.8</v>
      </c>
      <c r="AO170" s="63">
        <v>0.55000000000000004</v>
      </c>
      <c r="AP170" s="64">
        <v>0.5</v>
      </c>
      <c r="AQ170" s="62">
        <f t="shared" si="73"/>
        <v>1</v>
      </c>
      <c r="AR170" s="65">
        <v>1</v>
      </c>
      <c r="AS170" s="62">
        <f t="shared" si="74"/>
        <v>0.8170000000000005</v>
      </c>
      <c r="AT170" s="65">
        <f t="shared" si="91"/>
        <v>0.96300000000000063</v>
      </c>
      <c r="AU170" s="62">
        <f t="shared" si="75"/>
        <v>1.0000000000000004</v>
      </c>
      <c r="AV170" s="65">
        <v>1.0000000000000004</v>
      </c>
      <c r="AW170" s="62">
        <f t="shared" si="76"/>
        <v>1.0000000000000004</v>
      </c>
      <c r="AX170" s="65">
        <v>1</v>
      </c>
      <c r="AY170" s="62">
        <f t="shared" si="77"/>
        <v>1.0000000000000004</v>
      </c>
      <c r="AZ170" s="65">
        <v>1.0000000000000004</v>
      </c>
      <c r="BA170" s="62">
        <f t="shared" si="78"/>
        <v>1.0000000000000004</v>
      </c>
      <c r="BB170" s="65">
        <v>1</v>
      </c>
      <c r="BC170" s="62">
        <f t="shared" si="79"/>
        <v>1.0000000000000004</v>
      </c>
      <c r="BD170" s="65">
        <v>1</v>
      </c>
      <c r="BE170" s="74"/>
      <c r="BF170" s="7"/>
      <c r="BG170" s="74"/>
      <c r="BH170" s="7"/>
      <c r="BI170" s="7"/>
      <c r="BJ170" s="7"/>
      <c r="BK170" s="7"/>
      <c r="BL170" s="7"/>
      <c r="BM170" s="7"/>
      <c r="BN170" s="7"/>
      <c r="BO170" s="7"/>
      <c r="BP170" s="7"/>
      <c r="BQ170" s="7"/>
    </row>
    <row r="171" spans="1:69" ht="19.8" thickBot="1" x14ac:dyDescent="0.35">
      <c r="A171" s="16">
        <v>169</v>
      </c>
      <c r="B171" s="52">
        <v>45105</v>
      </c>
      <c r="C171" s="53" t="str">
        <f t="shared" si="80"/>
        <v>1402/04/07</v>
      </c>
      <c r="D171" s="54">
        <v>0.98520000000000008</v>
      </c>
      <c r="E171" s="54">
        <v>0.79827040000000038</v>
      </c>
      <c r="F171" s="11" t="e">
        <f t="shared" si="81"/>
        <v>#N/A</v>
      </c>
      <c r="G171" s="38" t="str">
        <f t="shared" si="82"/>
        <v>تاریخ: 1402/04/07
درصد پیشرفت برنامه ای: 98.52%
درصد پیشرفت واقعی: 79.83%</v>
      </c>
      <c r="H171" s="55">
        <v>1</v>
      </c>
      <c r="I171" s="56">
        <f t="shared" si="92"/>
        <v>0.81900000000000051</v>
      </c>
      <c r="J171" s="56">
        <v>1.0000000000000004</v>
      </c>
      <c r="K171" s="56">
        <f t="shared" si="93"/>
        <v>1.0000000000000004</v>
      </c>
      <c r="L171" s="56">
        <f t="shared" si="70"/>
        <v>1.0000000000000004</v>
      </c>
      <c r="M171" s="56">
        <f t="shared" si="70"/>
        <v>1.0000000000000004</v>
      </c>
      <c r="N171" s="57">
        <f t="shared" si="94"/>
        <v>1.0000000000000004</v>
      </c>
      <c r="O171" s="16">
        <f t="shared" si="88"/>
        <v>39</v>
      </c>
      <c r="P171" s="17">
        <v>40</v>
      </c>
      <c r="Q171" s="17">
        <v>41</v>
      </c>
      <c r="R171" s="17">
        <v>40</v>
      </c>
      <c r="S171" s="17">
        <v>42</v>
      </c>
      <c r="T171" s="17">
        <v>43</v>
      </c>
      <c r="U171" s="58">
        <v>42</v>
      </c>
      <c r="V171" s="16">
        <f t="shared" si="83"/>
        <v>42</v>
      </c>
      <c r="W171" s="17">
        <f t="shared" si="84"/>
        <v>44</v>
      </c>
      <c r="X171" s="17">
        <f t="shared" si="84"/>
        <v>45</v>
      </c>
      <c r="Y171" s="17">
        <f t="shared" si="85"/>
        <v>41</v>
      </c>
      <c r="Z171" s="17">
        <f t="shared" si="72"/>
        <v>45</v>
      </c>
      <c r="AA171" s="17">
        <f t="shared" si="86"/>
        <v>44</v>
      </c>
      <c r="AB171" s="58">
        <f t="shared" si="87"/>
        <v>47</v>
      </c>
      <c r="AC171" s="67"/>
      <c r="AD171" s="67"/>
      <c r="AE171" s="67"/>
      <c r="AF171" s="67"/>
      <c r="AG171" s="67"/>
      <c r="AH171" s="67"/>
      <c r="AI171" s="73"/>
      <c r="AJ171" s="74"/>
      <c r="AK171" s="74"/>
      <c r="AL171" s="62">
        <v>0.55000000000000004</v>
      </c>
      <c r="AM171" s="63">
        <v>0.4</v>
      </c>
      <c r="AN171" s="63">
        <v>0.4</v>
      </c>
      <c r="AO171" s="63">
        <v>0.9</v>
      </c>
      <c r="AP171" s="64">
        <v>0.8</v>
      </c>
      <c r="AQ171" s="62">
        <f t="shared" si="73"/>
        <v>1</v>
      </c>
      <c r="AR171" s="65">
        <v>1</v>
      </c>
      <c r="AS171" s="62">
        <f t="shared" si="74"/>
        <v>0.81900000000000051</v>
      </c>
      <c r="AT171" s="65">
        <f t="shared" si="91"/>
        <v>0.96700000000000064</v>
      </c>
      <c r="AU171" s="62">
        <f t="shared" si="75"/>
        <v>1.0000000000000004</v>
      </c>
      <c r="AV171" s="65">
        <v>1.0000000000000004</v>
      </c>
      <c r="AW171" s="62">
        <f t="shared" si="76"/>
        <v>1.0000000000000004</v>
      </c>
      <c r="AX171" s="65">
        <v>1</v>
      </c>
      <c r="AY171" s="62">
        <f t="shared" si="77"/>
        <v>1.0000000000000004</v>
      </c>
      <c r="AZ171" s="65">
        <v>1.0000000000000004</v>
      </c>
      <c r="BA171" s="62">
        <f t="shared" si="78"/>
        <v>1.0000000000000004</v>
      </c>
      <c r="BB171" s="65">
        <v>1</v>
      </c>
      <c r="BC171" s="62">
        <f t="shared" si="79"/>
        <v>1.0000000000000004</v>
      </c>
      <c r="BD171" s="65">
        <v>1</v>
      </c>
      <c r="BE171" s="74"/>
      <c r="BF171" s="7"/>
      <c r="BG171" s="74"/>
      <c r="BH171" s="7"/>
      <c r="BI171" s="7"/>
      <c r="BJ171" s="7"/>
      <c r="BK171" s="7"/>
      <c r="BL171" s="7"/>
      <c r="BM171" s="7"/>
      <c r="BN171" s="7"/>
      <c r="BO171" s="7"/>
      <c r="BP171" s="7"/>
      <c r="BQ171" s="7"/>
    </row>
    <row r="172" spans="1:69" ht="19.8" thickBot="1" x14ac:dyDescent="0.35">
      <c r="A172" s="16">
        <v>170</v>
      </c>
      <c r="B172" s="52">
        <v>45112</v>
      </c>
      <c r="C172" s="53" t="str">
        <f t="shared" si="80"/>
        <v>1402/04/14</v>
      </c>
      <c r="D172" s="54">
        <v>0.98660000000000003</v>
      </c>
      <c r="E172" s="54">
        <v>0.79983980000000032</v>
      </c>
      <c r="F172" s="11" t="e">
        <f t="shared" si="81"/>
        <v>#N/A</v>
      </c>
      <c r="G172" s="38" t="str">
        <f t="shared" si="82"/>
        <v>تاریخ: 1402/04/14
درصد پیشرفت برنامه ای: 98.66%
درصد پیشرفت واقعی: 79.98%</v>
      </c>
      <c r="H172" s="55">
        <v>1</v>
      </c>
      <c r="I172" s="56">
        <f t="shared" si="92"/>
        <v>0.82100000000000051</v>
      </c>
      <c r="J172" s="56">
        <v>1.0000000000000004</v>
      </c>
      <c r="K172" s="56">
        <f t="shared" si="93"/>
        <v>1.0000000000000004</v>
      </c>
      <c r="L172" s="56">
        <f t="shared" si="70"/>
        <v>1.0000000000000004</v>
      </c>
      <c r="M172" s="56">
        <f t="shared" si="70"/>
        <v>1.0000000000000004</v>
      </c>
      <c r="N172" s="57">
        <f t="shared" si="94"/>
        <v>1.0000000000000004</v>
      </c>
      <c r="O172" s="16">
        <f t="shared" si="88"/>
        <v>42</v>
      </c>
      <c r="P172" s="17">
        <v>43</v>
      </c>
      <c r="Q172" s="17">
        <v>44</v>
      </c>
      <c r="R172" s="17">
        <v>42</v>
      </c>
      <c r="S172" s="17">
        <v>43</v>
      </c>
      <c r="T172" s="17">
        <v>45</v>
      </c>
      <c r="U172" s="58">
        <v>45</v>
      </c>
      <c r="V172" s="16">
        <f t="shared" si="83"/>
        <v>45</v>
      </c>
      <c r="W172" s="17">
        <f t="shared" si="84"/>
        <v>47</v>
      </c>
      <c r="X172" s="17">
        <f t="shared" si="84"/>
        <v>48</v>
      </c>
      <c r="Y172" s="17">
        <f t="shared" si="85"/>
        <v>43</v>
      </c>
      <c r="Z172" s="17">
        <f t="shared" si="72"/>
        <v>46</v>
      </c>
      <c r="AA172" s="17">
        <f t="shared" si="86"/>
        <v>46</v>
      </c>
      <c r="AB172" s="58">
        <f t="shared" si="87"/>
        <v>50</v>
      </c>
      <c r="AC172" s="67"/>
      <c r="AD172" s="67"/>
      <c r="AE172" s="67"/>
      <c r="AF172" s="67"/>
      <c r="AG172" s="67"/>
      <c r="AH172" s="67"/>
      <c r="AI172" s="73"/>
      <c r="AJ172" s="74"/>
      <c r="AK172" s="74"/>
      <c r="AL172" s="62">
        <v>0.7</v>
      </c>
      <c r="AM172" s="63">
        <v>0.55000000000000004</v>
      </c>
      <c r="AN172" s="63">
        <v>0.1</v>
      </c>
      <c r="AO172" s="63">
        <v>0.4</v>
      </c>
      <c r="AP172" s="64">
        <v>0.9</v>
      </c>
      <c r="AQ172" s="62">
        <f t="shared" si="73"/>
        <v>1</v>
      </c>
      <c r="AR172" s="65">
        <v>1</v>
      </c>
      <c r="AS172" s="62">
        <f t="shared" si="74"/>
        <v>0.82100000000000051</v>
      </c>
      <c r="AT172" s="65">
        <f t="shared" si="91"/>
        <v>0.97100000000000064</v>
      </c>
      <c r="AU172" s="62">
        <f t="shared" si="75"/>
        <v>1.0000000000000004</v>
      </c>
      <c r="AV172" s="65">
        <v>1.0000000000000004</v>
      </c>
      <c r="AW172" s="62">
        <f t="shared" si="76"/>
        <v>1.0000000000000004</v>
      </c>
      <c r="AX172" s="65">
        <v>1</v>
      </c>
      <c r="AY172" s="62">
        <f t="shared" si="77"/>
        <v>1.0000000000000004</v>
      </c>
      <c r="AZ172" s="65">
        <v>1.0000000000000004</v>
      </c>
      <c r="BA172" s="62">
        <f t="shared" si="78"/>
        <v>1.0000000000000004</v>
      </c>
      <c r="BB172" s="65">
        <v>1</v>
      </c>
      <c r="BC172" s="62">
        <f t="shared" si="79"/>
        <v>1.0000000000000004</v>
      </c>
      <c r="BD172" s="65">
        <v>1</v>
      </c>
      <c r="BE172" s="74"/>
      <c r="BF172" s="7"/>
      <c r="BG172" s="74"/>
      <c r="BH172" s="7"/>
      <c r="BI172" s="7"/>
      <c r="BJ172" s="7"/>
      <c r="BK172" s="7"/>
      <c r="BL172" s="7"/>
      <c r="BM172" s="7"/>
      <c r="BN172" s="7"/>
      <c r="BO172" s="7"/>
      <c r="BP172" s="7"/>
      <c r="BQ172" s="7"/>
    </row>
    <row r="173" spans="1:69" ht="19.8" thickBot="1" x14ac:dyDescent="0.35">
      <c r="A173" s="16">
        <v>171</v>
      </c>
      <c r="B173" s="52">
        <v>45119</v>
      </c>
      <c r="C173" s="53" t="str">
        <f t="shared" si="80"/>
        <v>1402/04/21</v>
      </c>
      <c r="D173" s="54">
        <v>0.98799999999999999</v>
      </c>
      <c r="E173" s="54">
        <v>0.80140920000000027</v>
      </c>
      <c r="F173" s="11" t="e">
        <f t="shared" si="81"/>
        <v>#N/A</v>
      </c>
      <c r="G173" s="38" t="str">
        <f t="shared" si="82"/>
        <v>تاریخ: 1402/04/21
درصد پیشرفت برنامه ای: 98.8%
درصد پیشرفت واقعی: 80.14%</v>
      </c>
      <c r="H173" s="55">
        <v>1</v>
      </c>
      <c r="I173" s="56">
        <f t="shared" si="92"/>
        <v>0.82300000000000051</v>
      </c>
      <c r="J173" s="56">
        <v>1.0000000000000004</v>
      </c>
      <c r="K173" s="56">
        <f t="shared" si="93"/>
        <v>1.0000000000000004</v>
      </c>
      <c r="L173" s="56">
        <f t="shared" si="70"/>
        <v>1.0000000000000004</v>
      </c>
      <c r="M173" s="56">
        <f t="shared" si="70"/>
        <v>1.0000000000000004</v>
      </c>
      <c r="N173" s="57">
        <f t="shared" si="94"/>
        <v>1.0000000000000004</v>
      </c>
      <c r="O173" s="16">
        <f t="shared" si="88"/>
        <v>45</v>
      </c>
      <c r="P173" s="17">
        <v>46</v>
      </c>
      <c r="Q173" s="17">
        <v>45</v>
      </c>
      <c r="R173" s="17">
        <v>46</v>
      </c>
      <c r="S173" s="17">
        <v>47</v>
      </c>
      <c r="T173" s="17">
        <v>47</v>
      </c>
      <c r="U173" s="58">
        <v>46</v>
      </c>
      <c r="V173" s="16">
        <f t="shared" si="83"/>
        <v>48</v>
      </c>
      <c r="W173" s="17">
        <f t="shared" si="84"/>
        <v>50</v>
      </c>
      <c r="X173" s="17">
        <f t="shared" si="84"/>
        <v>49</v>
      </c>
      <c r="Y173" s="17">
        <f t="shared" si="85"/>
        <v>47</v>
      </c>
      <c r="Z173" s="17">
        <f t="shared" si="72"/>
        <v>50</v>
      </c>
      <c r="AA173" s="17">
        <f t="shared" si="86"/>
        <v>48</v>
      </c>
      <c r="AB173" s="58">
        <f t="shared" si="87"/>
        <v>51</v>
      </c>
      <c r="AC173" s="67"/>
      <c r="AD173" s="67"/>
      <c r="AE173" s="67"/>
      <c r="AF173" s="67"/>
      <c r="AG173" s="67"/>
      <c r="AH173" s="67"/>
      <c r="AI173" s="73"/>
      <c r="AJ173" s="74"/>
      <c r="AK173" s="74"/>
      <c r="AL173" s="62">
        <v>0.4</v>
      </c>
      <c r="AM173" s="63">
        <v>0.69</v>
      </c>
      <c r="AN173" s="63">
        <v>0.5</v>
      </c>
      <c r="AO173" s="63">
        <v>0.2</v>
      </c>
      <c r="AP173" s="64">
        <v>0.4</v>
      </c>
      <c r="AQ173" s="62">
        <f t="shared" si="73"/>
        <v>1</v>
      </c>
      <c r="AR173" s="65">
        <v>1</v>
      </c>
      <c r="AS173" s="62">
        <f t="shared" si="74"/>
        <v>0.82300000000000051</v>
      </c>
      <c r="AT173" s="65">
        <f t="shared" si="91"/>
        <v>0.97500000000000064</v>
      </c>
      <c r="AU173" s="62">
        <f t="shared" si="75"/>
        <v>1.0000000000000004</v>
      </c>
      <c r="AV173" s="65">
        <v>1.0000000000000004</v>
      </c>
      <c r="AW173" s="62">
        <f t="shared" si="76"/>
        <v>1.0000000000000004</v>
      </c>
      <c r="AX173" s="65">
        <v>1</v>
      </c>
      <c r="AY173" s="62">
        <f t="shared" si="77"/>
        <v>1.0000000000000004</v>
      </c>
      <c r="AZ173" s="65">
        <v>1.0000000000000004</v>
      </c>
      <c r="BA173" s="62">
        <f t="shared" si="78"/>
        <v>1.0000000000000004</v>
      </c>
      <c r="BB173" s="65">
        <v>1</v>
      </c>
      <c r="BC173" s="62">
        <f t="shared" si="79"/>
        <v>1.0000000000000004</v>
      </c>
      <c r="BD173" s="65">
        <v>1</v>
      </c>
      <c r="BE173" s="74"/>
      <c r="BF173" s="7"/>
      <c r="BG173" s="74"/>
      <c r="BH173" s="7"/>
      <c r="BI173" s="7"/>
      <c r="BJ173" s="7"/>
      <c r="BK173" s="7"/>
      <c r="BL173" s="7"/>
      <c r="BM173" s="7"/>
      <c r="BN173" s="7"/>
      <c r="BO173" s="7"/>
      <c r="BP173" s="7"/>
      <c r="BQ173" s="7"/>
    </row>
    <row r="174" spans="1:69" ht="19.8" thickBot="1" x14ac:dyDescent="0.35">
      <c r="A174" s="16">
        <v>172</v>
      </c>
      <c r="B174" s="52">
        <v>45126</v>
      </c>
      <c r="C174" s="53" t="str">
        <f t="shared" si="80"/>
        <v>1402/04/28</v>
      </c>
      <c r="D174" s="54">
        <v>0.98939999999999995</v>
      </c>
      <c r="E174" s="54">
        <v>0.80310460000000017</v>
      </c>
      <c r="F174" s="11" t="e">
        <f t="shared" si="81"/>
        <v>#N/A</v>
      </c>
      <c r="G174" s="38" t="str">
        <f t="shared" si="82"/>
        <v>تاریخ: 1402/04/28
درصد پیشرفت برنامه ای: 98.94%
درصد پیشرفت واقعی: 80.31%</v>
      </c>
      <c r="H174" s="55">
        <v>1</v>
      </c>
      <c r="I174" s="56">
        <f t="shared" si="92"/>
        <v>0.82500000000000051</v>
      </c>
      <c r="J174" s="56">
        <v>1.0000000000000004</v>
      </c>
      <c r="K174" s="56">
        <f t="shared" si="93"/>
        <v>1.0000000000000004</v>
      </c>
      <c r="L174" s="56">
        <f t="shared" si="70"/>
        <v>1.0000000000000004</v>
      </c>
      <c r="M174" s="56">
        <f t="shared" si="70"/>
        <v>1.0000000000000004</v>
      </c>
      <c r="N174" s="57">
        <f t="shared" si="94"/>
        <v>1.0000000000000004</v>
      </c>
      <c r="O174" s="16">
        <f t="shared" si="88"/>
        <v>46</v>
      </c>
      <c r="P174" s="17">
        <v>47</v>
      </c>
      <c r="Q174" s="17">
        <v>47</v>
      </c>
      <c r="R174" s="17">
        <v>46</v>
      </c>
      <c r="S174" s="17">
        <v>45</v>
      </c>
      <c r="T174" s="17">
        <v>46</v>
      </c>
      <c r="U174" s="58">
        <v>47</v>
      </c>
      <c r="V174" s="16">
        <f t="shared" si="83"/>
        <v>49</v>
      </c>
      <c r="W174" s="17">
        <f t="shared" si="84"/>
        <v>51</v>
      </c>
      <c r="X174" s="17">
        <f t="shared" si="84"/>
        <v>51</v>
      </c>
      <c r="Y174" s="17">
        <f t="shared" si="85"/>
        <v>47</v>
      </c>
      <c r="Z174" s="17">
        <f t="shared" si="72"/>
        <v>48</v>
      </c>
      <c r="AA174" s="17">
        <f t="shared" si="86"/>
        <v>47</v>
      </c>
      <c r="AB174" s="58">
        <f t="shared" si="87"/>
        <v>52</v>
      </c>
      <c r="AC174" s="67"/>
      <c r="AD174" s="67"/>
      <c r="AE174" s="67"/>
      <c r="AF174" s="67"/>
      <c r="AG174" s="67"/>
      <c r="AH174" s="67"/>
      <c r="AI174" s="73"/>
      <c r="AJ174" s="74"/>
      <c r="AK174" s="74"/>
      <c r="AL174" s="62">
        <v>0.35</v>
      </c>
      <c r="AM174" s="63">
        <v>0.4</v>
      </c>
      <c r="AN174" s="63">
        <v>0.9</v>
      </c>
      <c r="AO174" s="63">
        <v>0.8</v>
      </c>
      <c r="AP174" s="64">
        <v>0.2</v>
      </c>
      <c r="AQ174" s="62">
        <f t="shared" si="73"/>
        <v>1</v>
      </c>
      <c r="AR174" s="65">
        <v>1</v>
      </c>
      <c r="AS174" s="62">
        <f t="shared" si="74"/>
        <v>0.82500000000000051</v>
      </c>
      <c r="AT174" s="65">
        <f t="shared" si="91"/>
        <v>0.97900000000000065</v>
      </c>
      <c r="AU174" s="62">
        <f t="shared" si="75"/>
        <v>1.0000000000000004</v>
      </c>
      <c r="AV174" s="65">
        <v>1.0000000000000004</v>
      </c>
      <c r="AW174" s="62">
        <f t="shared" si="76"/>
        <v>1.0000000000000004</v>
      </c>
      <c r="AX174" s="65">
        <v>1</v>
      </c>
      <c r="AY174" s="62">
        <f t="shared" si="77"/>
        <v>1.0000000000000004</v>
      </c>
      <c r="AZ174" s="65">
        <v>1.0000000000000004</v>
      </c>
      <c r="BA174" s="62">
        <f t="shared" si="78"/>
        <v>1.0000000000000004</v>
      </c>
      <c r="BB174" s="65">
        <v>1</v>
      </c>
      <c r="BC174" s="62">
        <f t="shared" si="79"/>
        <v>1.0000000000000004</v>
      </c>
      <c r="BD174" s="65">
        <v>1</v>
      </c>
      <c r="BE174" s="74"/>
      <c r="BF174" s="7"/>
      <c r="BG174" s="74"/>
      <c r="BH174" s="7"/>
      <c r="BI174" s="7"/>
      <c r="BJ174" s="7"/>
      <c r="BK174" s="7"/>
      <c r="BL174" s="7"/>
      <c r="BM174" s="7"/>
      <c r="BN174" s="7"/>
      <c r="BO174" s="7"/>
      <c r="BP174" s="7"/>
      <c r="BQ174" s="7"/>
    </row>
    <row r="175" spans="1:69" ht="19.8" thickBot="1" x14ac:dyDescent="0.35">
      <c r="A175" s="16">
        <v>173</v>
      </c>
      <c r="B175" s="52">
        <v>45133</v>
      </c>
      <c r="C175" s="53" t="str">
        <f t="shared" si="80"/>
        <v>1402/05/04</v>
      </c>
      <c r="D175" s="54">
        <v>0.9907999999999999</v>
      </c>
      <c r="E175" s="54">
        <v>0.80480000000000007</v>
      </c>
      <c r="F175" s="11" t="e">
        <f t="shared" si="81"/>
        <v>#N/A</v>
      </c>
      <c r="G175" s="38" t="str">
        <f t="shared" si="82"/>
        <v>تاریخ: 1402/05/04
درصد پیشرفت برنامه ای: 99.08%
درصد پیشرفت واقعی: 80.48%</v>
      </c>
      <c r="H175" s="55">
        <v>1</v>
      </c>
      <c r="I175" s="56">
        <f t="shared" si="92"/>
        <v>0.82700000000000051</v>
      </c>
      <c r="J175" s="56">
        <v>1.0000000000000004</v>
      </c>
      <c r="K175" s="56">
        <f t="shared" si="93"/>
        <v>1.0000000000000004</v>
      </c>
      <c r="L175" s="56">
        <f t="shared" si="70"/>
        <v>1.0000000000000004</v>
      </c>
      <c r="M175" s="56">
        <f t="shared" si="70"/>
        <v>1.0000000000000004</v>
      </c>
      <c r="N175" s="57">
        <f t="shared" si="94"/>
        <v>1.0000000000000004</v>
      </c>
      <c r="O175" s="16">
        <f t="shared" si="88"/>
        <v>47</v>
      </c>
      <c r="P175" s="17">
        <v>43</v>
      </c>
      <c r="Q175" s="17">
        <v>44</v>
      </c>
      <c r="R175" s="17">
        <v>42</v>
      </c>
      <c r="S175" s="17">
        <v>43</v>
      </c>
      <c r="T175" s="17">
        <v>45</v>
      </c>
      <c r="U175" s="58">
        <v>45</v>
      </c>
      <c r="V175" s="16">
        <f t="shared" si="83"/>
        <v>50</v>
      </c>
      <c r="W175" s="17">
        <f t="shared" si="84"/>
        <v>47</v>
      </c>
      <c r="X175" s="17">
        <f t="shared" si="84"/>
        <v>48</v>
      </c>
      <c r="Y175" s="17">
        <f t="shared" si="85"/>
        <v>43</v>
      </c>
      <c r="Z175" s="17">
        <f t="shared" si="72"/>
        <v>46</v>
      </c>
      <c r="AA175" s="17">
        <f t="shared" si="86"/>
        <v>46</v>
      </c>
      <c r="AB175" s="58">
        <f t="shared" si="87"/>
        <v>50</v>
      </c>
      <c r="AC175" s="67"/>
      <c r="AD175" s="67"/>
      <c r="AE175" s="67"/>
      <c r="AF175" s="67"/>
      <c r="AG175" s="67"/>
      <c r="AH175" s="67"/>
      <c r="AI175" s="73"/>
      <c r="AJ175" s="74"/>
      <c r="AK175" s="74"/>
      <c r="AL175" s="62">
        <v>0.85</v>
      </c>
      <c r="AM175" s="63">
        <v>0.8</v>
      </c>
      <c r="AN175" s="63">
        <v>0.5</v>
      </c>
      <c r="AO175" s="63">
        <v>0.6</v>
      </c>
      <c r="AP175" s="64">
        <v>0.6</v>
      </c>
      <c r="AQ175" s="62">
        <f t="shared" si="73"/>
        <v>1</v>
      </c>
      <c r="AR175" s="65">
        <v>1</v>
      </c>
      <c r="AS175" s="62">
        <f t="shared" si="74"/>
        <v>0.82700000000000051</v>
      </c>
      <c r="AT175" s="65">
        <f t="shared" si="91"/>
        <v>0.98300000000000065</v>
      </c>
      <c r="AU175" s="62">
        <f t="shared" si="75"/>
        <v>1.0000000000000004</v>
      </c>
      <c r="AV175" s="65">
        <v>1.0000000000000004</v>
      </c>
      <c r="AW175" s="62">
        <f t="shared" si="76"/>
        <v>1.0000000000000004</v>
      </c>
      <c r="AX175" s="65">
        <v>1</v>
      </c>
      <c r="AY175" s="62">
        <f t="shared" si="77"/>
        <v>1.0000000000000004</v>
      </c>
      <c r="AZ175" s="65">
        <v>1.0000000000000004</v>
      </c>
      <c r="BA175" s="62">
        <f t="shared" si="78"/>
        <v>1.0000000000000004</v>
      </c>
      <c r="BB175" s="65">
        <v>1</v>
      </c>
      <c r="BC175" s="62">
        <f t="shared" si="79"/>
        <v>1.0000000000000004</v>
      </c>
      <c r="BD175" s="65">
        <v>1</v>
      </c>
      <c r="BE175" s="74"/>
      <c r="BF175" s="7"/>
      <c r="BG175" s="74"/>
      <c r="BH175" s="7"/>
      <c r="BI175" s="7"/>
      <c r="BJ175" s="7"/>
      <c r="BK175" s="7"/>
      <c r="BL175" s="7"/>
      <c r="BM175" s="7"/>
      <c r="BN175" s="7"/>
      <c r="BO175" s="7"/>
      <c r="BP175" s="7"/>
      <c r="BQ175" s="7"/>
    </row>
    <row r="176" spans="1:69" ht="19.8" thickBot="1" x14ac:dyDescent="0.35">
      <c r="A176" s="16">
        <v>174</v>
      </c>
      <c r="B176" s="52">
        <v>45140</v>
      </c>
      <c r="C176" s="53" t="str">
        <f t="shared" si="80"/>
        <v>1402/05/11</v>
      </c>
      <c r="D176" s="54">
        <v>0.99219999999999986</v>
      </c>
      <c r="E176" s="54">
        <v>0.80649539999999997</v>
      </c>
      <c r="F176" s="11" t="e">
        <f t="shared" si="81"/>
        <v>#N/A</v>
      </c>
      <c r="G176" s="38" t="str">
        <f t="shared" si="82"/>
        <v>تاریخ: 1402/05/11
درصد پیشرفت برنامه ای: 99.22%
درصد پیشرفت واقعی: 80.65%</v>
      </c>
      <c r="H176" s="55">
        <v>1</v>
      </c>
      <c r="I176" s="56">
        <f t="shared" si="92"/>
        <v>0.82900000000000051</v>
      </c>
      <c r="J176" s="56">
        <v>1.0000000000000004</v>
      </c>
      <c r="K176" s="56">
        <f t="shared" si="93"/>
        <v>1.0000000000000004</v>
      </c>
      <c r="L176" s="56">
        <f t="shared" si="70"/>
        <v>1.0000000000000004</v>
      </c>
      <c r="M176" s="56">
        <f t="shared" si="70"/>
        <v>1.0000000000000004</v>
      </c>
      <c r="N176" s="57">
        <f t="shared" si="94"/>
        <v>1.0000000000000004</v>
      </c>
      <c r="O176" s="16">
        <f t="shared" si="88"/>
        <v>45</v>
      </c>
      <c r="P176" s="17">
        <v>46</v>
      </c>
      <c r="Q176" s="17">
        <v>45</v>
      </c>
      <c r="R176" s="17">
        <v>46</v>
      </c>
      <c r="S176" s="17">
        <v>47</v>
      </c>
      <c r="T176" s="17">
        <v>47</v>
      </c>
      <c r="U176" s="58">
        <v>46</v>
      </c>
      <c r="V176" s="16">
        <f t="shared" si="83"/>
        <v>48</v>
      </c>
      <c r="W176" s="17">
        <f t="shared" si="84"/>
        <v>50</v>
      </c>
      <c r="X176" s="17">
        <f t="shared" si="84"/>
        <v>49</v>
      </c>
      <c r="Y176" s="17">
        <f t="shared" si="85"/>
        <v>47</v>
      </c>
      <c r="Z176" s="17">
        <f t="shared" si="72"/>
        <v>50</v>
      </c>
      <c r="AA176" s="17">
        <f t="shared" si="86"/>
        <v>48</v>
      </c>
      <c r="AB176" s="58">
        <f t="shared" si="87"/>
        <v>51</v>
      </c>
      <c r="AC176" s="67"/>
      <c r="AD176" s="67"/>
      <c r="AE176" s="67"/>
      <c r="AF176" s="67"/>
      <c r="AG176" s="67"/>
      <c r="AH176" s="67"/>
      <c r="AI176" s="73"/>
      <c r="AJ176" s="74"/>
      <c r="AK176" s="74"/>
      <c r="AL176" s="62">
        <v>0.9</v>
      </c>
      <c r="AM176" s="63">
        <v>0.95</v>
      </c>
      <c r="AN176" s="63">
        <v>0.8</v>
      </c>
      <c r="AO176" s="63">
        <v>0.7</v>
      </c>
      <c r="AP176" s="64">
        <v>0.1</v>
      </c>
      <c r="AQ176" s="62">
        <f t="shared" si="73"/>
        <v>1</v>
      </c>
      <c r="AR176" s="65">
        <v>1</v>
      </c>
      <c r="AS176" s="62">
        <f t="shared" si="74"/>
        <v>0.82900000000000051</v>
      </c>
      <c r="AT176" s="65">
        <f t="shared" si="91"/>
        <v>0.98700000000000065</v>
      </c>
      <c r="AU176" s="62">
        <f t="shared" si="75"/>
        <v>1.0000000000000004</v>
      </c>
      <c r="AV176" s="65">
        <v>1.0000000000000004</v>
      </c>
      <c r="AW176" s="62">
        <f t="shared" si="76"/>
        <v>1.0000000000000004</v>
      </c>
      <c r="AX176" s="65">
        <v>1</v>
      </c>
      <c r="AY176" s="62">
        <f t="shared" si="77"/>
        <v>1.0000000000000004</v>
      </c>
      <c r="AZ176" s="65">
        <v>1.0000000000000004</v>
      </c>
      <c r="BA176" s="62">
        <f t="shared" si="78"/>
        <v>1.0000000000000004</v>
      </c>
      <c r="BB176" s="65">
        <v>1</v>
      </c>
      <c r="BC176" s="62">
        <f t="shared" si="79"/>
        <v>1.0000000000000004</v>
      </c>
      <c r="BD176" s="65">
        <v>1</v>
      </c>
      <c r="BE176" s="74"/>
      <c r="BF176" s="7"/>
      <c r="BG176" s="74"/>
      <c r="BH176" s="7"/>
      <c r="BI176" s="7"/>
      <c r="BJ176" s="7"/>
      <c r="BK176" s="7"/>
      <c r="BL176" s="7"/>
      <c r="BM176" s="7"/>
      <c r="BN176" s="7"/>
      <c r="BO176" s="7"/>
      <c r="BP176" s="7"/>
      <c r="BQ176" s="7"/>
    </row>
    <row r="177" spans="1:69" ht="19.8" thickBot="1" x14ac:dyDescent="0.35">
      <c r="A177" s="16">
        <v>175</v>
      </c>
      <c r="B177" s="52">
        <v>45147</v>
      </c>
      <c r="C177" s="53" t="str">
        <f t="shared" si="80"/>
        <v>1402/05/18</v>
      </c>
      <c r="D177" s="54">
        <v>0.99359999999999982</v>
      </c>
      <c r="E177" s="54">
        <v>0.80819079999999988</v>
      </c>
      <c r="F177" s="11" t="e">
        <f t="shared" si="81"/>
        <v>#N/A</v>
      </c>
      <c r="G177" s="38" t="str">
        <f t="shared" si="82"/>
        <v>تاریخ: 1402/05/18
درصد پیشرفت برنامه ای: 99.36%
درصد پیشرفت واقعی: 80.82%</v>
      </c>
      <c r="H177" s="55">
        <v>1</v>
      </c>
      <c r="I177" s="56">
        <f t="shared" si="92"/>
        <v>0.83100000000000052</v>
      </c>
      <c r="J177" s="56">
        <v>1.0000000000000004</v>
      </c>
      <c r="K177" s="56">
        <f t="shared" si="93"/>
        <v>1.0000000000000004</v>
      </c>
      <c r="L177" s="56">
        <f t="shared" si="70"/>
        <v>1.0000000000000004</v>
      </c>
      <c r="M177" s="56">
        <f t="shared" si="70"/>
        <v>1.0000000000000004</v>
      </c>
      <c r="N177" s="57">
        <f t="shared" si="94"/>
        <v>1.0000000000000004</v>
      </c>
      <c r="O177" s="16">
        <f t="shared" si="88"/>
        <v>46</v>
      </c>
      <c r="P177" s="17">
        <v>47</v>
      </c>
      <c r="Q177" s="17">
        <v>47</v>
      </c>
      <c r="R177" s="17">
        <v>46</v>
      </c>
      <c r="S177" s="17">
        <v>45</v>
      </c>
      <c r="T177" s="17">
        <v>46</v>
      </c>
      <c r="U177" s="58">
        <v>47</v>
      </c>
      <c r="V177" s="16">
        <f t="shared" si="83"/>
        <v>49</v>
      </c>
      <c r="W177" s="17">
        <f t="shared" si="84"/>
        <v>51</v>
      </c>
      <c r="X177" s="17">
        <f t="shared" si="84"/>
        <v>51</v>
      </c>
      <c r="Y177" s="17">
        <f t="shared" si="85"/>
        <v>47</v>
      </c>
      <c r="Z177" s="17">
        <f t="shared" si="72"/>
        <v>48</v>
      </c>
      <c r="AA177" s="17">
        <f t="shared" si="86"/>
        <v>47</v>
      </c>
      <c r="AB177" s="58">
        <f t="shared" si="87"/>
        <v>52</v>
      </c>
      <c r="AC177" s="67"/>
      <c r="AD177" s="67"/>
      <c r="AE177" s="67"/>
      <c r="AF177" s="67"/>
      <c r="AG177" s="67"/>
      <c r="AH177" s="67"/>
      <c r="AI177" s="73"/>
      <c r="AJ177" s="74"/>
      <c r="AK177" s="74"/>
      <c r="AL177" s="62">
        <v>0.7</v>
      </c>
      <c r="AM177" s="63">
        <v>0.68</v>
      </c>
      <c r="AN177" s="63">
        <v>0.5</v>
      </c>
      <c r="AO177" s="63">
        <v>0.9</v>
      </c>
      <c r="AP177" s="64">
        <v>0.55000000000000004</v>
      </c>
      <c r="AQ177" s="62">
        <f t="shared" si="73"/>
        <v>1</v>
      </c>
      <c r="AR177" s="65">
        <v>1</v>
      </c>
      <c r="AS177" s="62">
        <f t="shared" si="74"/>
        <v>0.83100000000000052</v>
      </c>
      <c r="AT177" s="65">
        <v>1</v>
      </c>
      <c r="AU177" s="62">
        <f t="shared" si="75"/>
        <v>1.0000000000000004</v>
      </c>
      <c r="AV177" s="65">
        <v>1.0000000000000004</v>
      </c>
      <c r="AW177" s="62">
        <f t="shared" si="76"/>
        <v>1.0000000000000004</v>
      </c>
      <c r="AX177" s="65">
        <v>1</v>
      </c>
      <c r="AY177" s="62">
        <f t="shared" si="77"/>
        <v>1.0000000000000004</v>
      </c>
      <c r="AZ177" s="65">
        <v>1.0000000000000004</v>
      </c>
      <c r="BA177" s="62">
        <f t="shared" si="78"/>
        <v>1.0000000000000004</v>
      </c>
      <c r="BB177" s="65">
        <v>1</v>
      </c>
      <c r="BC177" s="62">
        <f t="shared" si="79"/>
        <v>1.0000000000000004</v>
      </c>
      <c r="BD177" s="65">
        <v>1</v>
      </c>
      <c r="BE177" s="74"/>
      <c r="BF177" s="7"/>
      <c r="BG177" s="74"/>
      <c r="BH177" s="7"/>
      <c r="BI177" s="7"/>
      <c r="BJ177" s="7"/>
      <c r="BK177" s="7"/>
      <c r="BL177" s="7"/>
      <c r="BM177" s="7"/>
      <c r="BN177" s="7"/>
      <c r="BO177" s="7"/>
      <c r="BP177" s="7"/>
      <c r="BQ177" s="7"/>
    </row>
    <row r="178" spans="1:69" ht="19.8" thickBot="1" x14ac:dyDescent="0.35">
      <c r="A178" s="16">
        <v>176</v>
      </c>
      <c r="B178" s="52">
        <v>45154</v>
      </c>
      <c r="C178" s="53" t="str">
        <f t="shared" si="80"/>
        <v>1402/05/25</v>
      </c>
      <c r="D178" s="54">
        <v>0.99499999999999977</v>
      </c>
      <c r="E178" s="54">
        <v>0.80988619999999978</v>
      </c>
      <c r="F178" s="11" t="e">
        <f t="shared" si="81"/>
        <v>#N/A</v>
      </c>
      <c r="G178" s="38" t="str">
        <f t="shared" si="82"/>
        <v>تاریخ: 1402/05/25
درصد پیشرفت برنامه ای: 99.5%
درصد پیشرفت واقعی: 80.99%</v>
      </c>
      <c r="H178" s="55">
        <v>1</v>
      </c>
      <c r="I178" s="56">
        <f t="shared" si="92"/>
        <v>0.83300000000000052</v>
      </c>
      <c r="J178" s="56">
        <v>1.0000000000000004</v>
      </c>
      <c r="K178" s="56">
        <f t="shared" si="93"/>
        <v>1.0000000000000004</v>
      </c>
      <c r="L178" s="56">
        <f t="shared" si="70"/>
        <v>1.0000000000000004</v>
      </c>
      <c r="M178" s="56">
        <f t="shared" si="70"/>
        <v>1.0000000000000004</v>
      </c>
      <c r="N178" s="57">
        <f t="shared" si="94"/>
        <v>1.0000000000000004</v>
      </c>
      <c r="O178" s="16">
        <f t="shared" si="88"/>
        <v>47</v>
      </c>
      <c r="P178" s="17">
        <v>43</v>
      </c>
      <c r="Q178" s="17">
        <v>44</v>
      </c>
      <c r="R178" s="17">
        <v>42</v>
      </c>
      <c r="S178" s="17">
        <v>43</v>
      </c>
      <c r="T178" s="17">
        <v>45</v>
      </c>
      <c r="U178" s="58">
        <v>45</v>
      </c>
      <c r="V178" s="16">
        <f t="shared" si="83"/>
        <v>50</v>
      </c>
      <c r="W178" s="17">
        <f t="shared" si="84"/>
        <v>47</v>
      </c>
      <c r="X178" s="17">
        <f t="shared" si="84"/>
        <v>48</v>
      </c>
      <c r="Y178" s="17">
        <f t="shared" si="85"/>
        <v>43</v>
      </c>
      <c r="Z178" s="17">
        <f t="shared" si="72"/>
        <v>46</v>
      </c>
      <c r="AA178" s="17">
        <f t="shared" si="86"/>
        <v>46</v>
      </c>
      <c r="AB178" s="58">
        <f t="shared" si="87"/>
        <v>50</v>
      </c>
      <c r="AC178" s="67"/>
      <c r="AD178" s="67"/>
      <c r="AE178" s="67"/>
      <c r="AF178" s="67"/>
      <c r="AG178" s="67"/>
      <c r="AH178" s="67"/>
      <c r="AI178" s="73"/>
      <c r="AJ178" s="74"/>
      <c r="AK178" s="74"/>
      <c r="AL178" s="62">
        <v>0.6</v>
      </c>
      <c r="AM178" s="63">
        <v>0.5</v>
      </c>
      <c r="AN178" s="63">
        <v>0.66</v>
      </c>
      <c r="AO178" s="63">
        <v>0.5</v>
      </c>
      <c r="AP178" s="64">
        <v>0.9</v>
      </c>
      <c r="AQ178" s="62">
        <f t="shared" si="73"/>
        <v>1</v>
      </c>
      <c r="AR178" s="65">
        <v>1</v>
      </c>
      <c r="AS178" s="62">
        <f t="shared" si="74"/>
        <v>0.83300000000000052</v>
      </c>
      <c r="AT178" s="65">
        <v>1</v>
      </c>
      <c r="AU178" s="62">
        <f t="shared" si="75"/>
        <v>1.0000000000000004</v>
      </c>
      <c r="AV178" s="65">
        <v>1.0000000000000004</v>
      </c>
      <c r="AW178" s="62">
        <f t="shared" si="76"/>
        <v>1.0000000000000004</v>
      </c>
      <c r="AX178" s="65">
        <v>1</v>
      </c>
      <c r="AY178" s="62">
        <f t="shared" si="77"/>
        <v>1.0000000000000004</v>
      </c>
      <c r="AZ178" s="65">
        <v>1.0000000000000004</v>
      </c>
      <c r="BA178" s="62">
        <f t="shared" si="78"/>
        <v>1.0000000000000004</v>
      </c>
      <c r="BB178" s="65">
        <v>1</v>
      </c>
      <c r="BC178" s="62">
        <f t="shared" si="79"/>
        <v>1.0000000000000004</v>
      </c>
      <c r="BD178" s="65">
        <v>1</v>
      </c>
      <c r="BE178" s="74"/>
      <c r="BF178" s="7"/>
      <c r="BG178" s="74"/>
      <c r="BH178" s="7"/>
      <c r="BI178" s="7"/>
      <c r="BJ178" s="7"/>
      <c r="BK178" s="7"/>
      <c r="BL178" s="7"/>
      <c r="BM178" s="7"/>
      <c r="BN178" s="7"/>
      <c r="BO178" s="7"/>
      <c r="BP178" s="7"/>
      <c r="BQ178" s="7"/>
    </row>
    <row r="179" spans="1:69" ht="19.8" thickBot="1" x14ac:dyDescent="0.35">
      <c r="A179" s="16">
        <v>177</v>
      </c>
      <c r="B179" s="52">
        <v>45161</v>
      </c>
      <c r="C179" s="53" t="str">
        <f t="shared" si="80"/>
        <v>1402/06/01</v>
      </c>
      <c r="D179" s="54">
        <v>0.99639999999999973</v>
      </c>
      <c r="E179" s="54">
        <v>0.81158159999999968</v>
      </c>
      <c r="F179" s="11" t="e">
        <f t="shared" si="81"/>
        <v>#N/A</v>
      </c>
      <c r="G179" s="38" t="str">
        <f t="shared" si="82"/>
        <v>تاریخ: 1402/06/01
درصد پیشرفت برنامه ای: 99.64%
درصد پیشرفت واقعی: 81.16%</v>
      </c>
      <c r="H179" s="55">
        <v>1</v>
      </c>
      <c r="I179" s="56">
        <f t="shared" si="92"/>
        <v>0.83500000000000052</v>
      </c>
      <c r="J179" s="56">
        <v>1.0000000000000004</v>
      </c>
      <c r="K179" s="56">
        <f t="shared" si="93"/>
        <v>1.0000000000000004</v>
      </c>
      <c r="L179" s="56">
        <f t="shared" si="70"/>
        <v>1.0000000000000004</v>
      </c>
      <c r="M179" s="56">
        <f t="shared" si="70"/>
        <v>1.0000000000000004</v>
      </c>
      <c r="N179" s="57">
        <f t="shared" si="94"/>
        <v>1.0000000000000004</v>
      </c>
      <c r="O179" s="16">
        <f t="shared" si="88"/>
        <v>45</v>
      </c>
      <c r="P179" s="17">
        <v>46</v>
      </c>
      <c r="Q179" s="17">
        <v>45</v>
      </c>
      <c r="R179" s="17">
        <v>46</v>
      </c>
      <c r="S179" s="17">
        <v>47</v>
      </c>
      <c r="T179" s="17">
        <v>47</v>
      </c>
      <c r="U179" s="58">
        <v>46</v>
      </c>
      <c r="V179" s="16">
        <f t="shared" si="83"/>
        <v>48</v>
      </c>
      <c r="W179" s="17">
        <f t="shared" si="84"/>
        <v>50</v>
      </c>
      <c r="X179" s="17">
        <f t="shared" si="84"/>
        <v>49</v>
      </c>
      <c r="Y179" s="17">
        <f t="shared" si="85"/>
        <v>47</v>
      </c>
      <c r="Z179" s="17">
        <f t="shared" si="72"/>
        <v>50</v>
      </c>
      <c r="AA179" s="17">
        <f t="shared" si="86"/>
        <v>48</v>
      </c>
      <c r="AB179" s="58">
        <f t="shared" si="87"/>
        <v>51</v>
      </c>
      <c r="AC179" s="67"/>
      <c r="AD179" s="67"/>
      <c r="AE179" s="67"/>
      <c r="AF179" s="67"/>
      <c r="AG179" s="67"/>
      <c r="AH179" s="67"/>
      <c r="AI179" s="73"/>
      <c r="AJ179" s="74"/>
      <c r="AK179" s="74"/>
      <c r="AL179" s="62">
        <v>0.55000000000000004</v>
      </c>
      <c r="AM179" s="63">
        <v>0.62</v>
      </c>
      <c r="AN179" s="63">
        <v>0.78</v>
      </c>
      <c r="AO179" s="63">
        <v>0.42</v>
      </c>
      <c r="AP179" s="64">
        <v>0.8</v>
      </c>
      <c r="AQ179" s="62">
        <f t="shared" si="73"/>
        <v>1</v>
      </c>
      <c r="AR179" s="65">
        <v>1</v>
      </c>
      <c r="AS179" s="62">
        <f t="shared" si="74"/>
        <v>0.83500000000000052</v>
      </c>
      <c r="AT179" s="65">
        <v>1</v>
      </c>
      <c r="AU179" s="62">
        <f t="shared" si="75"/>
        <v>1.0000000000000004</v>
      </c>
      <c r="AV179" s="65">
        <v>1.0000000000000004</v>
      </c>
      <c r="AW179" s="62">
        <f t="shared" si="76"/>
        <v>1.0000000000000004</v>
      </c>
      <c r="AX179" s="65">
        <v>1</v>
      </c>
      <c r="AY179" s="62">
        <f t="shared" si="77"/>
        <v>1.0000000000000004</v>
      </c>
      <c r="AZ179" s="65">
        <v>1.0000000000000004</v>
      </c>
      <c r="BA179" s="62">
        <f t="shared" si="78"/>
        <v>1.0000000000000004</v>
      </c>
      <c r="BB179" s="65">
        <v>1</v>
      </c>
      <c r="BC179" s="62">
        <f t="shared" si="79"/>
        <v>1.0000000000000004</v>
      </c>
      <c r="BD179" s="65">
        <v>1</v>
      </c>
      <c r="BE179" s="74"/>
      <c r="BF179" s="7"/>
      <c r="BG179" s="74"/>
      <c r="BH179" s="7"/>
      <c r="BI179" s="7"/>
      <c r="BJ179" s="7"/>
      <c r="BK179" s="7"/>
      <c r="BL179" s="7"/>
      <c r="BM179" s="7"/>
      <c r="BN179" s="7"/>
      <c r="BO179" s="7"/>
      <c r="BP179" s="7"/>
      <c r="BQ179" s="7"/>
    </row>
    <row r="180" spans="1:69" ht="19.8" thickBot="1" x14ac:dyDescent="0.35">
      <c r="A180" s="16">
        <v>178</v>
      </c>
      <c r="B180" s="52">
        <v>45168</v>
      </c>
      <c r="C180" s="53" t="str">
        <f t="shared" si="80"/>
        <v>1402/06/08</v>
      </c>
      <c r="D180" s="54">
        <v>0.99779999999999969</v>
      </c>
      <c r="E180" s="54">
        <v>0.81327699999999958</v>
      </c>
      <c r="F180" s="11" t="e">
        <f t="shared" si="81"/>
        <v>#N/A</v>
      </c>
      <c r="G180" s="38" t="str">
        <f t="shared" si="82"/>
        <v>تاریخ: 1402/06/08
درصد پیشرفت برنامه ای: 99.78%
درصد پیشرفت واقعی: 81.33%</v>
      </c>
      <c r="H180" s="55">
        <v>1</v>
      </c>
      <c r="I180" s="56">
        <f t="shared" si="92"/>
        <v>0.83700000000000052</v>
      </c>
      <c r="J180" s="56">
        <v>1.0000000000000004</v>
      </c>
      <c r="K180" s="56">
        <f t="shared" si="93"/>
        <v>1.0000000000000004</v>
      </c>
      <c r="L180" s="56">
        <f t="shared" si="70"/>
        <v>1.0000000000000004</v>
      </c>
      <c r="M180" s="56">
        <f t="shared" si="70"/>
        <v>1.0000000000000004</v>
      </c>
      <c r="N180" s="57">
        <f t="shared" si="94"/>
        <v>1.0000000000000004</v>
      </c>
      <c r="O180" s="16">
        <f t="shared" si="88"/>
        <v>46</v>
      </c>
      <c r="P180" s="17">
        <v>43</v>
      </c>
      <c r="Q180" s="17">
        <v>44</v>
      </c>
      <c r="R180" s="17">
        <v>42</v>
      </c>
      <c r="S180" s="17">
        <v>43</v>
      </c>
      <c r="T180" s="17">
        <v>45</v>
      </c>
      <c r="U180" s="58">
        <v>45</v>
      </c>
      <c r="V180" s="16">
        <f t="shared" si="83"/>
        <v>49</v>
      </c>
      <c r="W180" s="17">
        <f t="shared" si="84"/>
        <v>47</v>
      </c>
      <c r="X180" s="17">
        <f t="shared" si="84"/>
        <v>48</v>
      </c>
      <c r="Y180" s="17">
        <f t="shared" si="85"/>
        <v>43</v>
      </c>
      <c r="Z180" s="17">
        <f t="shared" si="72"/>
        <v>46</v>
      </c>
      <c r="AA180" s="17">
        <f t="shared" si="86"/>
        <v>46</v>
      </c>
      <c r="AB180" s="58">
        <f t="shared" si="87"/>
        <v>50</v>
      </c>
      <c r="AC180" s="67"/>
      <c r="AD180" s="67"/>
      <c r="AE180" s="67"/>
      <c r="AF180" s="67"/>
      <c r="AG180" s="67"/>
      <c r="AH180" s="67"/>
      <c r="AI180" s="73"/>
      <c r="AJ180" s="74"/>
      <c r="AK180" s="74"/>
      <c r="AL180" s="62">
        <v>0.6</v>
      </c>
      <c r="AM180" s="63">
        <v>0.9</v>
      </c>
      <c r="AN180" s="63">
        <v>0.5</v>
      </c>
      <c r="AO180" s="63">
        <v>0.5</v>
      </c>
      <c r="AP180" s="64">
        <v>0.62</v>
      </c>
      <c r="AQ180" s="62">
        <f t="shared" si="73"/>
        <v>1</v>
      </c>
      <c r="AR180" s="65">
        <v>1</v>
      </c>
      <c r="AS180" s="62">
        <f t="shared" si="74"/>
        <v>0.83700000000000052</v>
      </c>
      <c r="AT180" s="65">
        <v>1</v>
      </c>
      <c r="AU180" s="62">
        <f t="shared" si="75"/>
        <v>1.0000000000000004</v>
      </c>
      <c r="AV180" s="65">
        <v>1.0000000000000004</v>
      </c>
      <c r="AW180" s="62">
        <f t="shared" si="76"/>
        <v>1.0000000000000004</v>
      </c>
      <c r="AX180" s="65">
        <v>1</v>
      </c>
      <c r="AY180" s="62">
        <f t="shared" si="77"/>
        <v>1.0000000000000004</v>
      </c>
      <c r="AZ180" s="65">
        <v>1.0000000000000004</v>
      </c>
      <c r="BA180" s="62">
        <f t="shared" si="78"/>
        <v>1.0000000000000004</v>
      </c>
      <c r="BB180" s="65">
        <v>1</v>
      </c>
      <c r="BC180" s="62">
        <f t="shared" si="79"/>
        <v>1.0000000000000004</v>
      </c>
      <c r="BD180" s="65">
        <v>1</v>
      </c>
      <c r="BE180" s="74"/>
      <c r="BF180" s="7"/>
      <c r="BG180" s="74"/>
      <c r="BH180" s="7"/>
      <c r="BI180" s="7"/>
      <c r="BJ180" s="7"/>
      <c r="BK180" s="7"/>
      <c r="BL180" s="7"/>
      <c r="BM180" s="7"/>
      <c r="BN180" s="7"/>
      <c r="BO180" s="7"/>
      <c r="BP180" s="7"/>
      <c r="BQ180" s="7"/>
    </row>
    <row r="181" spans="1:69" ht="19.8" thickBot="1" x14ac:dyDescent="0.35">
      <c r="A181" s="16">
        <v>179</v>
      </c>
      <c r="B181" s="52">
        <v>45175</v>
      </c>
      <c r="C181" s="53" t="str">
        <f t="shared" si="80"/>
        <v>1402/06/15</v>
      </c>
      <c r="D181" s="54">
        <v>0.99919999999999964</v>
      </c>
      <c r="E181" s="54">
        <v>0.81327699999999958</v>
      </c>
      <c r="F181" s="11" t="e">
        <f t="shared" si="81"/>
        <v>#N/A</v>
      </c>
      <c r="G181" s="38" t="str">
        <f t="shared" si="82"/>
        <v>تاریخ: 1402/06/15
درصد پیشرفت برنامه ای: 99.92%
درصد پیشرفت واقعی: 81.33%</v>
      </c>
      <c r="H181" s="55">
        <v>1</v>
      </c>
      <c r="I181" s="56">
        <f t="shared" si="92"/>
        <v>0.83900000000000052</v>
      </c>
      <c r="J181" s="56">
        <v>1.0000000000000004</v>
      </c>
      <c r="K181" s="56">
        <f t="shared" si="93"/>
        <v>1.0000000000000004</v>
      </c>
      <c r="L181" s="56">
        <f t="shared" si="70"/>
        <v>1.0000000000000004</v>
      </c>
      <c r="M181" s="56">
        <f t="shared" si="70"/>
        <v>1.0000000000000004</v>
      </c>
      <c r="N181" s="57">
        <f t="shared" si="94"/>
        <v>1.0000000000000004</v>
      </c>
      <c r="O181" s="16">
        <f t="shared" si="88"/>
        <v>45</v>
      </c>
      <c r="P181" s="17">
        <v>40</v>
      </c>
      <c r="Q181" s="17">
        <v>41</v>
      </c>
      <c r="R181" s="17">
        <v>40</v>
      </c>
      <c r="S181" s="17">
        <v>42</v>
      </c>
      <c r="T181" s="17">
        <v>43</v>
      </c>
      <c r="U181" s="58">
        <v>42</v>
      </c>
      <c r="V181" s="16">
        <f t="shared" si="83"/>
        <v>48</v>
      </c>
      <c r="W181" s="17">
        <f t="shared" si="84"/>
        <v>44</v>
      </c>
      <c r="X181" s="17">
        <f t="shared" si="84"/>
        <v>45</v>
      </c>
      <c r="Y181" s="17">
        <f t="shared" si="85"/>
        <v>41</v>
      </c>
      <c r="Z181" s="17">
        <f t="shared" si="72"/>
        <v>45</v>
      </c>
      <c r="AA181" s="17">
        <f t="shared" si="86"/>
        <v>44</v>
      </c>
      <c r="AB181" s="58">
        <f t="shared" si="87"/>
        <v>47</v>
      </c>
      <c r="AC181" s="67"/>
      <c r="AD181" s="67"/>
      <c r="AE181" s="67"/>
      <c r="AF181" s="67"/>
      <c r="AG181" s="67"/>
      <c r="AH181" s="67"/>
      <c r="AI181" s="73"/>
      <c r="AJ181" s="74"/>
      <c r="AK181" s="74"/>
      <c r="AL181" s="62">
        <v>0.66</v>
      </c>
      <c r="AM181" s="63">
        <v>0.7</v>
      </c>
      <c r="AN181" s="63">
        <v>0.8</v>
      </c>
      <c r="AO181" s="63">
        <v>0.55000000000000004</v>
      </c>
      <c r="AP181" s="64">
        <v>0.5</v>
      </c>
      <c r="AQ181" s="62">
        <f t="shared" si="73"/>
        <v>1</v>
      </c>
      <c r="AR181" s="65">
        <v>1</v>
      </c>
      <c r="AS181" s="62">
        <f t="shared" si="74"/>
        <v>0.83900000000000052</v>
      </c>
      <c r="AT181" s="65">
        <v>1</v>
      </c>
      <c r="AU181" s="62">
        <f t="shared" si="75"/>
        <v>1.0000000000000004</v>
      </c>
      <c r="AV181" s="65">
        <v>1.0000000000000004</v>
      </c>
      <c r="AW181" s="62">
        <f t="shared" si="76"/>
        <v>1.0000000000000004</v>
      </c>
      <c r="AX181" s="65">
        <v>1</v>
      </c>
      <c r="AY181" s="62">
        <f t="shared" si="77"/>
        <v>1.0000000000000004</v>
      </c>
      <c r="AZ181" s="65">
        <v>1.0000000000000004</v>
      </c>
      <c r="BA181" s="62">
        <f t="shared" si="78"/>
        <v>1.0000000000000004</v>
      </c>
      <c r="BB181" s="65">
        <v>1</v>
      </c>
      <c r="BC181" s="62">
        <f t="shared" si="79"/>
        <v>1.0000000000000004</v>
      </c>
      <c r="BD181" s="65">
        <v>1</v>
      </c>
      <c r="BE181" s="74"/>
      <c r="BF181" s="7"/>
      <c r="BG181" s="74"/>
      <c r="BH181" s="7"/>
      <c r="BI181" s="7"/>
      <c r="BJ181" s="7"/>
      <c r="BK181" s="7"/>
      <c r="BL181" s="7"/>
      <c r="BM181" s="7"/>
      <c r="BN181" s="7"/>
      <c r="BO181" s="7"/>
      <c r="BP181" s="7"/>
      <c r="BQ181" s="7"/>
    </row>
    <row r="182" spans="1:69" s="92" customFormat="1" ht="19.8" thickBot="1" x14ac:dyDescent="0.35">
      <c r="A182" s="75">
        <v>180</v>
      </c>
      <c r="B182" s="76">
        <v>45182</v>
      </c>
      <c r="C182" s="77" t="str">
        <f t="shared" si="80"/>
        <v>1402/06/22</v>
      </c>
      <c r="D182" s="78">
        <v>1</v>
      </c>
      <c r="E182" s="78">
        <v>0.81327699999999958</v>
      </c>
      <c r="F182" s="11" t="e">
        <f t="shared" si="81"/>
        <v>#N/A</v>
      </c>
      <c r="G182" s="38" t="str">
        <f t="shared" si="82"/>
        <v>تاریخ: 1402/06/22
درصد پیشرفت برنامه ای: 100%
درصد پیشرفت واقعی: 81.33%</v>
      </c>
      <c r="H182" s="79">
        <v>1</v>
      </c>
      <c r="I182" s="80">
        <f t="shared" si="92"/>
        <v>0.84100000000000052</v>
      </c>
      <c r="J182" s="80">
        <v>1.0000000000000004</v>
      </c>
      <c r="K182" s="80">
        <f t="shared" si="93"/>
        <v>1.0000000000000004</v>
      </c>
      <c r="L182" s="80">
        <f t="shared" si="70"/>
        <v>1.0000000000000004</v>
      </c>
      <c r="M182" s="80">
        <f t="shared" si="70"/>
        <v>1.0000000000000004</v>
      </c>
      <c r="N182" s="81">
        <f t="shared" si="94"/>
        <v>1.0000000000000004</v>
      </c>
      <c r="O182" s="75">
        <f t="shared" si="88"/>
        <v>42</v>
      </c>
      <c r="P182" s="82">
        <v>36</v>
      </c>
      <c r="Q182" s="82">
        <v>37</v>
      </c>
      <c r="R182" s="82">
        <v>36</v>
      </c>
      <c r="S182" s="82">
        <v>38</v>
      </c>
      <c r="T182" s="82">
        <v>36</v>
      </c>
      <c r="U182" s="83">
        <v>36</v>
      </c>
      <c r="V182" s="75">
        <f t="shared" si="83"/>
        <v>45</v>
      </c>
      <c r="W182" s="82">
        <f t="shared" si="84"/>
        <v>40</v>
      </c>
      <c r="X182" s="82">
        <f t="shared" si="84"/>
        <v>41</v>
      </c>
      <c r="Y182" s="82">
        <f t="shared" si="85"/>
        <v>37</v>
      </c>
      <c r="Z182" s="82">
        <f t="shared" si="72"/>
        <v>41</v>
      </c>
      <c r="AA182" s="82">
        <f t="shared" si="86"/>
        <v>37</v>
      </c>
      <c r="AB182" s="83">
        <f t="shared" si="87"/>
        <v>41</v>
      </c>
      <c r="AC182" s="84"/>
      <c r="AD182" s="84"/>
      <c r="AE182" s="84"/>
      <c r="AF182" s="84"/>
      <c r="AG182" s="84"/>
      <c r="AH182" s="84"/>
      <c r="AI182" s="85"/>
      <c r="AJ182" s="86"/>
      <c r="AK182" s="86"/>
      <c r="AL182" s="87">
        <v>0.55000000000000004</v>
      </c>
      <c r="AM182" s="88">
        <v>0.4</v>
      </c>
      <c r="AN182" s="88">
        <v>0.4</v>
      </c>
      <c r="AO182" s="88">
        <v>0.9</v>
      </c>
      <c r="AP182" s="89">
        <v>0.8</v>
      </c>
      <c r="AQ182" s="87">
        <f t="shared" si="73"/>
        <v>1</v>
      </c>
      <c r="AR182" s="90">
        <v>1</v>
      </c>
      <c r="AS182" s="87">
        <f t="shared" si="74"/>
        <v>0.84100000000000052</v>
      </c>
      <c r="AT182" s="65">
        <v>1</v>
      </c>
      <c r="AU182" s="87">
        <f t="shared" si="75"/>
        <v>1.0000000000000004</v>
      </c>
      <c r="AV182" s="90">
        <v>1.0000000000000004</v>
      </c>
      <c r="AW182" s="87">
        <f t="shared" si="76"/>
        <v>1.0000000000000004</v>
      </c>
      <c r="AX182" s="90">
        <v>1</v>
      </c>
      <c r="AY182" s="87">
        <f t="shared" si="77"/>
        <v>1.0000000000000004</v>
      </c>
      <c r="AZ182" s="90">
        <v>1.0000000000000004</v>
      </c>
      <c r="BA182" s="87">
        <f t="shared" si="78"/>
        <v>1.0000000000000004</v>
      </c>
      <c r="BB182" s="90">
        <v>1</v>
      </c>
      <c r="BC182" s="87">
        <f t="shared" si="79"/>
        <v>1.0000000000000004</v>
      </c>
      <c r="BD182" s="90">
        <v>1</v>
      </c>
      <c r="BE182" s="86"/>
      <c r="BF182" s="91"/>
      <c r="BG182" s="86"/>
      <c r="BH182" s="91"/>
      <c r="BI182" s="91"/>
      <c r="BJ182" s="91"/>
      <c r="BK182" s="91"/>
      <c r="BL182" s="91"/>
      <c r="BM182" s="91"/>
      <c r="BN182" s="91"/>
      <c r="BO182" s="91"/>
      <c r="BP182" s="91"/>
      <c r="BQ182" s="91"/>
    </row>
    <row r="183" spans="1:69" ht="19.8" thickBot="1" x14ac:dyDescent="0.35">
      <c r="A183" s="16">
        <v>181</v>
      </c>
      <c r="B183" s="52">
        <v>45189</v>
      </c>
      <c r="C183" s="53" t="str">
        <f t="shared" si="80"/>
        <v>1402/06/29</v>
      </c>
      <c r="D183" s="54">
        <v>1</v>
      </c>
      <c r="E183" s="54">
        <v>0.81596081409999954</v>
      </c>
      <c r="F183" s="11" t="e">
        <f t="shared" si="81"/>
        <v>#N/A</v>
      </c>
      <c r="G183" s="38" t="str">
        <f t="shared" si="82"/>
        <v>تاریخ: 1402/06/29
درصد پیشرفت برنامه ای: 100%
درصد پیشرفت واقعی: 81.6%</v>
      </c>
      <c r="H183" s="55">
        <v>1</v>
      </c>
      <c r="I183" s="56">
        <f t="shared" si="92"/>
        <v>0.84300000000000053</v>
      </c>
      <c r="J183" s="56">
        <v>1.0000000000000004</v>
      </c>
      <c r="K183" s="56">
        <f t="shared" si="93"/>
        <v>1.0000000000000004</v>
      </c>
      <c r="L183" s="56">
        <f t="shared" si="70"/>
        <v>1.0000000000000004</v>
      </c>
      <c r="M183" s="56">
        <f t="shared" si="70"/>
        <v>1.0000000000000004</v>
      </c>
      <c r="N183" s="57">
        <f t="shared" si="94"/>
        <v>1.0000000000000004</v>
      </c>
      <c r="O183" s="16">
        <f t="shared" si="88"/>
        <v>36</v>
      </c>
      <c r="P183" s="17">
        <v>22</v>
      </c>
      <c r="Q183" s="17">
        <v>22</v>
      </c>
      <c r="R183" s="17">
        <v>23</v>
      </c>
      <c r="S183" s="17">
        <v>21</v>
      </c>
      <c r="T183" s="17">
        <v>22</v>
      </c>
      <c r="U183" s="58">
        <v>24</v>
      </c>
      <c r="V183" s="16">
        <f t="shared" si="83"/>
        <v>39</v>
      </c>
      <c r="W183" s="17">
        <f t="shared" si="84"/>
        <v>26</v>
      </c>
      <c r="X183" s="17">
        <f t="shared" si="84"/>
        <v>26</v>
      </c>
      <c r="Y183" s="17">
        <f t="shared" si="85"/>
        <v>24</v>
      </c>
      <c r="Z183" s="17">
        <f t="shared" si="72"/>
        <v>24</v>
      </c>
      <c r="AA183" s="17">
        <f t="shared" si="86"/>
        <v>23</v>
      </c>
      <c r="AB183" s="58">
        <f t="shared" si="87"/>
        <v>29</v>
      </c>
      <c r="AC183" s="67"/>
      <c r="AD183" s="67"/>
      <c r="AE183" s="67"/>
      <c r="AF183" s="67"/>
      <c r="AG183" s="67"/>
      <c r="AH183" s="67"/>
      <c r="AI183" s="73"/>
      <c r="AJ183" s="74"/>
      <c r="AK183" s="74"/>
      <c r="AL183" s="62">
        <v>0.7</v>
      </c>
      <c r="AM183" s="63">
        <v>0.55000000000000004</v>
      </c>
      <c r="AN183" s="63">
        <v>0.1</v>
      </c>
      <c r="AO183" s="63">
        <v>0.4</v>
      </c>
      <c r="AP183" s="64">
        <v>0.9</v>
      </c>
      <c r="AQ183" s="62">
        <f t="shared" si="73"/>
        <v>1</v>
      </c>
      <c r="AR183" s="65">
        <v>1</v>
      </c>
      <c r="AS183" s="62">
        <f t="shared" si="74"/>
        <v>0.84300000000000053</v>
      </c>
      <c r="AT183" s="65">
        <v>1</v>
      </c>
      <c r="AU183" s="62">
        <f t="shared" si="75"/>
        <v>1.0000000000000004</v>
      </c>
      <c r="AV183" s="65">
        <v>1.0000000000000004</v>
      </c>
      <c r="AW183" s="62">
        <f t="shared" si="76"/>
        <v>1.0000000000000004</v>
      </c>
      <c r="AX183" s="65">
        <v>1</v>
      </c>
      <c r="AY183" s="62">
        <f t="shared" si="77"/>
        <v>1.0000000000000004</v>
      </c>
      <c r="AZ183" s="65">
        <v>1.0000000000000004</v>
      </c>
      <c r="BA183" s="62">
        <f t="shared" si="78"/>
        <v>1.0000000000000004</v>
      </c>
      <c r="BB183" s="65">
        <v>1</v>
      </c>
      <c r="BC183" s="62">
        <f t="shared" si="79"/>
        <v>1.0000000000000004</v>
      </c>
      <c r="BD183" s="65">
        <v>1</v>
      </c>
      <c r="BE183" s="74"/>
      <c r="BF183" s="7"/>
      <c r="BG183" s="74"/>
      <c r="BH183" s="7"/>
      <c r="BI183" s="7"/>
      <c r="BJ183" s="7"/>
      <c r="BK183" s="7"/>
      <c r="BL183" s="7"/>
      <c r="BM183" s="7"/>
      <c r="BN183" s="7"/>
      <c r="BO183" s="7"/>
      <c r="BP183" s="7"/>
      <c r="BQ183" s="7"/>
    </row>
    <row r="184" spans="1:69" ht="19.8" thickBot="1" x14ac:dyDescent="0.35">
      <c r="A184" s="16">
        <v>182</v>
      </c>
      <c r="B184" s="52">
        <v>45196</v>
      </c>
      <c r="C184" s="53" t="str">
        <f t="shared" si="80"/>
        <v>1402/07/05</v>
      </c>
      <c r="D184" s="54">
        <v>1</v>
      </c>
      <c r="E184" s="54">
        <v>0.81865348478652955</v>
      </c>
      <c r="F184" s="11" t="e">
        <f t="shared" si="81"/>
        <v>#N/A</v>
      </c>
      <c r="G184" s="38" t="str">
        <f t="shared" si="82"/>
        <v>تاریخ: 1402/07/05
درصد پیشرفت برنامه ای: 100%
درصد پیشرفت واقعی: 81.87%</v>
      </c>
      <c r="H184" s="55">
        <v>1</v>
      </c>
      <c r="I184" s="56">
        <f t="shared" si="92"/>
        <v>0.84500000000000053</v>
      </c>
      <c r="J184" s="56">
        <v>1.0000000000000004</v>
      </c>
      <c r="K184" s="56">
        <f t="shared" si="93"/>
        <v>1.0000000000000004</v>
      </c>
      <c r="L184" s="56">
        <f t="shared" si="70"/>
        <v>1.0000000000000004</v>
      </c>
      <c r="M184" s="56">
        <f t="shared" si="70"/>
        <v>1.0000000000000004</v>
      </c>
      <c r="N184" s="57">
        <f t="shared" si="94"/>
        <v>1.0000000000000004</v>
      </c>
      <c r="O184" s="16">
        <f t="shared" si="88"/>
        <v>24</v>
      </c>
      <c r="P184" s="17">
        <v>23</v>
      </c>
      <c r="Q184" s="17">
        <v>24</v>
      </c>
      <c r="R184" s="17">
        <v>23</v>
      </c>
      <c r="S184" s="17">
        <v>25</v>
      </c>
      <c r="T184" s="17">
        <v>25</v>
      </c>
      <c r="U184" s="58">
        <v>26</v>
      </c>
      <c r="V184" s="16">
        <f t="shared" si="83"/>
        <v>27</v>
      </c>
      <c r="W184" s="17">
        <f t="shared" si="84"/>
        <v>27</v>
      </c>
      <c r="X184" s="17">
        <f t="shared" si="84"/>
        <v>28</v>
      </c>
      <c r="Y184" s="17">
        <f t="shared" si="85"/>
        <v>24</v>
      </c>
      <c r="Z184" s="17">
        <f t="shared" si="72"/>
        <v>28</v>
      </c>
      <c r="AA184" s="17">
        <f t="shared" si="86"/>
        <v>26</v>
      </c>
      <c r="AB184" s="58">
        <f t="shared" si="87"/>
        <v>31</v>
      </c>
      <c r="AC184" s="67"/>
      <c r="AD184" s="67"/>
      <c r="AE184" s="67"/>
      <c r="AF184" s="67"/>
      <c r="AG184" s="67"/>
      <c r="AH184" s="67"/>
      <c r="AI184" s="73"/>
      <c r="AJ184" s="74"/>
      <c r="AK184" s="74"/>
      <c r="AL184" s="62">
        <v>0.4</v>
      </c>
      <c r="AM184" s="63">
        <v>0.69</v>
      </c>
      <c r="AN184" s="63">
        <v>0.5</v>
      </c>
      <c r="AO184" s="63">
        <v>0.2</v>
      </c>
      <c r="AP184" s="64">
        <v>0.4</v>
      </c>
      <c r="AQ184" s="62">
        <f t="shared" si="73"/>
        <v>1</v>
      </c>
      <c r="AR184" s="65">
        <v>1</v>
      </c>
      <c r="AS184" s="62">
        <f t="shared" si="74"/>
        <v>0.84500000000000053</v>
      </c>
      <c r="AT184" s="65">
        <v>1</v>
      </c>
      <c r="AU184" s="62">
        <f t="shared" si="75"/>
        <v>1.0000000000000004</v>
      </c>
      <c r="AV184" s="65">
        <v>1.0000000000000004</v>
      </c>
      <c r="AW184" s="62">
        <f t="shared" si="76"/>
        <v>1.0000000000000004</v>
      </c>
      <c r="AX184" s="65">
        <v>1</v>
      </c>
      <c r="AY184" s="62">
        <f t="shared" si="77"/>
        <v>1.0000000000000004</v>
      </c>
      <c r="AZ184" s="65">
        <v>1.0000000000000004</v>
      </c>
      <c r="BA184" s="62">
        <f t="shared" si="78"/>
        <v>1.0000000000000004</v>
      </c>
      <c r="BB184" s="65">
        <v>1</v>
      </c>
      <c r="BC184" s="62">
        <f t="shared" si="79"/>
        <v>1.0000000000000004</v>
      </c>
      <c r="BD184" s="65">
        <v>1</v>
      </c>
      <c r="BE184" s="74"/>
      <c r="BF184" s="7"/>
      <c r="BG184" s="74"/>
      <c r="BH184" s="7"/>
      <c r="BI184" s="7"/>
      <c r="BJ184" s="7"/>
      <c r="BK184" s="7"/>
      <c r="BL184" s="7"/>
      <c r="BM184" s="7"/>
      <c r="BN184" s="7"/>
      <c r="BO184" s="7"/>
      <c r="BP184" s="7"/>
      <c r="BQ184" s="7"/>
    </row>
    <row r="185" spans="1:69" ht="19.8" thickBot="1" x14ac:dyDescent="0.35">
      <c r="A185" s="16">
        <v>183</v>
      </c>
      <c r="B185" s="52">
        <v>45203</v>
      </c>
      <c r="C185" s="53" t="str">
        <f t="shared" si="80"/>
        <v>1402/07/12</v>
      </c>
      <c r="D185" s="54">
        <v>1</v>
      </c>
      <c r="E185" s="54">
        <v>0.82135504128632508</v>
      </c>
      <c r="F185" s="11" t="e">
        <f t="shared" si="81"/>
        <v>#N/A</v>
      </c>
      <c r="G185" s="38" t="str">
        <f t="shared" si="82"/>
        <v>تاریخ: 1402/07/12
درصد پیشرفت برنامه ای: 100%
درصد پیشرفت واقعی: 82.14%</v>
      </c>
      <c r="H185" s="55">
        <v>1</v>
      </c>
      <c r="I185" s="56">
        <f t="shared" si="92"/>
        <v>0.84700000000000053</v>
      </c>
      <c r="J185" s="56">
        <v>1.0000000000000004</v>
      </c>
      <c r="K185" s="56">
        <f t="shared" si="93"/>
        <v>1.0000000000000004</v>
      </c>
      <c r="L185" s="56">
        <f t="shared" si="70"/>
        <v>1.0000000000000004</v>
      </c>
      <c r="M185" s="56">
        <f t="shared" si="70"/>
        <v>1.0000000000000004</v>
      </c>
      <c r="N185" s="57">
        <f t="shared" si="94"/>
        <v>1.0000000000000004</v>
      </c>
      <c r="O185" s="16">
        <f t="shared" si="88"/>
        <v>26</v>
      </c>
      <c r="P185" s="17">
        <v>25</v>
      </c>
      <c r="Q185" s="17">
        <v>25</v>
      </c>
      <c r="R185" s="17">
        <v>26</v>
      </c>
      <c r="S185" s="17">
        <v>26</v>
      </c>
      <c r="T185" s="17">
        <v>25</v>
      </c>
      <c r="U185" s="58">
        <v>25</v>
      </c>
      <c r="V185" s="16">
        <f t="shared" si="83"/>
        <v>29</v>
      </c>
      <c r="W185" s="17">
        <f t="shared" si="84"/>
        <v>29</v>
      </c>
      <c r="X185" s="17">
        <f t="shared" si="84"/>
        <v>29</v>
      </c>
      <c r="Y185" s="17">
        <f t="shared" si="85"/>
        <v>27</v>
      </c>
      <c r="Z185" s="17">
        <f t="shared" si="72"/>
        <v>29</v>
      </c>
      <c r="AA185" s="17">
        <f t="shared" si="86"/>
        <v>26</v>
      </c>
      <c r="AB185" s="58">
        <f t="shared" si="87"/>
        <v>30</v>
      </c>
      <c r="AC185" s="67"/>
      <c r="AD185" s="67"/>
      <c r="AE185" s="67"/>
      <c r="AF185" s="67"/>
      <c r="AG185" s="67"/>
      <c r="AH185" s="67"/>
      <c r="AI185" s="73"/>
      <c r="AJ185" s="74"/>
      <c r="AK185" s="74"/>
      <c r="AL185" s="62">
        <v>0.35</v>
      </c>
      <c r="AM185" s="63">
        <v>0.4</v>
      </c>
      <c r="AN185" s="63">
        <v>0.9</v>
      </c>
      <c r="AO185" s="63">
        <v>0.8</v>
      </c>
      <c r="AP185" s="64">
        <v>0.2</v>
      </c>
      <c r="AQ185" s="62">
        <f t="shared" si="73"/>
        <v>1</v>
      </c>
      <c r="AR185" s="65">
        <v>1</v>
      </c>
      <c r="AS185" s="62">
        <f t="shared" si="74"/>
        <v>0.84700000000000053</v>
      </c>
      <c r="AT185" s="65">
        <v>1</v>
      </c>
      <c r="AU185" s="62">
        <f t="shared" si="75"/>
        <v>1.0000000000000004</v>
      </c>
      <c r="AV185" s="65">
        <v>1.0000000000000004</v>
      </c>
      <c r="AW185" s="62">
        <f t="shared" si="76"/>
        <v>1.0000000000000004</v>
      </c>
      <c r="AX185" s="65">
        <v>1</v>
      </c>
      <c r="AY185" s="62">
        <f t="shared" si="77"/>
        <v>1.0000000000000004</v>
      </c>
      <c r="AZ185" s="65">
        <v>1.0000000000000004</v>
      </c>
      <c r="BA185" s="62">
        <f t="shared" si="78"/>
        <v>1.0000000000000004</v>
      </c>
      <c r="BB185" s="65">
        <v>1</v>
      </c>
      <c r="BC185" s="62">
        <f t="shared" si="79"/>
        <v>1.0000000000000004</v>
      </c>
      <c r="BD185" s="65">
        <v>1</v>
      </c>
      <c r="BE185" s="74"/>
      <c r="BF185" s="7"/>
      <c r="BG185" s="74"/>
      <c r="BH185" s="7"/>
      <c r="BI185" s="7"/>
      <c r="BJ185" s="7"/>
      <c r="BK185" s="7"/>
      <c r="BL185" s="7"/>
      <c r="BM185" s="7"/>
      <c r="BN185" s="7"/>
      <c r="BO185" s="7"/>
      <c r="BP185" s="7"/>
      <c r="BQ185" s="7"/>
    </row>
    <row r="186" spans="1:69" ht="19.8" thickBot="1" x14ac:dyDescent="0.35">
      <c r="A186" s="16">
        <v>184</v>
      </c>
      <c r="B186" s="52">
        <v>45210</v>
      </c>
      <c r="C186" s="53" t="str">
        <f t="shared" si="80"/>
        <v>1402/07/19</v>
      </c>
      <c r="D186" s="54">
        <v>1</v>
      </c>
      <c r="E186" s="54">
        <v>0.82406551292256991</v>
      </c>
      <c r="F186" s="11" t="e">
        <f t="shared" si="81"/>
        <v>#N/A</v>
      </c>
      <c r="G186" s="38" t="str">
        <f t="shared" si="82"/>
        <v>تاریخ: 1402/07/19
درصد پیشرفت برنامه ای: 100%
درصد پیشرفت واقعی: 82.41%</v>
      </c>
      <c r="H186" s="55">
        <v>1</v>
      </c>
      <c r="I186" s="56">
        <f t="shared" si="92"/>
        <v>0.84900000000000053</v>
      </c>
      <c r="J186" s="56">
        <v>1.0000000000000004</v>
      </c>
      <c r="K186" s="56">
        <f t="shared" si="93"/>
        <v>1.0000000000000004</v>
      </c>
      <c r="L186" s="56">
        <f t="shared" si="70"/>
        <v>1.0000000000000004</v>
      </c>
      <c r="M186" s="56">
        <f t="shared" si="70"/>
        <v>1.0000000000000004</v>
      </c>
      <c r="N186" s="57">
        <f t="shared" si="94"/>
        <v>1.0000000000000004</v>
      </c>
      <c r="O186" s="16">
        <f t="shared" si="88"/>
        <v>25</v>
      </c>
      <c r="P186" s="17">
        <v>15</v>
      </c>
      <c r="Q186" s="17">
        <v>15</v>
      </c>
      <c r="R186" s="17">
        <v>18</v>
      </c>
      <c r="S186" s="17">
        <v>17</v>
      </c>
      <c r="T186" s="17">
        <v>18</v>
      </c>
      <c r="U186" s="58">
        <v>19</v>
      </c>
      <c r="V186" s="16">
        <f t="shared" si="83"/>
        <v>28</v>
      </c>
      <c r="W186" s="17">
        <f t="shared" si="84"/>
        <v>19</v>
      </c>
      <c r="X186" s="17">
        <f t="shared" si="84"/>
        <v>19</v>
      </c>
      <c r="Y186" s="17">
        <f t="shared" si="85"/>
        <v>19</v>
      </c>
      <c r="Z186" s="17">
        <f t="shared" si="72"/>
        <v>20</v>
      </c>
      <c r="AA186" s="17">
        <f t="shared" si="86"/>
        <v>19</v>
      </c>
      <c r="AB186" s="58">
        <f t="shared" si="87"/>
        <v>24</v>
      </c>
      <c r="AC186" s="67"/>
      <c r="AD186" s="67"/>
      <c r="AE186" s="67"/>
      <c r="AF186" s="67"/>
      <c r="AG186" s="67"/>
      <c r="AH186" s="67"/>
      <c r="AI186" s="73"/>
      <c r="AJ186" s="74"/>
      <c r="AK186" s="74"/>
      <c r="AL186" s="62">
        <v>0.85</v>
      </c>
      <c r="AM186" s="63">
        <v>0.8</v>
      </c>
      <c r="AN186" s="63">
        <v>0.5</v>
      </c>
      <c r="AO186" s="63">
        <v>0.6</v>
      </c>
      <c r="AP186" s="64">
        <v>0.6</v>
      </c>
      <c r="AQ186" s="62">
        <f t="shared" si="73"/>
        <v>1</v>
      </c>
      <c r="AR186" s="65">
        <v>1</v>
      </c>
      <c r="AS186" s="62">
        <f t="shared" si="74"/>
        <v>0.84900000000000053</v>
      </c>
      <c r="AT186" s="65">
        <v>1</v>
      </c>
      <c r="AU186" s="62">
        <f t="shared" si="75"/>
        <v>1.0000000000000004</v>
      </c>
      <c r="AV186" s="65">
        <v>1.0000000000000004</v>
      </c>
      <c r="AW186" s="62">
        <f t="shared" si="76"/>
        <v>1.0000000000000004</v>
      </c>
      <c r="AX186" s="65">
        <v>1</v>
      </c>
      <c r="AY186" s="62">
        <f t="shared" si="77"/>
        <v>1.0000000000000004</v>
      </c>
      <c r="AZ186" s="65">
        <v>1.0000000000000004</v>
      </c>
      <c r="BA186" s="62">
        <f t="shared" si="78"/>
        <v>1.0000000000000004</v>
      </c>
      <c r="BB186" s="65">
        <v>1</v>
      </c>
      <c r="BC186" s="62">
        <f t="shared" si="79"/>
        <v>1.0000000000000004</v>
      </c>
      <c r="BD186" s="65">
        <v>1</v>
      </c>
      <c r="BE186" s="74"/>
      <c r="BF186" s="7"/>
      <c r="BG186" s="74"/>
      <c r="BH186" s="7"/>
      <c r="BI186" s="7"/>
      <c r="BJ186" s="7"/>
      <c r="BK186" s="7"/>
      <c r="BL186" s="7"/>
      <c r="BM186" s="7"/>
      <c r="BN186" s="7"/>
      <c r="BO186" s="7"/>
      <c r="BP186" s="7"/>
      <c r="BQ186" s="7"/>
    </row>
    <row r="187" spans="1:69" ht="19.8" thickBot="1" x14ac:dyDescent="0.35">
      <c r="A187" s="16">
        <v>185</v>
      </c>
      <c r="B187" s="52">
        <v>45217</v>
      </c>
      <c r="C187" s="53" t="str">
        <f t="shared" si="80"/>
        <v>1402/07/26</v>
      </c>
      <c r="D187" s="54">
        <v>1</v>
      </c>
      <c r="E187" s="54">
        <v>0.8267849291152144</v>
      </c>
      <c r="F187" s="11" t="e">
        <f t="shared" si="81"/>
        <v>#N/A</v>
      </c>
      <c r="G187" s="38" t="str">
        <f t="shared" si="82"/>
        <v>تاریخ: 1402/07/26
درصد پیشرفت برنامه ای: 100%
درصد پیشرفت واقعی: 82.68%</v>
      </c>
      <c r="H187" s="55">
        <v>1</v>
      </c>
      <c r="I187" s="56">
        <f t="shared" si="92"/>
        <v>0.85100000000000053</v>
      </c>
      <c r="J187" s="56">
        <v>1.0000000000000004</v>
      </c>
      <c r="K187" s="56">
        <f t="shared" si="93"/>
        <v>1.0000000000000004</v>
      </c>
      <c r="L187" s="56">
        <f t="shared" ref="L187:M250" si="95">K163</f>
        <v>1.0000000000000004</v>
      </c>
      <c r="M187" s="56">
        <f t="shared" si="95"/>
        <v>1.0000000000000004</v>
      </c>
      <c r="N187" s="57">
        <f t="shared" si="94"/>
        <v>1.0000000000000004</v>
      </c>
      <c r="O187" s="16">
        <f t="shared" si="88"/>
        <v>19</v>
      </c>
      <c r="P187" s="17">
        <v>19</v>
      </c>
      <c r="Q187" s="17">
        <v>17</v>
      </c>
      <c r="R187" s="17">
        <v>17</v>
      </c>
      <c r="S187" s="17">
        <v>19</v>
      </c>
      <c r="T187" s="17">
        <v>20</v>
      </c>
      <c r="U187" s="58">
        <v>21</v>
      </c>
      <c r="V187" s="16">
        <f t="shared" si="83"/>
        <v>22</v>
      </c>
      <c r="W187" s="17">
        <f t="shared" si="84"/>
        <v>23</v>
      </c>
      <c r="X187" s="17">
        <f t="shared" si="84"/>
        <v>21</v>
      </c>
      <c r="Y187" s="17">
        <f t="shared" si="85"/>
        <v>18</v>
      </c>
      <c r="Z187" s="17">
        <f t="shared" si="72"/>
        <v>22</v>
      </c>
      <c r="AA187" s="17">
        <f t="shared" si="86"/>
        <v>21</v>
      </c>
      <c r="AB187" s="58">
        <f t="shared" si="87"/>
        <v>26</v>
      </c>
      <c r="AC187" s="67"/>
      <c r="AD187" s="67"/>
      <c r="AE187" s="67"/>
      <c r="AF187" s="67"/>
      <c r="AG187" s="67"/>
      <c r="AH187" s="67"/>
      <c r="AI187" s="73"/>
      <c r="AJ187" s="74"/>
      <c r="AK187" s="74"/>
      <c r="AL187" s="62">
        <v>0.9</v>
      </c>
      <c r="AM187" s="63">
        <v>0.95</v>
      </c>
      <c r="AN187" s="63">
        <v>0.8</v>
      </c>
      <c r="AO187" s="63">
        <v>0.7</v>
      </c>
      <c r="AP187" s="64">
        <v>0.1</v>
      </c>
      <c r="AQ187" s="62">
        <f t="shared" si="73"/>
        <v>1</v>
      </c>
      <c r="AR187" s="65">
        <v>1</v>
      </c>
      <c r="AS187" s="62">
        <f t="shared" si="74"/>
        <v>0.85100000000000053</v>
      </c>
      <c r="AT187" s="65">
        <v>1</v>
      </c>
      <c r="AU187" s="62">
        <f t="shared" si="75"/>
        <v>1.0000000000000004</v>
      </c>
      <c r="AV187" s="65">
        <v>1.0000000000000004</v>
      </c>
      <c r="AW187" s="62">
        <f t="shared" si="76"/>
        <v>1.0000000000000004</v>
      </c>
      <c r="AX187" s="65">
        <v>1</v>
      </c>
      <c r="AY187" s="62">
        <f t="shared" si="77"/>
        <v>1.0000000000000004</v>
      </c>
      <c r="AZ187" s="65">
        <v>1.0000000000000004</v>
      </c>
      <c r="BA187" s="62">
        <f t="shared" si="78"/>
        <v>1.0000000000000004</v>
      </c>
      <c r="BB187" s="65">
        <v>1</v>
      </c>
      <c r="BC187" s="62">
        <f t="shared" si="79"/>
        <v>1.0000000000000004</v>
      </c>
      <c r="BD187" s="65">
        <v>1</v>
      </c>
      <c r="BE187" s="74"/>
      <c r="BF187" s="7"/>
      <c r="BG187" s="74"/>
      <c r="BH187" s="7"/>
      <c r="BI187" s="7"/>
      <c r="BJ187" s="7"/>
      <c r="BK187" s="7"/>
      <c r="BL187" s="7"/>
      <c r="BM187" s="7"/>
      <c r="BN187" s="7"/>
      <c r="BO187" s="7"/>
      <c r="BP187" s="7"/>
      <c r="BQ187" s="7"/>
    </row>
    <row r="188" spans="1:69" ht="19.8" thickBot="1" x14ac:dyDescent="0.35">
      <c r="A188" s="16">
        <v>186</v>
      </c>
      <c r="B188" s="52">
        <v>45224</v>
      </c>
      <c r="C188" s="53" t="str">
        <f t="shared" si="80"/>
        <v>1402/08/03</v>
      </c>
      <c r="D188" s="54">
        <v>1</v>
      </c>
      <c r="E188" s="54">
        <v>0.82951331938129458</v>
      </c>
      <c r="F188" s="11" t="e">
        <f t="shared" si="81"/>
        <v>#N/A</v>
      </c>
      <c r="G188" s="38" t="str">
        <f t="shared" si="82"/>
        <v>تاریخ: 1402/08/03
درصد پیشرفت برنامه ای: 100%
درصد پیشرفت واقعی: 82.95%</v>
      </c>
      <c r="H188" s="55">
        <v>1</v>
      </c>
      <c r="I188" s="56">
        <f t="shared" si="92"/>
        <v>0.85300000000000054</v>
      </c>
      <c r="J188" s="56">
        <v>1.0000000000000004</v>
      </c>
      <c r="K188" s="56">
        <f t="shared" si="93"/>
        <v>1.0000000000000004</v>
      </c>
      <c r="L188" s="56">
        <f t="shared" si="95"/>
        <v>1.0000000000000004</v>
      </c>
      <c r="M188" s="56">
        <f t="shared" si="95"/>
        <v>1.0000000000000004</v>
      </c>
      <c r="N188" s="57">
        <f t="shared" si="94"/>
        <v>1.0000000000000004</v>
      </c>
      <c r="O188" s="16">
        <f t="shared" si="88"/>
        <v>21</v>
      </c>
      <c r="P188" s="17">
        <v>22</v>
      </c>
      <c r="Q188" s="17">
        <v>22</v>
      </c>
      <c r="R188" s="17">
        <v>23</v>
      </c>
      <c r="S188" s="17">
        <v>21</v>
      </c>
      <c r="T188" s="17">
        <v>22</v>
      </c>
      <c r="U188" s="58">
        <v>24</v>
      </c>
      <c r="V188" s="16">
        <f t="shared" si="83"/>
        <v>24</v>
      </c>
      <c r="W188" s="17">
        <f t="shared" si="84"/>
        <v>26</v>
      </c>
      <c r="X188" s="17">
        <f t="shared" si="84"/>
        <v>26</v>
      </c>
      <c r="Y188" s="17">
        <f t="shared" si="85"/>
        <v>24</v>
      </c>
      <c r="Z188" s="17">
        <f t="shared" si="72"/>
        <v>24</v>
      </c>
      <c r="AA188" s="17">
        <f t="shared" si="86"/>
        <v>23</v>
      </c>
      <c r="AB188" s="58">
        <f t="shared" si="87"/>
        <v>29</v>
      </c>
      <c r="AC188" s="67"/>
      <c r="AD188" s="67"/>
      <c r="AE188" s="67"/>
      <c r="AF188" s="67"/>
      <c r="AG188" s="67"/>
      <c r="AH188" s="67"/>
      <c r="AI188" s="73"/>
      <c r="AJ188" s="74"/>
      <c r="AK188" s="74"/>
      <c r="AL188" s="62">
        <v>0.7</v>
      </c>
      <c r="AM188" s="63">
        <v>0.68</v>
      </c>
      <c r="AN188" s="63">
        <v>0.5</v>
      </c>
      <c r="AO188" s="63">
        <v>0.9</v>
      </c>
      <c r="AP188" s="64">
        <v>0.55000000000000004</v>
      </c>
      <c r="AQ188" s="62">
        <f t="shared" si="73"/>
        <v>1</v>
      </c>
      <c r="AR188" s="65">
        <v>1</v>
      </c>
      <c r="AS188" s="62">
        <f t="shared" si="74"/>
        <v>0.85300000000000054</v>
      </c>
      <c r="AT188" s="65">
        <v>1</v>
      </c>
      <c r="AU188" s="62">
        <f t="shared" si="75"/>
        <v>1.0000000000000004</v>
      </c>
      <c r="AV188" s="65">
        <v>1.0000000000000004</v>
      </c>
      <c r="AW188" s="62">
        <f t="shared" si="76"/>
        <v>1.0000000000000004</v>
      </c>
      <c r="AX188" s="65">
        <v>1</v>
      </c>
      <c r="AY188" s="62">
        <f t="shared" si="77"/>
        <v>1.0000000000000004</v>
      </c>
      <c r="AZ188" s="65">
        <v>1.0000000000000004</v>
      </c>
      <c r="BA188" s="62">
        <f t="shared" si="78"/>
        <v>1.0000000000000004</v>
      </c>
      <c r="BB188" s="65">
        <v>1</v>
      </c>
      <c r="BC188" s="62">
        <f t="shared" si="79"/>
        <v>1.0000000000000004</v>
      </c>
      <c r="BD188" s="65">
        <v>1</v>
      </c>
      <c r="BE188" s="74"/>
      <c r="BF188" s="7"/>
      <c r="BG188" s="74"/>
      <c r="BH188" s="7"/>
      <c r="BI188" s="7"/>
      <c r="BJ188" s="7"/>
      <c r="BK188" s="7"/>
      <c r="BL188" s="7"/>
      <c r="BM188" s="7"/>
      <c r="BN188" s="7"/>
      <c r="BO188" s="7"/>
      <c r="BP188" s="7"/>
      <c r="BQ188" s="7"/>
    </row>
    <row r="189" spans="1:69" ht="19.8" thickBot="1" x14ac:dyDescent="0.35">
      <c r="A189" s="16">
        <v>187</v>
      </c>
      <c r="B189" s="52">
        <v>45231</v>
      </c>
      <c r="C189" s="53" t="str">
        <f t="shared" si="80"/>
        <v>1402/08/10</v>
      </c>
      <c r="D189" s="54">
        <v>1</v>
      </c>
      <c r="E189" s="54">
        <v>0.8322507133352528</v>
      </c>
      <c r="F189" s="11" t="e">
        <f t="shared" si="81"/>
        <v>#N/A</v>
      </c>
      <c r="G189" s="38" t="str">
        <f t="shared" si="82"/>
        <v>تاریخ: 1402/08/10
درصد پیشرفت برنامه ای: 100%
درصد پیشرفت واقعی: 83.23%</v>
      </c>
      <c r="H189" s="55">
        <v>1</v>
      </c>
      <c r="I189" s="56">
        <f t="shared" si="92"/>
        <v>0.85500000000000054</v>
      </c>
      <c r="J189" s="56">
        <v>1.0000000000000004</v>
      </c>
      <c r="K189" s="56">
        <f t="shared" si="93"/>
        <v>1.0000000000000004</v>
      </c>
      <c r="L189" s="56">
        <f t="shared" si="95"/>
        <v>1.0000000000000004</v>
      </c>
      <c r="M189" s="56">
        <f t="shared" si="95"/>
        <v>1.0000000000000004</v>
      </c>
      <c r="N189" s="57">
        <f t="shared" si="94"/>
        <v>1.0000000000000004</v>
      </c>
      <c r="O189" s="16">
        <f t="shared" si="88"/>
        <v>24</v>
      </c>
      <c r="P189" s="17">
        <v>15</v>
      </c>
      <c r="Q189" s="17">
        <v>15</v>
      </c>
      <c r="R189" s="17">
        <v>18</v>
      </c>
      <c r="S189" s="17">
        <v>17</v>
      </c>
      <c r="T189" s="17">
        <v>18</v>
      </c>
      <c r="U189" s="58">
        <v>19</v>
      </c>
      <c r="V189" s="16">
        <f t="shared" si="83"/>
        <v>27</v>
      </c>
      <c r="W189" s="17">
        <f t="shared" si="84"/>
        <v>19</v>
      </c>
      <c r="X189" s="17">
        <f t="shared" si="84"/>
        <v>19</v>
      </c>
      <c r="Y189" s="17">
        <f t="shared" si="85"/>
        <v>19</v>
      </c>
      <c r="Z189" s="17">
        <f t="shared" si="72"/>
        <v>20</v>
      </c>
      <c r="AA189" s="17">
        <f t="shared" si="86"/>
        <v>19</v>
      </c>
      <c r="AB189" s="58">
        <f t="shared" si="87"/>
        <v>24</v>
      </c>
      <c r="AC189" s="67"/>
      <c r="AD189" s="67"/>
      <c r="AE189" s="67"/>
      <c r="AF189" s="67"/>
      <c r="AG189" s="67"/>
      <c r="AH189" s="67"/>
      <c r="AI189" s="73"/>
      <c r="AJ189" s="74"/>
      <c r="AK189" s="74"/>
      <c r="AL189" s="62">
        <v>0.6</v>
      </c>
      <c r="AM189" s="63">
        <v>0.5</v>
      </c>
      <c r="AN189" s="63">
        <v>0.66</v>
      </c>
      <c r="AO189" s="63">
        <v>0.5</v>
      </c>
      <c r="AP189" s="64">
        <v>0.9</v>
      </c>
      <c r="AQ189" s="62">
        <f t="shared" si="73"/>
        <v>1</v>
      </c>
      <c r="AR189" s="65">
        <v>1</v>
      </c>
      <c r="AS189" s="62">
        <f t="shared" si="74"/>
        <v>0.85500000000000054</v>
      </c>
      <c r="AT189" s="65">
        <v>1</v>
      </c>
      <c r="AU189" s="62">
        <f t="shared" si="75"/>
        <v>1.0000000000000004</v>
      </c>
      <c r="AV189" s="65">
        <v>1.0000000000000004</v>
      </c>
      <c r="AW189" s="62">
        <f t="shared" si="76"/>
        <v>1.0000000000000004</v>
      </c>
      <c r="AX189" s="65">
        <v>1</v>
      </c>
      <c r="AY189" s="62">
        <f t="shared" si="77"/>
        <v>1.0000000000000004</v>
      </c>
      <c r="AZ189" s="65">
        <v>1.0000000000000004</v>
      </c>
      <c r="BA189" s="62">
        <f t="shared" si="78"/>
        <v>1.0000000000000004</v>
      </c>
      <c r="BB189" s="65">
        <v>1</v>
      </c>
      <c r="BC189" s="62">
        <f t="shared" si="79"/>
        <v>1.0000000000000004</v>
      </c>
      <c r="BD189" s="65">
        <v>1</v>
      </c>
      <c r="BE189" s="74"/>
      <c r="BF189" s="7"/>
      <c r="BG189" s="74"/>
      <c r="BH189" s="7"/>
      <c r="BI189" s="7"/>
      <c r="BJ189" s="7"/>
      <c r="BK189" s="7"/>
      <c r="BL189" s="7"/>
      <c r="BM189" s="7"/>
      <c r="BN189" s="7"/>
      <c r="BO189" s="7"/>
      <c r="BP189" s="7"/>
      <c r="BQ189" s="7"/>
    </row>
    <row r="190" spans="1:69" ht="19.8" thickBot="1" x14ac:dyDescent="0.35">
      <c r="A190" s="16">
        <v>188</v>
      </c>
      <c r="B190" s="52">
        <v>45238</v>
      </c>
      <c r="C190" s="53" t="str">
        <f t="shared" si="80"/>
        <v>1402/08/17</v>
      </c>
      <c r="D190" s="54">
        <v>1</v>
      </c>
      <c r="E190" s="54">
        <v>0.83499714068925912</v>
      </c>
      <c r="F190" s="11" t="e">
        <f t="shared" si="81"/>
        <v>#N/A</v>
      </c>
      <c r="G190" s="38" t="str">
        <f t="shared" si="82"/>
        <v>تاریخ: 1402/08/17
درصد پیشرفت برنامه ای: 100%
درصد پیشرفت واقعی: 83.5%</v>
      </c>
      <c r="H190" s="55">
        <v>1</v>
      </c>
      <c r="I190" s="56">
        <f t="shared" si="92"/>
        <v>0.85700000000000054</v>
      </c>
      <c r="J190" s="56">
        <v>1.0000000000000004</v>
      </c>
      <c r="K190" s="56">
        <f t="shared" si="93"/>
        <v>1.0000000000000004</v>
      </c>
      <c r="L190" s="56">
        <f t="shared" si="95"/>
        <v>1.0000000000000004</v>
      </c>
      <c r="M190" s="56">
        <f t="shared" si="95"/>
        <v>1.0000000000000004</v>
      </c>
      <c r="N190" s="57">
        <f t="shared" si="94"/>
        <v>1.0000000000000004</v>
      </c>
      <c r="O190" s="16">
        <f t="shared" si="88"/>
        <v>19</v>
      </c>
      <c r="P190" s="17">
        <v>19</v>
      </c>
      <c r="Q190" s="17">
        <v>17</v>
      </c>
      <c r="R190" s="17">
        <v>17</v>
      </c>
      <c r="S190" s="17">
        <v>19</v>
      </c>
      <c r="T190" s="17">
        <v>20</v>
      </c>
      <c r="U190" s="58">
        <v>21</v>
      </c>
      <c r="V190" s="16">
        <f t="shared" si="83"/>
        <v>22</v>
      </c>
      <c r="W190" s="17">
        <f t="shared" si="84"/>
        <v>23</v>
      </c>
      <c r="X190" s="17">
        <f t="shared" si="84"/>
        <v>21</v>
      </c>
      <c r="Y190" s="17">
        <f t="shared" si="85"/>
        <v>18</v>
      </c>
      <c r="Z190" s="17">
        <f t="shared" si="72"/>
        <v>22</v>
      </c>
      <c r="AA190" s="17">
        <f t="shared" si="86"/>
        <v>21</v>
      </c>
      <c r="AB190" s="58">
        <f t="shared" si="87"/>
        <v>26</v>
      </c>
      <c r="AC190" s="67"/>
      <c r="AD190" s="67"/>
      <c r="AE190" s="67"/>
      <c r="AF190" s="67"/>
      <c r="AG190" s="67"/>
      <c r="AH190" s="67"/>
      <c r="AI190" s="73"/>
      <c r="AJ190" s="74"/>
      <c r="AK190" s="74"/>
      <c r="AL190" s="62">
        <v>0.55000000000000004</v>
      </c>
      <c r="AM190" s="63">
        <v>0.62</v>
      </c>
      <c r="AN190" s="63">
        <v>0.78</v>
      </c>
      <c r="AO190" s="63">
        <v>0.42</v>
      </c>
      <c r="AP190" s="64">
        <v>0.8</v>
      </c>
      <c r="AQ190" s="62">
        <f t="shared" si="73"/>
        <v>1</v>
      </c>
      <c r="AR190" s="65">
        <v>1</v>
      </c>
      <c r="AS190" s="62">
        <f t="shared" si="74"/>
        <v>0.85700000000000054</v>
      </c>
      <c r="AT190" s="65">
        <v>1</v>
      </c>
      <c r="AU190" s="62">
        <f t="shared" si="75"/>
        <v>1.0000000000000004</v>
      </c>
      <c r="AV190" s="65">
        <v>1.0000000000000004</v>
      </c>
      <c r="AW190" s="62">
        <f t="shared" si="76"/>
        <v>1.0000000000000004</v>
      </c>
      <c r="AX190" s="65">
        <v>1</v>
      </c>
      <c r="AY190" s="62">
        <f t="shared" si="77"/>
        <v>1.0000000000000004</v>
      </c>
      <c r="AZ190" s="65">
        <v>1.0000000000000004</v>
      </c>
      <c r="BA190" s="62">
        <f t="shared" si="78"/>
        <v>1.0000000000000004</v>
      </c>
      <c r="BB190" s="65">
        <v>1</v>
      </c>
      <c r="BC190" s="62">
        <f t="shared" si="79"/>
        <v>1.0000000000000004</v>
      </c>
      <c r="BD190" s="65">
        <v>1</v>
      </c>
      <c r="BE190" s="74"/>
      <c r="BF190" s="7"/>
      <c r="BG190" s="74"/>
      <c r="BH190" s="7"/>
      <c r="BI190" s="7"/>
      <c r="BJ190" s="7"/>
      <c r="BK190" s="7"/>
      <c r="BL190" s="7"/>
      <c r="BM190" s="7"/>
      <c r="BN190" s="7"/>
      <c r="BO190" s="7"/>
      <c r="BP190" s="7"/>
      <c r="BQ190" s="7"/>
    </row>
    <row r="191" spans="1:69" ht="19.8" thickBot="1" x14ac:dyDescent="0.35">
      <c r="A191" s="16">
        <v>189</v>
      </c>
      <c r="B191" s="52">
        <v>45245</v>
      </c>
      <c r="C191" s="53" t="str">
        <f t="shared" si="80"/>
        <v>1402/08/24</v>
      </c>
      <c r="D191" s="54">
        <v>1</v>
      </c>
      <c r="E191" s="54">
        <v>0.83775263125353372</v>
      </c>
      <c r="F191" s="11" t="e">
        <f t="shared" si="81"/>
        <v>#N/A</v>
      </c>
      <c r="G191" s="38" t="str">
        <f t="shared" si="82"/>
        <v>تاریخ: 1402/08/24
درصد پیشرفت برنامه ای: 100%
درصد پیشرفت واقعی: 83.78%</v>
      </c>
      <c r="H191" s="55">
        <v>1</v>
      </c>
      <c r="I191" s="56">
        <f t="shared" si="92"/>
        <v>0.85900000000000054</v>
      </c>
      <c r="J191" s="56">
        <v>1.0000000000000004</v>
      </c>
      <c r="K191" s="56">
        <f t="shared" si="93"/>
        <v>1.0000000000000004</v>
      </c>
      <c r="L191" s="56">
        <f t="shared" si="95"/>
        <v>1.0000000000000004</v>
      </c>
      <c r="M191" s="56">
        <f t="shared" si="95"/>
        <v>1.0000000000000004</v>
      </c>
      <c r="N191" s="57">
        <f t="shared" si="94"/>
        <v>1.0000000000000004</v>
      </c>
      <c r="O191" s="16">
        <f t="shared" si="88"/>
        <v>21</v>
      </c>
      <c r="P191" s="17">
        <v>15</v>
      </c>
      <c r="Q191" s="17">
        <v>15</v>
      </c>
      <c r="R191" s="17">
        <v>18</v>
      </c>
      <c r="S191" s="17">
        <v>17</v>
      </c>
      <c r="T191" s="17">
        <v>18</v>
      </c>
      <c r="U191" s="58">
        <v>19</v>
      </c>
      <c r="V191" s="16">
        <f t="shared" si="83"/>
        <v>24</v>
      </c>
      <c r="W191" s="17">
        <f t="shared" si="84"/>
        <v>19</v>
      </c>
      <c r="X191" s="17">
        <f t="shared" si="84"/>
        <v>19</v>
      </c>
      <c r="Y191" s="17">
        <f t="shared" si="85"/>
        <v>19</v>
      </c>
      <c r="Z191" s="17">
        <f t="shared" si="72"/>
        <v>20</v>
      </c>
      <c r="AA191" s="17">
        <f t="shared" si="86"/>
        <v>19</v>
      </c>
      <c r="AB191" s="58">
        <f t="shared" si="87"/>
        <v>24</v>
      </c>
      <c r="AC191" s="67"/>
      <c r="AD191" s="67"/>
      <c r="AE191" s="67"/>
      <c r="AF191" s="67"/>
      <c r="AG191" s="67"/>
      <c r="AH191" s="67"/>
      <c r="AI191" s="73"/>
      <c r="AJ191" s="74"/>
      <c r="AK191" s="74"/>
      <c r="AL191" s="62">
        <v>0.6</v>
      </c>
      <c r="AM191" s="63">
        <v>0.9</v>
      </c>
      <c r="AN191" s="63">
        <v>0.5</v>
      </c>
      <c r="AO191" s="63">
        <v>0.5</v>
      </c>
      <c r="AP191" s="64">
        <v>0.62</v>
      </c>
      <c r="AQ191" s="62">
        <f t="shared" si="73"/>
        <v>1</v>
      </c>
      <c r="AR191" s="65">
        <v>1</v>
      </c>
      <c r="AS191" s="62">
        <f t="shared" si="74"/>
        <v>0.85900000000000054</v>
      </c>
      <c r="AT191" s="65">
        <v>1</v>
      </c>
      <c r="AU191" s="62">
        <f t="shared" si="75"/>
        <v>1.0000000000000004</v>
      </c>
      <c r="AV191" s="65">
        <v>1.0000000000000004</v>
      </c>
      <c r="AW191" s="62">
        <f t="shared" si="76"/>
        <v>1.0000000000000004</v>
      </c>
      <c r="AX191" s="65">
        <v>1</v>
      </c>
      <c r="AY191" s="62">
        <f t="shared" si="77"/>
        <v>1.0000000000000004</v>
      </c>
      <c r="AZ191" s="65">
        <v>1.0000000000000004</v>
      </c>
      <c r="BA191" s="62">
        <f t="shared" si="78"/>
        <v>1.0000000000000004</v>
      </c>
      <c r="BB191" s="65">
        <v>1</v>
      </c>
      <c r="BC191" s="62">
        <f t="shared" si="79"/>
        <v>1.0000000000000004</v>
      </c>
      <c r="BD191" s="65">
        <v>1</v>
      </c>
      <c r="BE191" s="74"/>
      <c r="BF191" s="7"/>
      <c r="BG191" s="74"/>
      <c r="BH191" s="7"/>
      <c r="BI191" s="7"/>
      <c r="BJ191" s="7"/>
      <c r="BK191" s="7"/>
      <c r="BL191" s="7"/>
      <c r="BM191" s="7"/>
      <c r="BN191" s="7"/>
      <c r="BO191" s="7"/>
      <c r="BP191" s="7"/>
      <c r="BQ191" s="7"/>
    </row>
    <row r="192" spans="1:69" ht="19.8" thickBot="1" x14ac:dyDescent="0.35">
      <c r="A192" s="16">
        <v>190</v>
      </c>
      <c r="B192" s="52">
        <v>45252</v>
      </c>
      <c r="C192" s="53" t="str">
        <f t="shared" si="80"/>
        <v>1402/09/01</v>
      </c>
      <c r="D192" s="54">
        <v>1</v>
      </c>
      <c r="E192" s="54">
        <v>0.84051721493667042</v>
      </c>
      <c r="F192" s="11" t="e">
        <f t="shared" si="81"/>
        <v>#N/A</v>
      </c>
      <c r="G192" s="38" t="str">
        <f t="shared" si="82"/>
        <v>تاریخ: 1402/09/01
درصد پیشرفت برنامه ای: 100%
درصد پیشرفت واقعی: 84.05%</v>
      </c>
      <c r="H192" s="55">
        <v>1</v>
      </c>
      <c r="I192" s="56">
        <f t="shared" si="92"/>
        <v>0.86100000000000054</v>
      </c>
      <c r="J192" s="56">
        <v>1.0000000000000004</v>
      </c>
      <c r="K192" s="56">
        <f t="shared" si="93"/>
        <v>1.0000000000000004</v>
      </c>
      <c r="L192" s="56">
        <f t="shared" si="95"/>
        <v>1.0000000000000004</v>
      </c>
      <c r="M192" s="56">
        <f t="shared" si="95"/>
        <v>1.0000000000000004</v>
      </c>
      <c r="N192" s="57">
        <f t="shared" si="94"/>
        <v>1.0000000000000004</v>
      </c>
      <c r="O192" s="16">
        <f t="shared" si="88"/>
        <v>19</v>
      </c>
      <c r="P192" s="17">
        <v>19</v>
      </c>
      <c r="Q192" s="17">
        <v>17</v>
      </c>
      <c r="R192" s="17">
        <v>17</v>
      </c>
      <c r="S192" s="17">
        <v>19</v>
      </c>
      <c r="T192" s="17">
        <v>20</v>
      </c>
      <c r="U192" s="58">
        <v>21</v>
      </c>
      <c r="V192" s="16">
        <f t="shared" si="83"/>
        <v>22</v>
      </c>
      <c r="W192" s="17">
        <f t="shared" si="84"/>
        <v>23</v>
      </c>
      <c r="X192" s="17">
        <f t="shared" si="84"/>
        <v>21</v>
      </c>
      <c r="Y192" s="17">
        <f t="shared" si="85"/>
        <v>18</v>
      </c>
      <c r="Z192" s="17">
        <f t="shared" si="72"/>
        <v>22</v>
      </c>
      <c r="AA192" s="17">
        <f t="shared" si="86"/>
        <v>21</v>
      </c>
      <c r="AB192" s="58">
        <f t="shared" si="87"/>
        <v>26</v>
      </c>
      <c r="AC192" s="67"/>
      <c r="AD192" s="67"/>
      <c r="AE192" s="67"/>
      <c r="AF192" s="67"/>
      <c r="AG192" s="67"/>
      <c r="AH192" s="67"/>
      <c r="AI192" s="73"/>
      <c r="AJ192" s="74"/>
      <c r="AK192" s="74"/>
      <c r="AL192" s="62">
        <v>0.66</v>
      </c>
      <c r="AM192" s="63">
        <v>0.7</v>
      </c>
      <c r="AN192" s="63">
        <v>0.8</v>
      </c>
      <c r="AO192" s="63">
        <v>0.55000000000000004</v>
      </c>
      <c r="AP192" s="64">
        <v>0.5</v>
      </c>
      <c r="AQ192" s="62">
        <f t="shared" si="73"/>
        <v>1</v>
      </c>
      <c r="AR192" s="65">
        <v>1</v>
      </c>
      <c r="AS192" s="62">
        <f t="shared" si="74"/>
        <v>0.86100000000000054</v>
      </c>
      <c r="AT192" s="65">
        <v>1</v>
      </c>
      <c r="AU192" s="62">
        <f t="shared" si="75"/>
        <v>1.0000000000000004</v>
      </c>
      <c r="AV192" s="65">
        <v>1.0000000000000004</v>
      </c>
      <c r="AW192" s="62">
        <f t="shared" si="76"/>
        <v>1.0000000000000004</v>
      </c>
      <c r="AX192" s="65">
        <v>1</v>
      </c>
      <c r="AY192" s="62">
        <f t="shared" si="77"/>
        <v>1.0000000000000004</v>
      </c>
      <c r="AZ192" s="65">
        <v>1.0000000000000004</v>
      </c>
      <c r="BA192" s="62">
        <f t="shared" si="78"/>
        <v>1.0000000000000004</v>
      </c>
      <c r="BB192" s="65">
        <v>1</v>
      </c>
      <c r="BC192" s="62">
        <f t="shared" si="79"/>
        <v>1.0000000000000004</v>
      </c>
      <c r="BD192" s="65">
        <v>1</v>
      </c>
      <c r="BE192" s="74"/>
      <c r="BF192" s="7"/>
      <c r="BG192" s="74"/>
      <c r="BH192" s="7"/>
      <c r="BI192" s="7"/>
      <c r="BJ192" s="7"/>
      <c r="BK192" s="7"/>
      <c r="BL192" s="7"/>
      <c r="BM192" s="7"/>
      <c r="BN192" s="7"/>
      <c r="BO192" s="7"/>
      <c r="BP192" s="7"/>
      <c r="BQ192" s="7"/>
    </row>
    <row r="193" spans="1:69" ht="19.8" thickBot="1" x14ac:dyDescent="0.35">
      <c r="A193" s="16">
        <v>191</v>
      </c>
      <c r="B193" s="52">
        <v>45259</v>
      </c>
      <c r="C193" s="53" t="str">
        <f t="shared" si="80"/>
        <v>1402/09/08</v>
      </c>
      <c r="D193" s="54">
        <v>1</v>
      </c>
      <c r="E193" s="54">
        <v>0.84329092174596143</v>
      </c>
      <c r="F193" s="11" t="e">
        <f t="shared" si="81"/>
        <v>#N/A</v>
      </c>
      <c r="G193" s="38" t="str">
        <f t="shared" si="82"/>
        <v>تاریخ: 1402/09/08
درصد پیشرفت برنامه ای: 100%
درصد پیشرفت واقعی: 84.33%</v>
      </c>
      <c r="H193" s="55">
        <v>1</v>
      </c>
      <c r="I193" s="56">
        <f t="shared" si="92"/>
        <v>0.86300000000000054</v>
      </c>
      <c r="J193" s="56">
        <v>1.0000000000000004</v>
      </c>
      <c r="K193" s="56">
        <f t="shared" si="93"/>
        <v>1.0000000000000004</v>
      </c>
      <c r="L193" s="56">
        <f t="shared" si="95"/>
        <v>1.0000000000000004</v>
      </c>
      <c r="M193" s="56">
        <f t="shared" si="95"/>
        <v>1.0000000000000004</v>
      </c>
      <c r="N193" s="57">
        <f t="shared" si="94"/>
        <v>1.0000000000000004</v>
      </c>
      <c r="O193" s="16">
        <f t="shared" si="88"/>
        <v>21</v>
      </c>
      <c r="P193" s="17">
        <v>15</v>
      </c>
      <c r="Q193" s="17">
        <v>15</v>
      </c>
      <c r="R193" s="17">
        <v>18</v>
      </c>
      <c r="S193" s="17">
        <v>14</v>
      </c>
      <c r="T193" s="17">
        <v>15</v>
      </c>
      <c r="U193" s="58">
        <v>13</v>
      </c>
      <c r="V193" s="16">
        <f t="shared" si="83"/>
        <v>24</v>
      </c>
      <c r="W193" s="17">
        <f t="shared" si="84"/>
        <v>19</v>
      </c>
      <c r="X193" s="17">
        <f t="shared" si="84"/>
        <v>19</v>
      </c>
      <c r="Y193" s="17">
        <f t="shared" si="85"/>
        <v>19</v>
      </c>
      <c r="Z193" s="17">
        <f t="shared" si="72"/>
        <v>17</v>
      </c>
      <c r="AA193" s="17">
        <f t="shared" si="86"/>
        <v>16</v>
      </c>
      <c r="AB193" s="58">
        <f t="shared" si="87"/>
        <v>18</v>
      </c>
      <c r="AC193" s="67"/>
      <c r="AD193" s="67"/>
      <c r="AE193" s="67"/>
      <c r="AF193" s="67"/>
      <c r="AG193" s="67"/>
      <c r="AH193" s="67"/>
      <c r="AI193" s="73"/>
      <c r="AJ193" s="74"/>
      <c r="AK193" s="74"/>
      <c r="AL193" s="62">
        <v>0.55000000000000004</v>
      </c>
      <c r="AM193" s="63">
        <v>0.4</v>
      </c>
      <c r="AN193" s="63">
        <v>0.4</v>
      </c>
      <c r="AO193" s="63">
        <v>0.9</v>
      </c>
      <c r="AP193" s="64">
        <v>0.8</v>
      </c>
      <c r="AQ193" s="62">
        <f t="shared" si="73"/>
        <v>1</v>
      </c>
      <c r="AR193" s="65">
        <v>1</v>
      </c>
      <c r="AS193" s="62">
        <f t="shared" si="74"/>
        <v>0.86300000000000054</v>
      </c>
      <c r="AT193" s="65">
        <v>1</v>
      </c>
      <c r="AU193" s="62">
        <f t="shared" si="75"/>
        <v>1.0000000000000004</v>
      </c>
      <c r="AV193" s="65">
        <v>1.0000000000000004</v>
      </c>
      <c r="AW193" s="62">
        <f t="shared" si="76"/>
        <v>1.0000000000000004</v>
      </c>
      <c r="AX193" s="65">
        <v>1</v>
      </c>
      <c r="AY193" s="62">
        <f t="shared" si="77"/>
        <v>1.0000000000000004</v>
      </c>
      <c r="AZ193" s="65">
        <v>1.0000000000000004</v>
      </c>
      <c r="BA193" s="62">
        <f t="shared" si="78"/>
        <v>1.0000000000000004</v>
      </c>
      <c r="BB193" s="65">
        <v>1</v>
      </c>
      <c r="BC193" s="62">
        <f t="shared" si="79"/>
        <v>1.0000000000000004</v>
      </c>
      <c r="BD193" s="65">
        <v>1</v>
      </c>
      <c r="BE193" s="74"/>
      <c r="BF193" s="7"/>
      <c r="BG193" s="74"/>
      <c r="BH193" s="7"/>
      <c r="BI193" s="7"/>
      <c r="BJ193" s="7"/>
      <c r="BK193" s="7"/>
      <c r="BL193" s="7"/>
      <c r="BM193" s="7"/>
      <c r="BN193" s="7"/>
      <c r="BO193" s="7"/>
      <c r="BP193" s="7"/>
      <c r="BQ193" s="7"/>
    </row>
    <row r="194" spans="1:69" ht="19.8" thickBot="1" x14ac:dyDescent="0.35">
      <c r="A194" s="16">
        <v>192</v>
      </c>
      <c r="B194" s="52">
        <v>45266</v>
      </c>
      <c r="C194" s="53" t="str">
        <f t="shared" si="80"/>
        <v>1402/09/15</v>
      </c>
      <c r="D194" s="54">
        <v>1</v>
      </c>
      <c r="E194" s="54">
        <v>0.84607378178772308</v>
      </c>
      <c r="F194" s="11" t="e">
        <f t="shared" si="81"/>
        <v>#N/A</v>
      </c>
      <c r="G194" s="38" t="str">
        <f t="shared" si="82"/>
        <v>تاریخ: 1402/09/15
درصد پیشرفت برنامه ای: 100%
درصد پیشرفت واقعی: 84.61%</v>
      </c>
      <c r="H194" s="55">
        <v>1</v>
      </c>
      <c r="I194" s="56">
        <f t="shared" si="92"/>
        <v>0.86500000000000055</v>
      </c>
      <c r="J194" s="56">
        <v>1.0000000000000004</v>
      </c>
      <c r="K194" s="56">
        <f t="shared" si="93"/>
        <v>1.0000000000000004</v>
      </c>
      <c r="L194" s="56">
        <f t="shared" si="95"/>
        <v>1.0000000000000004</v>
      </c>
      <c r="M194" s="56">
        <f t="shared" si="95"/>
        <v>1.0000000000000004</v>
      </c>
      <c r="N194" s="57">
        <f t="shared" si="94"/>
        <v>1.0000000000000004</v>
      </c>
      <c r="O194" s="16">
        <f t="shared" si="88"/>
        <v>13</v>
      </c>
      <c r="P194" s="17">
        <v>12</v>
      </c>
      <c r="Q194" s="17">
        <v>13</v>
      </c>
      <c r="R194" s="17">
        <v>14</v>
      </c>
      <c r="S194" s="17">
        <v>12</v>
      </c>
      <c r="T194" s="17">
        <v>12</v>
      </c>
      <c r="U194" s="58">
        <v>11</v>
      </c>
      <c r="V194" s="16">
        <f t="shared" si="83"/>
        <v>16</v>
      </c>
      <c r="W194" s="17">
        <f t="shared" si="84"/>
        <v>16</v>
      </c>
      <c r="X194" s="17">
        <f t="shared" si="84"/>
        <v>17</v>
      </c>
      <c r="Y194" s="17">
        <f t="shared" si="85"/>
        <v>15</v>
      </c>
      <c r="Z194" s="17">
        <f t="shared" si="72"/>
        <v>15</v>
      </c>
      <c r="AA194" s="17">
        <f t="shared" si="86"/>
        <v>13</v>
      </c>
      <c r="AB194" s="58">
        <f t="shared" si="87"/>
        <v>16</v>
      </c>
      <c r="AC194" s="67"/>
      <c r="AD194" s="67"/>
      <c r="AE194" s="67"/>
      <c r="AF194" s="67"/>
      <c r="AG194" s="67"/>
      <c r="AH194" s="67"/>
      <c r="AI194" s="73"/>
      <c r="AJ194" s="74"/>
      <c r="AK194" s="74"/>
      <c r="AL194" s="62">
        <v>0.7</v>
      </c>
      <c r="AM194" s="63">
        <v>0.55000000000000004</v>
      </c>
      <c r="AN194" s="63">
        <v>0.1</v>
      </c>
      <c r="AO194" s="63">
        <v>0.4</v>
      </c>
      <c r="AP194" s="64">
        <v>0.9</v>
      </c>
      <c r="AQ194" s="62">
        <f t="shared" si="73"/>
        <v>1</v>
      </c>
      <c r="AR194" s="65">
        <v>1</v>
      </c>
      <c r="AS194" s="62">
        <f t="shared" si="74"/>
        <v>0.86500000000000055</v>
      </c>
      <c r="AT194" s="65">
        <v>1</v>
      </c>
      <c r="AU194" s="62">
        <f t="shared" si="75"/>
        <v>1.0000000000000004</v>
      </c>
      <c r="AV194" s="65">
        <v>1.0000000000000004</v>
      </c>
      <c r="AW194" s="62">
        <f t="shared" si="76"/>
        <v>1.0000000000000004</v>
      </c>
      <c r="AX194" s="65">
        <v>1</v>
      </c>
      <c r="AY194" s="62">
        <f t="shared" si="77"/>
        <v>1.0000000000000004</v>
      </c>
      <c r="AZ194" s="65">
        <v>1.0000000000000004</v>
      </c>
      <c r="BA194" s="62">
        <f t="shared" si="78"/>
        <v>1.0000000000000004</v>
      </c>
      <c r="BB194" s="65">
        <v>1</v>
      </c>
      <c r="BC194" s="62">
        <f t="shared" si="79"/>
        <v>1.0000000000000004</v>
      </c>
      <c r="BD194" s="65">
        <v>1</v>
      </c>
      <c r="BE194" s="74"/>
      <c r="BF194" s="7"/>
      <c r="BG194" s="74"/>
      <c r="BH194" s="7"/>
      <c r="BI194" s="7"/>
      <c r="BJ194" s="7"/>
      <c r="BK194" s="7"/>
      <c r="BL194" s="7"/>
      <c r="BM194" s="7"/>
      <c r="BN194" s="7"/>
      <c r="BO194" s="7"/>
      <c r="BP194" s="7"/>
      <c r="BQ194" s="7"/>
    </row>
    <row r="195" spans="1:69" ht="19.8" thickBot="1" x14ac:dyDescent="0.35">
      <c r="A195" s="16">
        <v>193</v>
      </c>
      <c r="B195" s="52">
        <v>45273</v>
      </c>
      <c r="C195" s="53" t="str">
        <f t="shared" si="80"/>
        <v>1402/09/22</v>
      </c>
      <c r="D195" s="54">
        <v>1</v>
      </c>
      <c r="E195" s="54">
        <v>0.84886582526762255</v>
      </c>
      <c r="F195" s="11" t="e">
        <f t="shared" si="81"/>
        <v>#N/A</v>
      </c>
      <c r="G195" s="38" t="str">
        <f t="shared" si="82"/>
        <v>تاریخ: 1402/09/22
درصد پیشرفت برنامه ای: 100%
درصد پیشرفت واقعی: 84.89%</v>
      </c>
      <c r="H195" s="55">
        <v>1</v>
      </c>
      <c r="I195" s="56">
        <f t="shared" si="92"/>
        <v>0.86700000000000055</v>
      </c>
      <c r="J195" s="56">
        <v>1.0000000000000004</v>
      </c>
      <c r="K195" s="56">
        <f t="shared" si="93"/>
        <v>1.0000000000000004</v>
      </c>
      <c r="L195" s="56">
        <f t="shared" si="95"/>
        <v>1.0000000000000004</v>
      </c>
      <c r="M195" s="56">
        <f t="shared" si="95"/>
        <v>1.0000000000000004</v>
      </c>
      <c r="N195" s="57">
        <f t="shared" si="94"/>
        <v>1.0000000000000004</v>
      </c>
      <c r="O195" s="16">
        <f t="shared" si="88"/>
        <v>11</v>
      </c>
      <c r="P195" s="17">
        <v>10</v>
      </c>
      <c r="Q195" s="17">
        <v>10</v>
      </c>
      <c r="R195" s="17">
        <v>12</v>
      </c>
      <c r="S195" s="17">
        <v>11</v>
      </c>
      <c r="T195" s="17">
        <v>10</v>
      </c>
      <c r="U195" s="58">
        <v>9</v>
      </c>
      <c r="V195" s="16">
        <f t="shared" si="83"/>
        <v>14</v>
      </c>
      <c r="W195" s="17">
        <f t="shared" si="84"/>
        <v>14</v>
      </c>
      <c r="X195" s="17">
        <f t="shared" si="84"/>
        <v>14</v>
      </c>
      <c r="Y195" s="17">
        <f t="shared" si="85"/>
        <v>13</v>
      </c>
      <c r="Z195" s="17">
        <f t="shared" ref="Z195:Z258" si="96">S195+3</f>
        <v>14</v>
      </c>
      <c r="AA195" s="17">
        <f t="shared" si="86"/>
        <v>11</v>
      </c>
      <c r="AB195" s="58">
        <f t="shared" si="87"/>
        <v>14</v>
      </c>
      <c r="AC195" s="67"/>
      <c r="AD195" s="67"/>
      <c r="AE195" s="67"/>
      <c r="AF195" s="67"/>
      <c r="AG195" s="67"/>
      <c r="AH195" s="67"/>
      <c r="AI195" s="73"/>
      <c r="AJ195" s="74"/>
      <c r="AK195" s="74"/>
      <c r="AL195" s="62">
        <v>0.4</v>
      </c>
      <c r="AM195" s="63">
        <v>0.69</v>
      </c>
      <c r="AN195" s="63">
        <v>0.5</v>
      </c>
      <c r="AO195" s="63">
        <v>0.2</v>
      </c>
      <c r="AP195" s="64">
        <v>0.4</v>
      </c>
      <c r="AQ195" s="62">
        <f t="shared" ref="AQ195:AQ262" si="97">H195</f>
        <v>1</v>
      </c>
      <c r="AR195" s="65">
        <v>1</v>
      </c>
      <c r="AS195" s="62">
        <f t="shared" ref="AS195:AS262" si="98">I195</f>
        <v>0.86700000000000055</v>
      </c>
      <c r="AT195" s="65">
        <v>1</v>
      </c>
      <c r="AU195" s="62">
        <f t="shared" ref="AU195:AU262" si="99">J195</f>
        <v>1.0000000000000004</v>
      </c>
      <c r="AV195" s="65">
        <v>1.0000000000000004</v>
      </c>
      <c r="AW195" s="62">
        <f t="shared" ref="AW195:AW262" si="100">K195</f>
        <v>1.0000000000000004</v>
      </c>
      <c r="AX195" s="65">
        <v>1</v>
      </c>
      <c r="AY195" s="62">
        <f t="shared" ref="AY195:AY262" si="101">L195</f>
        <v>1.0000000000000004</v>
      </c>
      <c r="AZ195" s="65">
        <v>1.0000000000000004</v>
      </c>
      <c r="BA195" s="62">
        <f t="shared" ref="BA195:BA262" si="102">M195</f>
        <v>1.0000000000000004</v>
      </c>
      <c r="BB195" s="65">
        <v>1</v>
      </c>
      <c r="BC195" s="62">
        <f t="shared" ref="BC195:BC262" si="103">N195</f>
        <v>1.0000000000000004</v>
      </c>
      <c r="BD195" s="65">
        <v>1</v>
      </c>
      <c r="BE195" s="74"/>
      <c r="BF195" s="7"/>
      <c r="BG195" s="74"/>
      <c r="BH195" s="7"/>
      <c r="BI195" s="7"/>
      <c r="BJ195" s="7"/>
      <c r="BK195" s="7"/>
      <c r="BL195" s="7"/>
      <c r="BM195" s="7"/>
      <c r="BN195" s="7"/>
      <c r="BO195" s="7"/>
      <c r="BP195" s="7"/>
      <c r="BQ195" s="7"/>
    </row>
    <row r="196" spans="1:69" ht="19.8" thickBot="1" x14ac:dyDescent="0.35">
      <c r="A196" s="16">
        <v>194</v>
      </c>
      <c r="B196" s="52">
        <v>45280</v>
      </c>
      <c r="C196" s="53" t="str">
        <f t="shared" ref="C196:C259" si="104">TEXT(B196,"[$-fa-IR,16]yyyy/mm/dd")</f>
        <v>1402/09/29</v>
      </c>
      <c r="D196" s="54">
        <v>1</v>
      </c>
      <c r="E196" s="54">
        <v>0.84886582526762255</v>
      </c>
      <c r="F196" s="11" t="e">
        <f t="shared" ref="F196:F259" si="105">IF($F$2=A196,E196,NA())</f>
        <v>#N/A</v>
      </c>
      <c r="G196" s="38" t="str">
        <f t="shared" ref="G196:G259" si="106">"تاریخ: "&amp;C196&amp;CHAR(10)&amp;"درصد پیشرفت برنامه ای: "&amp;ROUND(D196*100,2)&amp;"%"&amp;CHAR(10)&amp;"درصد پیشرفت واقعی: "&amp;ROUND(E196*100,2)&amp;"%"</f>
        <v>تاریخ: 1402/09/29
درصد پیشرفت برنامه ای: 100%
درصد پیشرفت واقعی: 84.89%</v>
      </c>
      <c r="H196" s="55">
        <v>1</v>
      </c>
      <c r="I196" s="56">
        <f t="shared" si="92"/>
        <v>0.86900000000000055</v>
      </c>
      <c r="J196" s="56">
        <v>1.0000000000000004</v>
      </c>
      <c r="K196" s="56">
        <f t="shared" si="93"/>
        <v>1.0000000000000004</v>
      </c>
      <c r="L196" s="56">
        <f t="shared" si="95"/>
        <v>1.0000000000000004</v>
      </c>
      <c r="M196" s="56">
        <f t="shared" si="95"/>
        <v>1.0000000000000004</v>
      </c>
      <c r="N196" s="57">
        <f t="shared" si="94"/>
        <v>1.0000000000000004</v>
      </c>
      <c r="O196" s="16">
        <f t="shared" si="88"/>
        <v>9</v>
      </c>
      <c r="P196" s="17">
        <v>9</v>
      </c>
      <c r="Q196" s="17">
        <v>9</v>
      </c>
      <c r="R196" s="17">
        <v>8</v>
      </c>
      <c r="S196" s="17">
        <v>10</v>
      </c>
      <c r="T196" s="17">
        <v>11</v>
      </c>
      <c r="U196" s="58">
        <v>10</v>
      </c>
      <c r="V196" s="16">
        <f t="shared" ref="V196:V259" si="107">O196+3</f>
        <v>12</v>
      </c>
      <c r="W196" s="17">
        <f t="shared" ref="W196:X259" si="108">P196+4</f>
        <v>13</v>
      </c>
      <c r="X196" s="17">
        <f t="shared" si="108"/>
        <v>13</v>
      </c>
      <c r="Y196" s="17">
        <f t="shared" ref="Y196:Y259" si="109">R196+1</f>
        <v>9</v>
      </c>
      <c r="Z196" s="17">
        <f t="shared" si="96"/>
        <v>13</v>
      </c>
      <c r="AA196" s="17">
        <f t="shared" ref="AA196:AA259" si="110">T196+1</f>
        <v>12</v>
      </c>
      <c r="AB196" s="58">
        <f t="shared" ref="AB196:AB259" si="111">U196+5</f>
        <v>15</v>
      </c>
      <c r="AC196" s="67"/>
      <c r="AD196" s="67"/>
      <c r="AE196" s="67"/>
      <c r="AF196" s="67"/>
      <c r="AG196" s="67"/>
      <c r="AH196" s="67"/>
      <c r="AI196" s="73"/>
      <c r="AJ196" s="74"/>
      <c r="AK196" s="74"/>
      <c r="AL196" s="62">
        <v>0.35</v>
      </c>
      <c r="AM196" s="63">
        <v>0.4</v>
      </c>
      <c r="AN196" s="63">
        <v>0.9</v>
      </c>
      <c r="AO196" s="63">
        <v>0.8</v>
      </c>
      <c r="AP196" s="64">
        <v>0.2</v>
      </c>
      <c r="AQ196" s="62">
        <f t="shared" si="97"/>
        <v>1</v>
      </c>
      <c r="AR196" s="65">
        <v>1</v>
      </c>
      <c r="AS196" s="62">
        <f t="shared" si="98"/>
        <v>0.86900000000000055</v>
      </c>
      <c r="AT196" s="65">
        <v>1</v>
      </c>
      <c r="AU196" s="62">
        <f t="shared" si="99"/>
        <v>1.0000000000000004</v>
      </c>
      <c r="AV196" s="65">
        <v>1.0000000000000004</v>
      </c>
      <c r="AW196" s="62">
        <f t="shared" si="100"/>
        <v>1.0000000000000004</v>
      </c>
      <c r="AX196" s="65">
        <v>1</v>
      </c>
      <c r="AY196" s="62">
        <f t="shared" si="101"/>
        <v>1.0000000000000004</v>
      </c>
      <c r="AZ196" s="65">
        <v>1.0000000000000004</v>
      </c>
      <c r="BA196" s="62">
        <f t="shared" si="102"/>
        <v>1.0000000000000004</v>
      </c>
      <c r="BB196" s="65">
        <v>1</v>
      </c>
      <c r="BC196" s="62">
        <f t="shared" si="103"/>
        <v>1.0000000000000004</v>
      </c>
      <c r="BD196" s="65">
        <v>1</v>
      </c>
      <c r="BE196" s="74"/>
      <c r="BF196" s="7"/>
      <c r="BG196" s="74"/>
      <c r="BH196" s="7"/>
      <c r="BI196" s="7"/>
      <c r="BJ196" s="7"/>
      <c r="BK196" s="7"/>
      <c r="BL196" s="7"/>
      <c r="BM196" s="7"/>
      <c r="BN196" s="7"/>
      <c r="BO196" s="7"/>
      <c r="BP196" s="7"/>
      <c r="BQ196" s="7"/>
    </row>
    <row r="197" spans="1:69" ht="19.8" thickBot="1" x14ac:dyDescent="0.35">
      <c r="A197" s="16">
        <v>195</v>
      </c>
      <c r="B197" s="52">
        <v>45287</v>
      </c>
      <c r="C197" s="53" t="str">
        <f t="shared" si="104"/>
        <v>1402/10/06</v>
      </c>
      <c r="D197" s="54">
        <v>1</v>
      </c>
      <c r="E197" s="54">
        <v>0.84886582526762255</v>
      </c>
      <c r="F197" s="11" t="e">
        <f t="shared" si="105"/>
        <v>#N/A</v>
      </c>
      <c r="G197" s="38" t="str">
        <f t="shared" si="106"/>
        <v>تاریخ: 1402/10/06
درصد پیشرفت برنامه ای: 100%
درصد پیشرفت واقعی: 84.89%</v>
      </c>
      <c r="H197" s="55">
        <v>1</v>
      </c>
      <c r="I197" s="56">
        <f t="shared" si="92"/>
        <v>0.87100000000000055</v>
      </c>
      <c r="J197" s="56">
        <v>1.0000000000000004</v>
      </c>
      <c r="K197" s="56">
        <f t="shared" si="93"/>
        <v>1.0000000000000004</v>
      </c>
      <c r="L197" s="56">
        <f t="shared" si="95"/>
        <v>1.0000000000000004</v>
      </c>
      <c r="M197" s="56">
        <f t="shared" si="95"/>
        <v>1.0000000000000004</v>
      </c>
      <c r="N197" s="57">
        <f t="shared" si="94"/>
        <v>1.0000000000000004</v>
      </c>
      <c r="O197" s="16">
        <f t="shared" ref="O197:O260" si="112">U196</f>
        <v>10</v>
      </c>
      <c r="P197" s="17">
        <v>10</v>
      </c>
      <c r="Q197" s="17">
        <v>9</v>
      </c>
      <c r="R197" s="17">
        <v>8</v>
      </c>
      <c r="S197" s="17">
        <v>7</v>
      </c>
      <c r="T197" s="17">
        <v>5</v>
      </c>
      <c r="U197" s="58">
        <v>4</v>
      </c>
      <c r="V197" s="16">
        <f t="shared" si="107"/>
        <v>13</v>
      </c>
      <c r="W197" s="17">
        <f t="shared" si="108"/>
        <v>14</v>
      </c>
      <c r="X197" s="17">
        <f t="shared" si="108"/>
        <v>13</v>
      </c>
      <c r="Y197" s="17">
        <f t="shared" si="109"/>
        <v>9</v>
      </c>
      <c r="Z197" s="17">
        <f t="shared" si="96"/>
        <v>10</v>
      </c>
      <c r="AA197" s="17">
        <f t="shared" si="110"/>
        <v>6</v>
      </c>
      <c r="AB197" s="58">
        <f t="shared" si="111"/>
        <v>9</v>
      </c>
      <c r="AC197" s="67"/>
      <c r="AD197" s="67"/>
      <c r="AE197" s="67"/>
      <c r="AF197" s="67"/>
      <c r="AG197" s="67"/>
      <c r="AH197" s="67"/>
      <c r="AI197" s="73"/>
      <c r="AJ197" s="74"/>
      <c r="AK197" s="74"/>
      <c r="AL197" s="62">
        <v>0.85</v>
      </c>
      <c r="AM197" s="63">
        <v>0.8</v>
      </c>
      <c r="AN197" s="63">
        <v>0.5</v>
      </c>
      <c r="AO197" s="63">
        <v>0.6</v>
      </c>
      <c r="AP197" s="64">
        <v>0.6</v>
      </c>
      <c r="AQ197" s="62">
        <f t="shared" si="97"/>
        <v>1</v>
      </c>
      <c r="AR197" s="65">
        <v>1</v>
      </c>
      <c r="AS197" s="62">
        <f t="shared" si="98"/>
        <v>0.87100000000000055</v>
      </c>
      <c r="AT197" s="65">
        <v>1</v>
      </c>
      <c r="AU197" s="62">
        <f t="shared" si="99"/>
        <v>1.0000000000000004</v>
      </c>
      <c r="AV197" s="65">
        <v>1.0000000000000004</v>
      </c>
      <c r="AW197" s="62">
        <f t="shared" si="100"/>
        <v>1.0000000000000004</v>
      </c>
      <c r="AX197" s="65">
        <v>1</v>
      </c>
      <c r="AY197" s="62">
        <f t="shared" si="101"/>
        <v>1.0000000000000004</v>
      </c>
      <c r="AZ197" s="65">
        <v>1.0000000000000004</v>
      </c>
      <c r="BA197" s="62">
        <f t="shared" si="102"/>
        <v>1.0000000000000004</v>
      </c>
      <c r="BB197" s="65">
        <v>1</v>
      </c>
      <c r="BC197" s="62">
        <f t="shared" si="103"/>
        <v>1.0000000000000004</v>
      </c>
      <c r="BD197" s="65">
        <v>1</v>
      </c>
      <c r="BE197" s="74"/>
      <c r="BF197" s="7"/>
      <c r="BG197" s="74"/>
      <c r="BH197" s="7"/>
      <c r="BI197" s="7"/>
      <c r="BJ197" s="7"/>
      <c r="BK197" s="7"/>
      <c r="BL197" s="7"/>
      <c r="BM197" s="7"/>
      <c r="BN197" s="7"/>
      <c r="BO197" s="7"/>
      <c r="BP197" s="7"/>
      <c r="BQ197" s="7"/>
    </row>
    <row r="198" spans="1:69" ht="19.8" thickBot="1" x14ac:dyDescent="0.35">
      <c r="A198" s="16">
        <v>196</v>
      </c>
      <c r="B198" s="52">
        <v>45294</v>
      </c>
      <c r="C198" s="53" t="str">
        <f t="shared" si="104"/>
        <v>1402/10/13</v>
      </c>
      <c r="D198" s="54">
        <v>1</v>
      </c>
      <c r="E198" s="54">
        <v>0.85166708249100576</v>
      </c>
      <c r="F198" s="11" t="e">
        <f t="shared" si="105"/>
        <v>#N/A</v>
      </c>
      <c r="G198" s="38" t="str">
        <f t="shared" si="106"/>
        <v>تاریخ: 1402/10/13
درصد پیشرفت برنامه ای: 100%
درصد پیشرفت واقعی: 85.17%</v>
      </c>
      <c r="H198" s="55">
        <v>1</v>
      </c>
      <c r="I198" s="56">
        <f t="shared" si="92"/>
        <v>0.87300000000000055</v>
      </c>
      <c r="J198" s="56">
        <v>1.0000000000000004</v>
      </c>
      <c r="K198" s="56">
        <f t="shared" si="93"/>
        <v>1.0000000000000004</v>
      </c>
      <c r="L198" s="56">
        <f t="shared" si="95"/>
        <v>1.0000000000000004</v>
      </c>
      <c r="M198" s="56">
        <f t="shared" si="95"/>
        <v>1.0000000000000004</v>
      </c>
      <c r="N198" s="57">
        <f t="shared" si="94"/>
        <v>1.0000000000000004</v>
      </c>
      <c r="O198" s="16">
        <f t="shared" si="112"/>
        <v>4</v>
      </c>
      <c r="P198" s="17">
        <v>4</v>
      </c>
      <c r="Q198" s="17">
        <v>5</v>
      </c>
      <c r="R198" s="17">
        <v>5</v>
      </c>
      <c r="S198" s="17">
        <v>6</v>
      </c>
      <c r="T198" s="17">
        <v>5</v>
      </c>
      <c r="U198" s="58">
        <v>6</v>
      </c>
      <c r="V198" s="16">
        <f t="shared" si="107"/>
        <v>7</v>
      </c>
      <c r="W198" s="17">
        <f t="shared" si="108"/>
        <v>8</v>
      </c>
      <c r="X198" s="17">
        <f t="shared" si="108"/>
        <v>9</v>
      </c>
      <c r="Y198" s="17">
        <f t="shared" si="109"/>
        <v>6</v>
      </c>
      <c r="Z198" s="17">
        <f t="shared" si="96"/>
        <v>9</v>
      </c>
      <c r="AA198" s="17">
        <f t="shared" si="110"/>
        <v>6</v>
      </c>
      <c r="AB198" s="58">
        <f t="shared" si="111"/>
        <v>11</v>
      </c>
      <c r="AC198" s="67"/>
      <c r="AD198" s="67"/>
      <c r="AE198" s="67"/>
      <c r="AF198" s="67"/>
      <c r="AG198" s="67"/>
      <c r="AH198" s="67"/>
      <c r="AI198" s="73"/>
      <c r="AJ198" s="74"/>
      <c r="AK198" s="74"/>
      <c r="AL198" s="62">
        <v>0.9</v>
      </c>
      <c r="AM198" s="63">
        <v>0.95</v>
      </c>
      <c r="AN198" s="63">
        <v>0.8</v>
      </c>
      <c r="AO198" s="63">
        <v>0.7</v>
      </c>
      <c r="AP198" s="64">
        <v>0.1</v>
      </c>
      <c r="AQ198" s="62">
        <f t="shared" si="97"/>
        <v>1</v>
      </c>
      <c r="AR198" s="65">
        <v>1</v>
      </c>
      <c r="AS198" s="62">
        <f t="shared" si="98"/>
        <v>0.87300000000000055</v>
      </c>
      <c r="AT198" s="65">
        <v>1</v>
      </c>
      <c r="AU198" s="62">
        <f t="shared" si="99"/>
        <v>1.0000000000000004</v>
      </c>
      <c r="AV198" s="65">
        <v>1.0000000000000004</v>
      </c>
      <c r="AW198" s="62">
        <f t="shared" si="100"/>
        <v>1.0000000000000004</v>
      </c>
      <c r="AX198" s="65">
        <v>1</v>
      </c>
      <c r="AY198" s="62">
        <f t="shared" si="101"/>
        <v>1.0000000000000004</v>
      </c>
      <c r="AZ198" s="65">
        <v>1.0000000000000004</v>
      </c>
      <c r="BA198" s="62">
        <f t="shared" si="102"/>
        <v>1.0000000000000004</v>
      </c>
      <c r="BB198" s="65">
        <v>1</v>
      </c>
      <c r="BC198" s="62">
        <f t="shared" si="103"/>
        <v>1.0000000000000004</v>
      </c>
      <c r="BD198" s="65">
        <v>1</v>
      </c>
      <c r="BE198" s="74"/>
      <c r="BF198" s="7"/>
      <c r="BG198" s="74"/>
      <c r="BH198" s="7"/>
      <c r="BI198" s="7"/>
      <c r="BJ198" s="7"/>
      <c r="BK198" s="7"/>
      <c r="BL198" s="7"/>
      <c r="BM198" s="7"/>
      <c r="BN198" s="7"/>
      <c r="BO198" s="7"/>
      <c r="BP198" s="7"/>
      <c r="BQ198" s="7"/>
    </row>
    <row r="199" spans="1:69" ht="19.8" thickBot="1" x14ac:dyDescent="0.35">
      <c r="A199" s="16">
        <v>197</v>
      </c>
      <c r="B199" s="52">
        <v>45301</v>
      </c>
      <c r="C199" s="53" t="str">
        <f t="shared" si="104"/>
        <v>1402/10/20</v>
      </c>
      <c r="D199" s="54">
        <v>1</v>
      </c>
      <c r="E199" s="54">
        <v>0.85447758386322603</v>
      </c>
      <c r="F199" s="11" t="e">
        <f t="shared" si="105"/>
        <v>#N/A</v>
      </c>
      <c r="G199" s="38" t="str">
        <f t="shared" si="106"/>
        <v>تاریخ: 1402/10/20
درصد پیشرفت برنامه ای: 100%
درصد پیشرفت واقعی: 85.45%</v>
      </c>
      <c r="H199" s="55">
        <v>1</v>
      </c>
      <c r="I199" s="56">
        <f t="shared" si="92"/>
        <v>0.87500000000000056</v>
      </c>
      <c r="J199" s="56">
        <v>1.0000000000000004</v>
      </c>
      <c r="K199" s="56">
        <f t="shared" si="93"/>
        <v>1.0000000000000004</v>
      </c>
      <c r="L199" s="56">
        <f t="shared" si="95"/>
        <v>1.0000000000000004</v>
      </c>
      <c r="M199" s="56">
        <f t="shared" si="95"/>
        <v>1.0000000000000004</v>
      </c>
      <c r="N199" s="57">
        <f t="shared" si="94"/>
        <v>1.0000000000000004</v>
      </c>
      <c r="O199" s="16">
        <f t="shared" si="112"/>
        <v>6</v>
      </c>
      <c r="P199" s="17">
        <v>6</v>
      </c>
      <c r="Q199" s="17">
        <v>5</v>
      </c>
      <c r="R199" s="17">
        <v>4</v>
      </c>
      <c r="S199" s="17">
        <v>6</v>
      </c>
      <c r="T199" s="17">
        <v>5</v>
      </c>
      <c r="U199" s="58">
        <v>4</v>
      </c>
      <c r="V199" s="16">
        <f t="shared" si="107"/>
        <v>9</v>
      </c>
      <c r="W199" s="17">
        <f t="shared" si="108"/>
        <v>10</v>
      </c>
      <c r="X199" s="17">
        <f t="shared" si="108"/>
        <v>9</v>
      </c>
      <c r="Y199" s="17">
        <f t="shared" si="109"/>
        <v>5</v>
      </c>
      <c r="Z199" s="17">
        <f t="shared" si="96"/>
        <v>9</v>
      </c>
      <c r="AA199" s="17">
        <f t="shared" si="110"/>
        <v>6</v>
      </c>
      <c r="AB199" s="58">
        <f t="shared" si="111"/>
        <v>9</v>
      </c>
      <c r="AC199" s="67"/>
      <c r="AD199" s="67"/>
      <c r="AE199" s="67"/>
      <c r="AF199" s="67"/>
      <c r="AG199" s="67"/>
      <c r="AH199" s="67"/>
      <c r="AI199" s="73"/>
      <c r="AJ199" s="74"/>
      <c r="AK199" s="74"/>
      <c r="AL199" s="62">
        <v>0.7</v>
      </c>
      <c r="AM199" s="63">
        <v>0.68</v>
      </c>
      <c r="AN199" s="63">
        <v>0.5</v>
      </c>
      <c r="AO199" s="63">
        <v>0.9</v>
      </c>
      <c r="AP199" s="64">
        <v>0.55000000000000004</v>
      </c>
      <c r="AQ199" s="62">
        <f t="shared" si="97"/>
        <v>1</v>
      </c>
      <c r="AR199" s="65">
        <v>1</v>
      </c>
      <c r="AS199" s="62">
        <f t="shared" si="98"/>
        <v>0.87500000000000056</v>
      </c>
      <c r="AT199" s="65">
        <v>1</v>
      </c>
      <c r="AU199" s="62">
        <f t="shared" si="99"/>
        <v>1.0000000000000004</v>
      </c>
      <c r="AV199" s="65">
        <v>1.0000000000000004</v>
      </c>
      <c r="AW199" s="62">
        <f t="shared" si="100"/>
        <v>1.0000000000000004</v>
      </c>
      <c r="AX199" s="65">
        <v>1</v>
      </c>
      <c r="AY199" s="62">
        <f t="shared" si="101"/>
        <v>1.0000000000000004</v>
      </c>
      <c r="AZ199" s="65">
        <v>1.0000000000000004</v>
      </c>
      <c r="BA199" s="62">
        <f t="shared" si="102"/>
        <v>1.0000000000000004</v>
      </c>
      <c r="BB199" s="65">
        <v>1</v>
      </c>
      <c r="BC199" s="62">
        <f t="shared" si="103"/>
        <v>1.0000000000000004</v>
      </c>
      <c r="BD199" s="65">
        <v>1</v>
      </c>
      <c r="BE199" s="74"/>
      <c r="BF199" s="7"/>
      <c r="BG199" s="74"/>
      <c r="BH199" s="7"/>
      <c r="BI199" s="7"/>
      <c r="BJ199" s="7"/>
      <c r="BK199" s="7"/>
      <c r="BL199" s="7"/>
      <c r="BM199" s="7"/>
      <c r="BN199" s="7"/>
      <c r="BO199" s="7"/>
      <c r="BP199" s="7"/>
      <c r="BQ199" s="7"/>
    </row>
    <row r="200" spans="1:69" ht="19.8" thickBot="1" x14ac:dyDescent="0.35">
      <c r="A200" s="16">
        <v>198</v>
      </c>
      <c r="B200" s="52">
        <v>45308</v>
      </c>
      <c r="C200" s="53" t="str">
        <f t="shared" si="104"/>
        <v>1402/10/27</v>
      </c>
      <c r="D200" s="54">
        <v>1</v>
      </c>
      <c r="E200" s="54">
        <v>0.85729735988997469</v>
      </c>
      <c r="F200" s="11" t="e">
        <f t="shared" si="105"/>
        <v>#N/A</v>
      </c>
      <c r="G200" s="38" t="str">
        <f t="shared" si="106"/>
        <v>تاریخ: 1402/10/27
درصد پیشرفت برنامه ای: 100%
درصد پیشرفت واقعی: 85.73%</v>
      </c>
      <c r="H200" s="55">
        <v>1</v>
      </c>
      <c r="I200" s="56">
        <f t="shared" si="92"/>
        <v>0.87700000000000056</v>
      </c>
      <c r="J200" s="56">
        <v>1.0000000000000004</v>
      </c>
      <c r="K200" s="56">
        <f t="shared" si="93"/>
        <v>1.0000000000000004</v>
      </c>
      <c r="L200" s="56">
        <f t="shared" si="95"/>
        <v>1.0000000000000004</v>
      </c>
      <c r="M200" s="56">
        <f t="shared" si="95"/>
        <v>1.0000000000000004</v>
      </c>
      <c r="N200" s="57">
        <f t="shared" si="94"/>
        <v>1.0000000000000004</v>
      </c>
      <c r="O200" s="16">
        <f t="shared" si="112"/>
        <v>4</v>
      </c>
      <c r="P200" s="17">
        <v>4</v>
      </c>
      <c r="Q200" s="17">
        <v>5</v>
      </c>
      <c r="R200" s="17">
        <v>5</v>
      </c>
      <c r="S200" s="17">
        <v>6</v>
      </c>
      <c r="T200" s="17">
        <v>5</v>
      </c>
      <c r="U200" s="58">
        <v>6</v>
      </c>
      <c r="V200" s="16">
        <f t="shared" si="107"/>
        <v>7</v>
      </c>
      <c r="W200" s="17">
        <f t="shared" si="108"/>
        <v>8</v>
      </c>
      <c r="X200" s="17">
        <f t="shared" si="108"/>
        <v>9</v>
      </c>
      <c r="Y200" s="17">
        <f t="shared" si="109"/>
        <v>6</v>
      </c>
      <c r="Z200" s="17">
        <f t="shared" si="96"/>
        <v>9</v>
      </c>
      <c r="AA200" s="17">
        <f t="shared" si="110"/>
        <v>6</v>
      </c>
      <c r="AB200" s="58">
        <f t="shared" si="111"/>
        <v>11</v>
      </c>
      <c r="AC200" s="67"/>
      <c r="AD200" s="67"/>
      <c r="AE200" s="67"/>
      <c r="AF200" s="67"/>
      <c r="AG200" s="67"/>
      <c r="AH200" s="67"/>
      <c r="AI200" s="73"/>
      <c r="AJ200" s="74"/>
      <c r="AK200" s="74"/>
      <c r="AL200" s="62">
        <v>0.6</v>
      </c>
      <c r="AM200" s="63">
        <v>0.5</v>
      </c>
      <c r="AN200" s="63">
        <v>0.66</v>
      </c>
      <c r="AO200" s="63">
        <v>0.5</v>
      </c>
      <c r="AP200" s="64">
        <v>0.9</v>
      </c>
      <c r="AQ200" s="62">
        <f t="shared" si="97"/>
        <v>1</v>
      </c>
      <c r="AR200" s="65">
        <v>1</v>
      </c>
      <c r="AS200" s="62">
        <f t="shared" si="98"/>
        <v>0.87700000000000056</v>
      </c>
      <c r="AT200" s="65">
        <v>1</v>
      </c>
      <c r="AU200" s="62">
        <f t="shared" si="99"/>
        <v>1.0000000000000004</v>
      </c>
      <c r="AV200" s="65">
        <v>1.0000000000000004</v>
      </c>
      <c r="AW200" s="62">
        <f t="shared" si="100"/>
        <v>1.0000000000000004</v>
      </c>
      <c r="AX200" s="65">
        <v>1</v>
      </c>
      <c r="AY200" s="62">
        <f t="shared" si="101"/>
        <v>1.0000000000000004</v>
      </c>
      <c r="AZ200" s="65">
        <v>1.0000000000000004</v>
      </c>
      <c r="BA200" s="62">
        <f t="shared" si="102"/>
        <v>1.0000000000000004</v>
      </c>
      <c r="BB200" s="65">
        <v>1</v>
      </c>
      <c r="BC200" s="62">
        <f t="shared" si="103"/>
        <v>1.0000000000000004</v>
      </c>
      <c r="BD200" s="65">
        <v>1</v>
      </c>
      <c r="BE200" s="74"/>
      <c r="BF200" s="7"/>
      <c r="BG200" s="74"/>
      <c r="BH200" s="7"/>
      <c r="BI200" s="7"/>
      <c r="BJ200" s="7"/>
      <c r="BK200" s="7"/>
      <c r="BL200" s="7"/>
      <c r="BM200" s="7"/>
      <c r="BN200" s="7"/>
      <c r="BO200" s="7"/>
      <c r="BP200" s="7"/>
      <c r="BQ200" s="7"/>
    </row>
    <row r="201" spans="1:69" ht="19.8" thickBot="1" x14ac:dyDescent="0.35">
      <c r="A201" s="16">
        <v>199</v>
      </c>
      <c r="B201" s="52">
        <v>45315</v>
      </c>
      <c r="C201" s="53" t="str">
        <f t="shared" si="104"/>
        <v>1402/11/04</v>
      </c>
      <c r="D201" s="54">
        <v>1</v>
      </c>
      <c r="E201" s="54">
        <v>0.86012644117761161</v>
      </c>
      <c r="F201" s="11" t="e">
        <f t="shared" si="105"/>
        <v>#N/A</v>
      </c>
      <c r="G201" s="38" t="str">
        <f t="shared" si="106"/>
        <v>تاریخ: 1402/11/04
درصد پیشرفت برنامه ای: 100%
درصد پیشرفت واقعی: 86.01%</v>
      </c>
      <c r="H201" s="55">
        <v>1</v>
      </c>
      <c r="I201" s="56">
        <f t="shared" si="92"/>
        <v>0.87900000000000056</v>
      </c>
      <c r="J201" s="56">
        <v>1.0000000000000004</v>
      </c>
      <c r="K201" s="56">
        <f t="shared" si="93"/>
        <v>1.0000000000000004</v>
      </c>
      <c r="L201" s="56">
        <f t="shared" si="95"/>
        <v>1.0000000000000004</v>
      </c>
      <c r="M201" s="56">
        <f t="shared" si="95"/>
        <v>1.0000000000000004</v>
      </c>
      <c r="N201" s="57">
        <f t="shared" si="94"/>
        <v>1.0000000000000004</v>
      </c>
      <c r="O201" s="16">
        <f t="shared" si="112"/>
        <v>6</v>
      </c>
      <c r="P201" s="17">
        <v>6</v>
      </c>
      <c r="Q201" s="17">
        <v>5</v>
      </c>
      <c r="R201" s="17">
        <v>4</v>
      </c>
      <c r="S201" s="17">
        <v>6</v>
      </c>
      <c r="T201" s="17">
        <v>5</v>
      </c>
      <c r="U201" s="58">
        <v>4</v>
      </c>
      <c r="V201" s="16">
        <f t="shared" si="107"/>
        <v>9</v>
      </c>
      <c r="W201" s="17">
        <f t="shared" si="108"/>
        <v>10</v>
      </c>
      <c r="X201" s="17">
        <f t="shared" si="108"/>
        <v>9</v>
      </c>
      <c r="Y201" s="17">
        <f t="shared" si="109"/>
        <v>5</v>
      </c>
      <c r="Z201" s="17">
        <f t="shared" si="96"/>
        <v>9</v>
      </c>
      <c r="AA201" s="17">
        <f t="shared" si="110"/>
        <v>6</v>
      </c>
      <c r="AB201" s="58">
        <f t="shared" si="111"/>
        <v>9</v>
      </c>
      <c r="AC201" s="67"/>
      <c r="AD201" s="67"/>
      <c r="AE201" s="67"/>
      <c r="AF201" s="67"/>
      <c r="AG201" s="67"/>
      <c r="AH201" s="67"/>
      <c r="AI201" s="73"/>
      <c r="AJ201" s="74"/>
      <c r="AK201" s="74"/>
      <c r="AL201" s="62">
        <v>0.55000000000000004</v>
      </c>
      <c r="AM201" s="63">
        <v>0.62</v>
      </c>
      <c r="AN201" s="63">
        <v>0.78</v>
      </c>
      <c r="AO201" s="63">
        <v>0.42</v>
      </c>
      <c r="AP201" s="64">
        <v>0.8</v>
      </c>
      <c r="AQ201" s="62">
        <f t="shared" si="97"/>
        <v>1</v>
      </c>
      <c r="AR201" s="65">
        <v>1</v>
      </c>
      <c r="AS201" s="62">
        <f t="shared" si="98"/>
        <v>0.87900000000000056</v>
      </c>
      <c r="AT201" s="65">
        <v>1</v>
      </c>
      <c r="AU201" s="62">
        <f t="shared" si="99"/>
        <v>1.0000000000000004</v>
      </c>
      <c r="AV201" s="65">
        <v>1.0000000000000004</v>
      </c>
      <c r="AW201" s="62">
        <f t="shared" si="100"/>
        <v>1.0000000000000004</v>
      </c>
      <c r="AX201" s="65">
        <v>1</v>
      </c>
      <c r="AY201" s="62">
        <f t="shared" si="101"/>
        <v>1.0000000000000004</v>
      </c>
      <c r="AZ201" s="65">
        <v>1.0000000000000004</v>
      </c>
      <c r="BA201" s="62">
        <f t="shared" si="102"/>
        <v>1.0000000000000004</v>
      </c>
      <c r="BB201" s="65">
        <v>1</v>
      </c>
      <c r="BC201" s="62">
        <f t="shared" si="103"/>
        <v>1.0000000000000004</v>
      </c>
      <c r="BD201" s="65">
        <v>1</v>
      </c>
      <c r="BE201" s="74"/>
      <c r="BF201" s="7"/>
      <c r="BG201" s="74"/>
      <c r="BH201" s="7"/>
      <c r="BI201" s="7"/>
      <c r="BJ201" s="7"/>
      <c r="BK201" s="7"/>
      <c r="BL201" s="7"/>
      <c r="BM201" s="7"/>
      <c r="BN201" s="7"/>
      <c r="BO201" s="7"/>
      <c r="BP201" s="7"/>
      <c r="BQ201" s="7"/>
    </row>
    <row r="202" spans="1:69" ht="19.8" thickBot="1" x14ac:dyDescent="0.35">
      <c r="A202" s="16">
        <v>200</v>
      </c>
      <c r="B202" s="52">
        <v>45322</v>
      </c>
      <c r="C202" s="53" t="str">
        <f t="shared" si="104"/>
        <v>1402/11/11</v>
      </c>
      <c r="D202" s="54">
        <v>1</v>
      </c>
      <c r="E202" s="54">
        <v>0.86296485843349768</v>
      </c>
      <c r="F202" s="11" t="e">
        <f t="shared" si="105"/>
        <v>#N/A</v>
      </c>
      <c r="G202" s="38" t="str">
        <f t="shared" si="106"/>
        <v>تاریخ: 1402/11/11
درصد پیشرفت برنامه ای: 100%
درصد پیشرفت واقعی: 86.3%</v>
      </c>
      <c r="H202" s="55">
        <v>1</v>
      </c>
      <c r="I202" s="56">
        <f t="shared" si="92"/>
        <v>0.88100000000000056</v>
      </c>
      <c r="J202" s="56">
        <v>1.0000000000000004</v>
      </c>
      <c r="K202" s="56">
        <f t="shared" si="93"/>
        <v>1.0000000000000004</v>
      </c>
      <c r="L202" s="56">
        <f t="shared" si="95"/>
        <v>1.0000000000000004</v>
      </c>
      <c r="M202" s="56">
        <f t="shared" si="95"/>
        <v>1.0000000000000004</v>
      </c>
      <c r="N202" s="57">
        <f t="shared" si="94"/>
        <v>1.0000000000000004</v>
      </c>
      <c r="O202" s="16">
        <f t="shared" si="112"/>
        <v>4</v>
      </c>
      <c r="P202" s="17">
        <v>4</v>
      </c>
      <c r="Q202" s="17">
        <v>5</v>
      </c>
      <c r="R202" s="17">
        <v>5</v>
      </c>
      <c r="S202" s="17">
        <v>6</v>
      </c>
      <c r="T202" s="17">
        <v>5</v>
      </c>
      <c r="U202" s="58">
        <v>6</v>
      </c>
      <c r="V202" s="16">
        <f t="shared" si="107"/>
        <v>7</v>
      </c>
      <c r="W202" s="17">
        <f t="shared" si="108"/>
        <v>8</v>
      </c>
      <c r="X202" s="17">
        <f t="shared" si="108"/>
        <v>9</v>
      </c>
      <c r="Y202" s="17">
        <f t="shared" si="109"/>
        <v>6</v>
      </c>
      <c r="Z202" s="17">
        <f t="shared" si="96"/>
        <v>9</v>
      </c>
      <c r="AA202" s="17">
        <f t="shared" si="110"/>
        <v>6</v>
      </c>
      <c r="AB202" s="58">
        <f t="shared" si="111"/>
        <v>11</v>
      </c>
      <c r="AC202" s="67"/>
      <c r="AD202" s="67"/>
      <c r="AE202" s="67"/>
      <c r="AF202" s="67"/>
      <c r="AG202" s="67"/>
      <c r="AH202" s="67"/>
      <c r="AI202" s="73"/>
      <c r="AJ202" s="74"/>
      <c r="AK202" s="74"/>
      <c r="AL202" s="62">
        <v>0.6</v>
      </c>
      <c r="AM202" s="63">
        <v>0.9</v>
      </c>
      <c r="AN202" s="63">
        <v>0.5</v>
      </c>
      <c r="AO202" s="63">
        <v>0.5</v>
      </c>
      <c r="AP202" s="64">
        <v>0.62</v>
      </c>
      <c r="AQ202" s="62">
        <f t="shared" si="97"/>
        <v>1</v>
      </c>
      <c r="AR202" s="65">
        <v>1</v>
      </c>
      <c r="AS202" s="62">
        <f t="shared" si="98"/>
        <v>0.88100000000000056</v>
      </c>
      <c r="AT202" s="65">
        <v>1</v>
      </c>
      <c r="AU202" s="62">
        <f t="shared" si="99"/>
        <v>1.0000000000000004</v>
      </c>
      <c r="AV202" s="65">
        <v>1.0000000000000004</v>
      </c>
      <c r="AW202" s="62">
        <f t="shared" si="100"/>
        <v>1.0000000000000004</v>
      </c>
      <c r="AX202" s="65">
        <v>1</v>
      </c>
      <c r="AY202" s="62">
        <f t="shared" si="101"/>
        <v>1.0000000000000004</v>
      </c>
      <c r="AZ202" s="65">
        <v>1.0000000000000004</v>
      </c>
      <c r="BA202" s="62">
        <f t="shared" si="102"/>
        <v>1.0000000000000004</v>
      </c>
      <c r="BB202" s="65">
        <v>1</v>
      </c>
      <c r="BC202" s="62">
        <f t="shared" si="103"/>
        <v>1.0000000000000004</v>
      </c>
      <c r="BD202" s="65">
        <v>1</v>
      </c>
      <c r="BE202" s="74"/>
      <c r="BF202" s="7"/>
      <c r="BG202" s="74"/>
      <c r="BH202" s="7"/>
      <c r="BI202" s="7"/>
      <c r="BJ202" s="7"/>
      <c r="BK202" s="7"/>
      <c r="BL202" s="7"/>
      <c r="BM202" s="7"/>
      <c r="BN202" s="7"/>
      <c r="BO202" s="7"/>
      <c r="BP202" s="7"/>
      <c r="BQ202" s="7"/>
    </row>
    <row r="203" spans="1:69" ht="19.8" thickBot="1" x14ac:dyDescent="0.35">
      <c r="A203" s="16">
        <v>201</v>
      </c>
      <c r="B203" s="52">
        <v>45329</v>
      </c>
      <c r="C203" s="53" t="str">
        <f t="shared" si="104"/>
        <v>1402/11/18</v>
      </c>
      <c r="D203" s="54">
        <v>1</v>
      </c>
      <c r="E203" s="54">
        <v>0.86581264246632827</v>
      </c>
      <c r="F203" s="11" t="e">
        <f t="shared" si="105"/>
        <v>#N/A</v>
      </c>
      <c r="G203" s="38" t="str">
        <f t="shared" si="106"/>
        <v>تاریخ: 1402/11/18
درصد پیشرفت برنامه ای: 100%
درصد پیشرفت واقعی: 86.58%</v>
      </c>
      <c r="H203" s="55">
        <v>1</v>
      </c>
      <c r="I203" s="56">
        <f t="shared" si="92"/>
        <v>0.88300000000000056</v>
      </c>
      <c r="J203" s="56">
        <v>1.0000000000000004</v>
      </c>
      <c r="K203" s="56">
        <f t="shared" si="93"/>
        <v>1.0000000000000004</v>
      </c>
      <c r="L203" s="56">
        <f t="shared" si="95"/>
        <v>1.0000000000000004</v>
      </c>
      <c r="M203" s="56">
        <f t="shared" si="95"/>
        <v>1.0000000000000004</v>
      </c>
      <c r="N203" s="57">
        <f t="shared" si="94"/>
        <v>1.0000000000000004</v>
      </c>
      <c r="O203" s="16">
        <f t="shared" si="112"/>
        <v>6</v>
      </c>
      <c r="P203" s="17">
        <v>6</v>
      </c>
      <c r="Q203" s="17">
        <v>5</v>
      </c>
      <c r="R203" s="17">
        <v>4</v>
      </c>
      <c r="S203" s="17">
        <v>6</v>
      </c>
      <c r="T203" s="17">
        <v>5</v>
      </c>
      <c r="U203" s="58">
        <v>4</v>
      </c>
      <c r="V203" s="16">
        <f t="shared" si="107"/>
        <v>9</v>
      </c>
      <c r="W203" s="17">
        <f t="shared" si="108"/>
        <v>10</v>
      </c>
      <c r="X203" s="17">
        <f t="shared" si="108"/>
        <v>9</v>
      </c>
      <c r="Y203" s="17">
        <f t="shared" si="109"/>
        <v>5</v>
      </c>
      <c r="Z203" s="17">
        <f t="shared" si="96"/>
        <v>9</v>
      </c>
      <c r="AA203" s="17">
        <f t="shared" si="110"/>
        <v>6</v>
      </c>
      <c r="AB203" s="58">
        <f t="shared" si="111"/>
        <v>9</v>
      </c>
      <c r="AC203" s="67"/>
      <c r="AD203" s="67"/>
      <c r="AE203" s="67"/>
      <c r="AF203" s="67"/>
      <c r="AG203" s="67"/>
      <c r="AH203" s="67"/>
      <c r="AI203" s="73"/>
      <c r="AJ203" s="74"/>
      <c r="AK203" s="74"/>
      <c r="AL203" s="62">
        <v>0.66</v>
      </c>
      <c r="AM203" s="63">
        <v>0.7</v>
      </c>
      <c r="AN203" s="63">
        <v>0.8</v>
      </c>
      <c r="AO203" s="63">
        <v>0.55000000000000004</v>
      </c>
      <c r="AP203" s="64">
        <v>0.5</v>
      </c>
      <c r="AQ203" s="62">
        <f t="shared" si="97"/>
        <v>1</v>
      </c>
      <c r="AR203" s="65">
        <v>1</v>
      </c>
      <c r="AS203" s="62">
        <f t="shared" si="98"/>
        <v>0.88300000000000056</v>
      </c>
      <c r="AT203" s="65">
        <v>1</v>
      </c>
      <c r="AU203" s="62">
        <f t="shared" si="99"/>
        <v>1.0000000000000004</v>
      </c>
      <c r="AV203" s="65">
        <v>1.0000000000000004</v>
      </c>
      <c r="AW203" s="62">
        <f t="shared" si="100"/>
        <v>1.0000000000000004</v>
      </c>
      <c r="AX203" s="65">
        <v>1</v>
      </c>
      <c r="AY203" s="62">
        <f t="shared" si="101"/>
        <v>1.0000000000000004</v>
      </c>
      <c r="AZ203" s="65">
        <v>1.0000000000000004</v>
      </c>
      <c r="BA203" s="62">
        <f t="shared" si="102"/>
        <v>1.0000000000000004</v>
      </c>
      <c r="BB203" s="65">
        <v>1</v>
      </c>
      <c r="BC203" s="62">
        <f t="shared" si="103"/>
        <v>1.0000000000000004</v>
      </c>
      <c r="BD203" s="65">
        <v>1</v>
      </c>
      <c r="BE203" s="74"/>
      <c r="BF203" s="7"/>
      <c r="BG203" s="74"/>
      <c r="BH203" s="7"/>
      <c r="BI203" s="7"/>
      <c r="BJ203" s="7"/>
      <c r="BK203" s="7"/>
      <c r="BL203" s="7"/>
      <c r="BM203" s="7"/>
      <c r="BN203" s="7"/>
      <c r="BO203" s="7"/>
      <c r="BP203" s="7"/>
      <c r="BQ203" s="7"/>
    </row>
    <row r="204" spans="1:69" ht="19.8" thickBot="1" x14ac:dyDescent="0.35">
      <c r="A204" s="16">
        <v>202</v>
      </c>
      <c r="B204" s="52">
        <v>45336</v>
      </c>
      <c r="C204" s="53" t="str">
        <f t="shared" si="104"/>
        <v>1402/11/25</v>
      </c>
      <c r="D204" s="54">
        <v>1</v>
      </c>
      <c r="E204" s="54">
        <v>0.86866982418646721</v>
      </c>
      <c r="F204" s="11" t="e">
        <f t="shared" si="105"/>
        <v>#N/A</v>
      </c>
      <c r="G204" s="38" t="str">
        <f t="shared" si="106"/>
        <v>تاریخ: 1402/11/25
درصد پیشرفت برنامه ای: 100%
درصد پیشرفت واقعی: 86.87%</v>
      </c>
      <c r="H204" s="55">
        <v>1</v>
      </c>
      <c r="I204" s="56">
        <f t="shared" si="92"/>
        <v>0.88500000000000056</v>
      </c>
      <c r="J204" s="56">
        <v>1.0000000000000004</v>
      </c>
      <c r="K204" s="56">
        <f t="shared" si="93"/>
        <v>1.0000000000000004</v>
      </c>
      <c r="L204" s="56">
        <f t="shared" si="95"/>
        <v>1.0000000000000004</v>
      </c>
      <c r="M204" s="56">
        <f t="shared" si="95"/>
        <v>1.0000000000000004</v>
      </c>
      <c r="N204" s="57">
        <f t="shared" si="94"/>
        <v>1.0000000000000004</v>
      </c>
      <c r="O204" s="16">
        <f t="shared" si="112"/>
        <v>4</v>
      </c>
      <c r="P204" s="17">
        <v>10</v>
      </c>
      <c r="Q204" s="17">
        <v>9</v>
      </c>
      <c r="R204" s="17">
        <v>8</v>
      </c>
      <c r="S204" s="17">
        <v>7</v>
      </c>
      <c r="T204" s="17">
        <v>5</v>
      </c>
      <c r="U204" s="58">
        <v>4</v>
      </c>
      <c r="V204" s="16">
        <f t="shared" si="107"/>
        <v>7</v>
      </c>
      <c r="W204" s="17">
        <f t="shared" si="108"/>
        <v>14</v>
      </c>
      <c r="X204" s="17">
        <f t="shared" si="108"/>
        <v>13</v>
      </c>
      <c r="Y204" s="17">
        <f t="shared" si="109"/>
        <v>9</v>
      </c>
      <c r="Z204" s="17">
        <f t="shared" si="96"/>
        <v>10</v>
      </c>
      <c r="AA204" s="17">
        <f t="shared" si="110"/>
        <v>6</v>
      </c>
      <c r="AB204" s="58">
        <f t="shared" si="111"/>
        <v>9</v>
      </c>
      <c r="AC204" s="67"/>
      <c r="AD204" s="67"/>
      <c r="AE204" s="67"/>
      <c r="AF204" s="67"/>
      <c r="AG204" s="67"/>
      <c r="AH204" s="67"/>
      <c r="AI204" s="73"/>
      <c r="AJ204" s="74"/>
      <c r="AK204" s="74"/>
      <c r="AL204" s="62">
        <v>0.55000000000000004</v>
      </c>
      <c r="AM204" s="63">
        <v>0.4</v>
      </c>
      <c r="AN204" s="63">
        <v>0.4</v>
      </c>
      <c r="AO204" s="63">
        <v>0.9</v>
      </c>
      <c r="AP204" s="64">
        <v>0.8</v>
      </c>
      <c r="AQ204" s="62">
        <f t="shared" si="97"/>
        <v>1</v>
      </c>
      <c r="AR204" s="65">
        <v>1</v>
      </c>
      <c r="AS204" s="62">
        <f t="shared" si="98"/>
        <v>0.88500000000000056</v>
      </c>
      <c r="AT204" s="65">
        <v>1</v>
      </c>
      <c r="AU204" s="62">
        <f t="shared" si="99"/>
        <v>1.0000000000000004</v>
      </c>
      <c r="AV204" s="65">
        <v>1.0000000000000004</v>
      </c>
      <c r="AW204" s="62">
        <f t="shared" si="100"/>
        <v>1.0000000000000004</v>
      </c>
      <c r="AX204" s="65">
        <v>1</v>
      </c>
      <c r="AY204" s="62">
        <f t="shared" si="101"/>
        <v>1.0000000000000004</v>
      </c>
      <c r="AZ204" s="65">
        <v>1.0000000000000004</v>
      </c>
      <c r="BA204" s="62">
        <f t="shared" si="102"/>
        <v>1.0000000000000004</v>
      </c>
      <c r="BB204" s="65">
        <v>1</v>
      </c>
      <c r="BC204" s="62">
        <f t="shared" si="103"/>
        <v>1.0000000000000004</v>
      </c>
      <c r="BD204" s="65">
        <v>1</v>
      </c>
      <c r="BE204" s="74"/>
      <c r="BF204" s="7"/>
      <c r="BG204" s="74"/>
      <c r="BH204" s="7"/>
      <c r="BI204" s="7"/>
      <c r="BJ204" s="7"/>
      <c r="BK204" s="7"/>
      <c r="BL204" s="7"/>
      <c r="BM204" s="7"/>
      <c r="BN204" s="7"/>
      <c r="BO204" s="7"/>
      <c r="BP204" s="7"/>
      <c r="BQ204" s="7"/>
    </row>
    <row r="205" spans="1:69" ht="19.8" thickBot="1" x14ac:dyDescent="0.35">
      <c r="A205" s="16">
        <v>203</v>
      </c>
      <c r="B205" s="52">
        <v>45343</v>
      </c>
      <c r="C205" s="53" t="str">
        <f t="shared" si="104"/>
        <v>1402/12/02</v>
      </c>
      <c r="D205" s="54">
        <v>1</v>
      </c>
      <c r="E205" s="54">
        <v>0.87153643460628261</v>
      </c>
      <c r="F205" s="11" t="e">
        <f t="shared" si="105"/>
        <v>#N/A</v>
      </c>
      <c r="G205" s="38" t="str">
        <f t="shared" si="106"/>
        <v>تاریخ: 1402/12/02
درصد پیشرفت برنامه ای: 100%
درصد پیشرفت واقعی: 87.15%</v>
      </c>
      <c r="H205" s="55">
        <v>1</v>
      </c>
      <c r="I205" s="56">
        <f t="shared" si="92"/>
        <v>0.88700000000000057</v>
      </c>
      <c r="J205" s="56">
        <v>1.0000000000000004</v>
      </c>
      <c r="K205" s="56">
        <f t="shared" si="93"/>
        <v>1.0000000000000004</v>
      </c>
      <c r="L205" s="56">
        <f t="shared" si="95"/>
        <v>1.0000000000000004</v>
      </c>
      <c r="M205" s="56">
        <f t="shared" si="95"/>
        <v>1.0000000000000004</v>
      </c>
      <c r="N205" s="57">
        <f t="shared" si="94"/>
        <v>1.0000000000000004</v>
      </c>
      <c r="O205" s="16">
        <f t="shared" si="112"/>
        <v>4</v>
      </c>
      <c r="P205" s="17">
        <v>10</v>
      </c>
      <c r="Q205" s="17">
        <v>9</v>
      </c>
      <c r="R205" s="17">
        <v>10</v>
      </c>
      <c r="S205" s="17">
        <v>11</v>
      </c>
      <c r="T205" s="17">
        <v>10</v>
      </c>
      <c r="U205" s="58">
        <v>11</v>
      </c>
      <c r="V205" s="16">
        <f t="shared" si="107"/>
        <v>7</v>
      </c>
      <c r="W205" s="17">
        <f t="shared" si="108"/>
        <v>14</v>
      </c>
      <c r="X205" s="17">
        <f t="shared" si="108"/>
        <v>13</v>
      </c>
      <c r="Y205" s="17">
        <f t="shared" si="109"/>
        <v>11</v>
      </c>
      <c r="Z205" s="17">
        <f t="shared" si="96"/>
        <v>14</v>
      </c>
      <c r="AA205" s="17">
        <f t="shared" si="110"/>
        <v>11</v>
      </c>
      <c r="AB205" s="58">
        <f t="shared" si="111"/>
        <v>16</v>
      </c>
      <c r="AC205" s="67"/>
      <c r="AD205" s="67"/>
      <c r="AE205" s="67"/>
      <c r="AF205" s="67"/>
      <c r="AG205" s="67"/>
      <c r="AH205" s="67"/>
      <c r="AI205" s="73"/>
      <c r="AJ205" s="74"/>
      <c r="AK205" s="74"/>
      <c r="AL205" s="62">
        <v>0.7</v>
      </c>
      <c r="AM205" s="63">
        <v>0.55000000000000004</v>
      </c>
      <c r="AN205" s="63">
        <v>0.1</v>
      </c>
      <c r="AO205" s="63">
        <v>0.4</v>
      </c>
      <c r="AP205" s="64">
        <v>0.9</v>
      </c>
      <c r="AQ205" s="62">
        <f t="shared" si="97"/>
        <v>1</v>
      </c>
      <c r="AR205" s="65">
        <v>1</v>
      </c>
      <c r="AS205" s="62">
        <f t="shared" si="98"/>
        <v>0.88700000000000057</v>
      </c>
      <c r="AT205" s="65">
        <v>1</v>
      </c>
      <c r="AU205" s="62">
        <f t="shared" si="99"/>
        <v>1.0000000000000004</v>
      </c>
      <c r="AV205" s="65">
        <v>1.0000000000000004</v>
      </c>
      <c r="AW205" s="62">
        <f t="shared" si="100"/>
        <v>1.0000000000000004</v>
      </c>
      <c r="AX205" s="65">
        <v>1</v>
      </c>
      <c r="AY205" s="62">
        <f t="shared" si="101"/>
        <v>1.0000000000000004</v>
      </c>
      <c r="AZ205" s="65">
        <v>1.0000000000000004</v>
      </c>
      <c r="BA205" s="62">
        <f t="shared" si="102"/>
        <v>1.0000000000000004</v>
      </c>
      <c r="BB205" s="65">
        <v>1</v>
      </c>
      <c r="BC205" s="62">
        <f t="shared" si="103"/>
        <v>1.0000000000000004</v>
      </c>
      <c r="BD205" s="65">
        <v>1</v>
      </c>
      <c r="BE205" s="74"/>
      <c r="BF205" s="7"/>
      <c r="BG205" s="74"/>
      <c r="BH205" s="7"/>
      <c r="BI205" s="7"/>
      <c r="BJ205" s="7"/>
      <c r="BK205" s="7"/>
      <c r="BL205" s="7"/>
      <c r="BM205" s="7"/>
      <c r="BN205" s="7"/>
      <c r="BO205" s="7"/>
      <c r="BP205" s="7"/>
      <c r="BQ205" s="7"/>
    </row>
    <row r="206" spans="1:69" ht="19.8" thickBot="1" x14ac:dyDescent="0.35">
      <c r="A206" s="16">
        <v>204</v>
      </c>
      <c r="B206" s="52">
        <v>45350</v>
      </c>
      <c r="C206" s="53" t="str">
        <f t="shared" si="104"/>
        <v>1402/12/09</v>
      </c>
      <c r="D206" s="54">
        <v>1</v>
      </c>
      <c r="E206" s="54">
        <v>0.87441250484048338</v>
      </c>
      <c r="F206" s="11" t="e">
        <f t="shared" si="105"/>
        <v>#N/A</v>
      </c>
      <c r="G206" s="38" t="str">
        <f t="shared" si="106"/>
        <v>تاریخ: 1402/12/09
درصد پیشرفت برنامه ای: 100%
درصد پیشرفت واقعی: 87.44%</v>
      </c>
      <c r="H206" s="55">
        <v>1</v>
      </c>
      <c r="I206" s="56">
        <f t="shared" si="92"/>
        <v>0.88900000000000057</v>
      </c>
      <c r="J206" s="56">
        <v>1.0000000000000004</v>
      </c>
      <c r="K206" s="56">
        <f t="shared" si="93"/>
        <v>1.0000000000000004</v>
      </c>
      <c r="L206" s="56">
        <f t="shared" si="95"/>
        <v>1.0000000000000004</v>
      </c>
      <c r="M206" s="56">
        <f t="shared" si="95"/>
        <v>1.0000000000000004</v>
      </c>
      <c r="N206" s="57">
        <f t="shared" si="94"/>
        <v>1.0000000000000004</v>
      </c>
      <c r="O206" s="16">
        <f t="shared" si="112"/>
        <v>11</v>
      </c>
      <c r="P206" s="17">
        <v>12</v>
      </c>
      <c r="Q206" s="17">
        <v>11</v>
      </c>
      <c r="R206" s="17">
        <v>13</v>
      </c>
      <c r="S206" s="17">
        <v>11</v>
      </c>
      <c r="T206" s="17">
        <v>12</v>
      </c>
      <c r="U206" s="58">
        <v>13</v>
      </c>
      <c r="V206" s="16">
        <f t="shared" si="107"/>
        <v>14</v>
      </c>
      <c r="W206" s="17">
        <f t="shared" si="108"/>
        <v>16</v>
      </c>
      <c r="X206" s="17">
        <f t="shared" si="108"/>
        <v>15</v>
      </c>
      <c r="Y206" s="17">
        <f t="shared" si="109"/>
        <v>14</v>
      </c>
      <c r="Z206" s="17">
        <f t="shared" si="96"/>
        <v>14</v>
      </c>
      <c r="AA206" s="17">
        <f t="shared" si="110"/>
        <v>13</v>
      </c>
      <c r="AB206" s="58">
        <f t="shared" si="111"/>
        <v>18</v>
      </c>
      <c r="AC206" s="67"/>
      <c r="AD206" s="67"/>
      <c r="AE206" s="67"/>
      <c r="AF206" s="67"/>
      <c r="AG206" s="67"/>
      <c r="AH206" s="67"/>
      <c r="AI206" s="73"/>
      <c r="AJ206" s="74"/>
      <c r="AK206" s="74"/>
      <c r="AL206" s="62">
        <v>0.4</v>
      </c>
      <c r="AM206" s="63">
        <v>0.69</v>
      </c>
      <c r="AN206" s="63">
        <v>0.5</v>
      </c>
      <c r="AO206" s="63">
        <v>0.2</v>
      </c>
      <c r="AP206" s="64">
        <v>0.4</v>
      </c>
      <c r="AQ206" s="62">
        <f t="shared" si="97"/>
        <v>1</v>
      </c>
      <c r="AR206" s="65">
        <v>1</v>
      </c>
      <c r="AS206" s="62">
        <f t="shared" si="98"/>
        <v>0.88900000000000057</v>
      </c>
      <c r="AT206" s="65">
        <v>1</v>
      </c>
      <c r="AU206" s="62">
        <f t="shared" si="99"/>
        <v>1.0000000000000004</v>
      </c>
      <c r="AV206" s="65">
        <v>1.0000000000000004</v>
      </c>
      <c r="AW206" s="62">
        <f t="shared" si="100"/>
        <v>1.0000000000000004</v>
      </c>
      <c r="AX206" s="65">
        <v>1</v>
      </c>
      <c r="AY206" s="62">
        <f t="shared" si="101"/>
        <v>1.0000000000000004</v>
      </c>
      <c r="AZ206" s="65">
        <v>1.0000000000000004</v>
      </c>
      <c r="BA206" s="62">
        <f t="shared" si="102"/>
        <v>1.0000000000000004</v>
      </c>
      <c r="BB206" s="65">
        <v>1</v>
      </c>
      <c r="BC206" s="62">
        <f t="shared" si="103"/>
        <v>1.0000000000000004</v>
      </c>
      <c r="BD206" s="65">
        <v>1</v>
      </c>
      <c r="BE206" s="74"/>
      <c r="BF206" s="7"/>
      <c r="BG206" s="74"/>
      <c r="BH206" s="7"/>
      <c r="BI206" s="7"/>
      <c r="BJ206" s="7"/>
      <c r="BK206" s="7"/>
      <c r="BL206" s="7"/>
      <c r="BM206" s="7"/>
      <c r="BN206" s="7"/>
      <c r="BO206" s="7"/>
      <c r="BP206" s="7"/>
      <c r="BQ206" s="7"/>
    </row>
    <row r="207" spans="1:69" ht="19.8" thickBot="1" x14ac:dyDescent="0.35">
      <c r="A207" s="16">
        <v>205</v>
      </c>
      <c r="B207" s="52">
        <v>45357</v>
      </c>
      <c r="C207" s="53" t="str">
        <f t="shared" si="104"/>
        <v>1402/12/16</v>
      </c>
      <c r="D207" s="54">
        <v>1</v>
      </c>
      <c r="E207" s="54">
        <v>0.877298066106457</v>
      </c>
      <c r="F207" s="11" t="e">
        <f t="shared" si="105"/>
        <v>#N/A</v>
      </c>
      <c r="G207" s="38" t="str">
        <f t="shared" si="106"/>
        <v>تاریخ: 1402/12/16
درصد پیشرفت برنامه ای: 100%
درصد پیشرفت واقعی: 87.73%</v>
      </c>
      <c r="H207" s="55">
        <v>1</v>
      </c>
      <c r="I207" s="56">
        <f t="shared" si="92"/>
        <v>0.89100000000000057</v>
      </c>
      <c r="J207" s="56">
        <v>1.0000000000000004</v>
      </c>
      <c r="K207" s="56">
        <f t="shared" si="93"/>
        <v>1.0000000000000004</v>
      </c>
      <c r="L207" s="56">
        <f t="shared" si="95"/>
        <v>1.0000000000000004</v>
      </c>
      <c r="M207" s="56">
        <f t="shared" si="95"/>
        <v>1.0000000000000004</v>
      </c>
      <c r="N207" s="57">
        <f t="shared" si="94"/>
        <v>1.0000000000000004</v>
      </c>
      <c r="O207" s="16">
        <f t="shared" si="112"/>
        <v>13</v>
      </c>
      <c r="P207" s="17">
        <v>16</v>
      </c>
      <c r="Q207" s="17">
        <v>18</v>
      </c>
      <c r="R207" s="17">
        <v>18</v>
      </c>
      <c r="S207" s="17">
        <v>15</v>
      </c>
      <c r="T207" s="17">
        <v>15</v>
      </c>
      <c r="U207" s="58">
        <v>14</v>
      </c>
      <c r="V207" s="16">
        <f t="shared" si="107"/>
        <v>16</v>
      </c>
      <c r="W207" s="17">
        <f t="shared" si="108"/>
        <v>20</v>
      </c>
      <c r="X207" s="17">
        <f t="shared" si="108"/>
        <v>22</v>
      </c>
      <c r="Y207" s="17">
        <f t="shared" si="109"/>
        <v>19</v>
      </c>
      <c r="Z207" s="17">
        <f t="shared" si="96"/>
        <v>18</v>
      </c>
      <c r="AA207" s="17">
        <f t="shared" si="110"/>
        <v>16</v>
      </c>
      <c r="AB207" s="58">
        <f t="shared" si="111"/>
        <v>19</v>
      </c>
      <c r="AC207" s="67"/>
      <c r="AD207" s="67"/>
      <c r="AE207" s="67"/>
      <c r="AF207" s="67"/>
      <c r="AG207" s="67"/>
      <c r="AH207" s="67"/>
      <c r="AI207" s="73"/>
      <c r="AJ207" s="74"/>
      <c r="AK207" s="74"/>
      <c r="AL207" s="62">
        <v>0.35</v>
      </c>
      <c r="AM207" s="63">
        <v>0.4</v>
      </c>
      <c r="AN207" s="63">
        <v>0.9</v>
      </c>
      <c r="AO207" s="63">
        <v>0.8</v>
      </c>
      <c r="AP207" s="64">
        <v>0.2</v>
      </c>
      <c r="AQ207" s="62">
        <f t="shared" si="97"/>
        <v>1</v>
      </c>
      <c r="AR207" s="65">
        <v>1</v>
      </c>
      <c r="AS207" s="62">
        <f t="shared" si="98"/>
        <v>0.89100000000000057</v>
      </c>
      <c r="AT207" s="65">
        <v>1</v>
      </c>
      <c r="AU207" s="62">
        <f t="shared" si="99"/>
        <v>1.0000000000000004</v>
      </c>
      <c r="AV207" s="65">
        <v>1.0000000000000004</v>
      </c>
      <c r="AW207" s="62">
        <f t="shared" si="100"/>
        <v>1.0000000000000004</v>
      </c>
      <c r="AX207" s="65">
        <v>1</v>
      </c>
      <c r="AY207" s="62">
        <f t="shared" si="101"/>
        <v>1.0000000000000004</v>
      </c>
      <c r="AZ207" s="65">
        <v>1.0000000000000004</v>
      </c>
      <c r="BA207" s="62">
        <f t="shared" si="102"/>
        <v>1.0000000000000004</v>
      </c>
      <c r="BB207" s="65">
        <v>1</v>
      </c>
      <c r="BC207" s="62">
        <f t="shared" si="103"/>
        <v>1.0000000000000004</v>
      </c>
      <c r="BD207" s="65">
        <v>1</v>
      </c>
      <c r="BE207" s="74"/>
      <c r="BF207" s="7"/>
      <c r="BG207" s="74"/>
      <c r="BH207" s="7"/>
      <c r="BI207" s="7"/>
      <c r="BJ207" s="7"/>
      <c r="BK207" s="7"/>
      <c r="BL207" s="7"/>
      <c r="BM207" s="7"/>
      <c r="BN207" s="7"/>
      <c r="BO207" s="7"/>
      <c r="BP207" s="7"/>
      <c r="BQ207" s="7"/>
    </row>
    <row r="208" spans="1:69" ht="19.8" thickBot="1" x14ac:dyDescent="0.35">
      <c r="A208" s="16">
        <v>206</v>
      </c>
      <c r="B208" s="52">
        <v>45364</v>
      </c>
      <c r="C208" s="53" t="str">
        <f t="shared" si="104"/>
        <v>1402/12/23</v>
      </c>
      <c r="D208" s="54">
        <v>1</v>
      </c>
      <c r="E208" s="54">
        <v>0.88019314972460827</v>
      </c>
      <c r="F208" s="11" t="e">
        <f t="shared" si="105"/>
        <v>#N/A</v>
      </c>
      <c r="G208" s="38" t="str">
        <f t="shared" si="106"/>
        <v>تاریخ: 1402/12/23
درصد پیشرفت برنامه ای: 100%
درصد پیشرفت واقعی: 88.02%</v>
      </c>
      <c r="H208" s="55">
        <v>1</v>
      </c>
      <c r="I208" s="56">
        <f t="shared" si="92"/>
        <v>0.89300000000000057</v>
      </c>
      <c r="J208" s="56">
        <v>1.0000000000000004</v>
      </c>
      <c r="K208" s="56">
        <f t="shared" si="93"/>
        <v>1.0000000000000004</v>
      </c>
      <c r="L208" s="56">
        <f t="shared" si="95"/>
        <v>1.0000000000000004</v>
      </c>
      <c r="M208" s="56">
        <f t="shared" si="95"/>
        <v>1.0000000000000004</v>
      </c>
      <c r="N208" s="57">
        <f t="shared" si="94"/>
        <v>1.0000000000000004</v>
      </c>
      <c r="O208" s="16">
        <f t="shared" si="112"/>
        <v>14</v>
      </c>
      <c r="P208" s="17">
        <v>15</v>
      </c>
      <c r="Q208" s="17">
        <v>15</v>
      </c>
      <c r="R208" s="17">
        <v>18</v>
      </c>
      <c r="S208" s="17">
        <v>17</v>
      </c>
      <c r="T208" s="17">
        <v>18</v>
      </c>
      <c r="U208" s="58">
        <v>19</v>
      </c>
      <c r="V208" s="16">
        <f t="shared" si="107"/>
        <v>17</v>
      </c>
      <c r="W208" s="17">
        <f t="shared" si="108"/>
        <v>19</v>
      </c>
      <c r="X208" s="17">
        <f t="shared" si="108"/>
        <v>19</v>
      </c>
      <c r="Y208" s="17">
        <f t="shared" si="109"/>
        <v>19</v>
      </c>
      <c r="Z208" s="17">
        <f t="shared" si="96"/>
        <v>20</v>
      </c>
      <c r="AA208" s="17">
        <f t="shared" si="110"/>
        <v>19</v>
      </c>
      <c r="AB208" s="58">
        <f t="shared" si="111"/>
        <v>24</v>
      </c>
      <c r="AC208" s="67"/>
      <c r="AD208" s="67"/>
      <c r="AE208" s="67"/>
      <c r="AF208" s="67"/>
      <c r="AG208" s="67"/>
      <c r="AH208" s="67"/>
      <c r="AI208" s="73"/>
      <c r="AJ208" s="74"/>
      <c r="AK208" s="74"/>
      <c r="AL208" s="62">
        <v>0.85</v>
      </c>
      <c r="AM208" s="63">
        <v>0.8</v>
      </c>
      <c r="AN208" s="63">
        <v>0.5</v>
      </c>
      <c r="AO208" s="63">
        <v>0.6</v>
      </c>
      <c r="AP208" s="64">
        <v>0.6</v>
      </c>
      <c r="AQ208" s="62">
        <f t="shared" si="97"/>
        <v>1</v>
      </c>
      <c r="AR208" s="65">
        <v>1</v>
      </c>
      <c r="AS208" s="62">
        <f t="shared" si="98"/>
        <v>0.89300000000000057</v>
      </c>
      <c r="AT208" s="65">
        <v>1</v>
      </c>
      <c r="AU208" s="62">
        <f t="shared" si="99"/>
        <v>1.0000000000000004</v>
      </c>
      <c r="AV208" s="65">
        <v>1.0000000000000004</v>
      </c>
      <c r="AW208" s="62">
        <f t="shared" si="100"/>
        <v>1.0000000000000004</v>
      </c>
      <c r="AX208" s="65">
        <v>1</v>
      </c>
      <c r="AY208" s="62">
        <f t="shared" si="101"/>
        <v>1.0000000000000004</v>
      </c>
      <c r="AZ208" s="65">
        <v>1.0000000000000004</v>
      </c>
      <c r="BA208" s="62">
        <f t="shared" si="102"/>
        <v>1.0000000000000004</v>
      </c>
      <c r="BB208" s="65">
        <v>1</v>
      </c>
      <c r="BC208" s="62">
        <f t="shared" si="103"/>
        <v>1.0000000000000004</v>
      </c>
      <c r="BD208" s="65">
        <v>1</v>
      </c>
      <c r="BE208" s="74"/>
      <c r="BF208" s="7"/>
      <c r="BG208" s="74"/>
      <c r="BH208" s="7"/>
      <c r="BI208" s="7"/>
      <c r="BJ208" s="7"/>
      <c r="BK208" s="7"/>
      <c r="BL208" s="7"/>
      <c r="BM208" s="7"/>
      <c r="BN208" s="7"/>
      <c r="BO208" s="7"/>
      <c r="BP208" s="7"/>
      <c r="BQ208" s="7"/>
    </row>
    <row r="209" spans="1:69" ht="19.8" thickBot="1" x14ac:dyDescent="0.35">
      <c r="A209" s="16">
        <v>207</v>
      </c>
      <c r="B209" s="52">
        <v>45371</v>
      </c>
      <c r="C209" s="53" t="str">
        <f t="shared" si="104"/>
        <v>1403/01/01</v>
      </c>
      <c r="D209" s="54">
        <v>1</v>
      </c>
      <c r="E209" s="54">
        <v>0.88309778711869946</v>
      </c>
      <c r="F209" s="11" t="e">
        <f t="shared" si="105"/>
        <v>#N/A</v>
      </c>
      <c r="G209" s="38" t="str">
        <f t="shared" si="106"/>
        <v>تاریخ: 1403/01/01
درصد پیشرفت برنامه ای: 100%
درصد پیشرفت واقعی: 88.31%</v>
      </c>
      <c r="H209" s="55">
        <v>1</v>
      </c>
      <c r="I209" s="56">
        <f t="shared" si="92"/>
        <v>0.89500000000000057</v>
      </c>
      <c r="J209" s="56">
        <v>1.0000000000000004</v>
      </c>
      <c r="K209" s="56">
        <f t="shared" si="93"/>
        <v>1.0000000000000004</v>
      </c>
      <c r="L209" s="56">
        <f t="shared" si="95"/>
        <v>1.0000000000000004</v>
      </c>
      <c r="M209" s="56">
        <f t="shared" si="95"/>
        <v>1.0000000000000004</v>
      </c>
      <c r="N209" s="57">
        <f t="shared" si="94"/>
        <v>1.0000000000000004</v>
      </c>
      <c r="O209" s="16">
        <f t="shared" si="112"/>
        <v>19</v>
      </c>
      <c r="P209" s="17">
        <v>19</v>
      </c>
      <c r="Q209" s="17">
        <v>17</v>
      </c>
      <c r="R209" s="17">
        <v>17</v>
      </c>
      <c r="S209" s="17">
        <v>19</v>
      </c>
      <c r="T209" s="17">
        <v>20</v>
      </c>
      <c r="U209" s="58">
        <v>21</v>
      </c>
      <c r="V209" s="16">
        <f t="shared" si="107"/>
        <v>22</v>
      </c>
      <c r="W209" s="17">
        <f t="shared" si="108"/>
        <v>23</v>
      </c>
      <c r="X209" s="17">
        <f t="shared" si="108"/>
        <v>21</v>
      </c>
      <c r="Y209" s="17">
        <f t="shared" si="109"/>
        <v>18</v>
      </c>
      <c r="Z209" s="17">
        <f t="shared" si="96"/>
        <v>22</v>
      </c>
      <c r="AA209" s="17">
        <f t="shared" si="110"/>
        <v>21</v>
      </c>
      <c r="AB209" s="58">
        <f t="shared" si="111"/>
        <v>26</v>
      </c>
      <c r="AC209" s="67"/>
      <c r="AD209" s="67"/>
      <c r="AE209" s="67"/>
      <c r="AF209" s="67"/>
      <c r="AG209" s="67"/>
      <c r="AH209" s="67"/>
      <c r="AI209" s="73"/>
      <c r="AJ209" s="74"/>
      <c r="AK209" s="74"/>
      <c r="AL209" s="62">
        <v>0.9</v>
      </c>
      <c r="AM209" s="63">
        <v>0.95</v>
      </c>
      <c r="AN209" s="63">
        <v>0.8</v>
      </c>
      <c r="AO209" s="63">
        <v>0.7</v>
      </c>
      <c r="AP209" s="64">
        <v>0.1</v>
      </c>
      <c r="AQ209" s="62">
        <f t="shared" si="97"/>
        <v>1</v>
      </c>
      <c r="AR209" s="65">
        <v>1</v>
      </c>
      <c r="AS209" s="62">
        <f t="shared" si="98"/>
        <v>0.89500000000000057</v>
      </c>
      <c r="AT209" s="65">
        <v>1</v>
      </c>
      <c r="AU209" s="62">
        <f t="shared" si="99"/>
        <v>1.0000000000000004</v>
      </c>
      <c r="AV209" s="65">
        <v>1.0000000000000004</v>
      </c>
      <c r="AW209" s="62">
        <f t="shared" si="100"/>
        <v>1.0000000000000004</v>
      </c>
      <c r="AX209" s="65">
        <v>1</v>
      </c>
      <c r="AY209" s="62">
        <f t="shared" si="101"/>
        <v>1.0000000000000004</v>
      </c>
      <c r="AZ209" s="65">
        <v>1.0000000000000004</v>
      </c>
      <c r="BA209" s="62">
        <f t="shared" si="102"/>
        <v>1.0000000000000004</v>
      </c>
      <c r="BB209" s="65">
        <v>1</v>
      </c>
      <c r="BC209" s="62">
        <f t="shared" si="103"/>
        <v>1.0000000000000004</v>
      </c>
      <c r="BD209" s="65">
        <v>1</v>
      </c>
      <c r="BE209" s="74"/>
      <c r="BF209" s="7"/>
      <c r="BG209" s="74"/>
      <c r="BH209" s="7"/>
      <c r="BI209" s="7"/>
      <c r="BJ209" s="7"/>
      <c r="BK209" s="7"/>
      <c r="BL209" s="7"/>
      <c r="BM209" s="7"/>
      <c r="BN209" s="7"/>
      <c r="BO209" s="7"/>
      <c r="BP209" s="7"/>
      <c r="BQ209" s="7"/>
    </row>
    <row r="210" spans="1:69" ht="19.8" thickBot="1" x14ac:dyDescent="0.35">
      <c r="A210" s="16">
        <v>208</v>
      </c>
      <c r="B210" s="52">
        <v>45378</v>
      </c>
      <c r="C210" s="53" t="str">
        <f t="shared" si="104"/>
        <v>1403/01/08</v>
      </c>
      <c r="D210" s="54">
        <v>1</v>
      </c>
      <c r="E210" s="54">
        <v>0.88601200981619121</v>
      </c>
      <c r="F210" s="11" t="e">
        <f t="shared" si="105"/>
        <v>#N/A</v>
      </c>
      <c r="G210" s="38" t="str">
        <f t="shared" si="106"/>
        <v>تاریخ: 1403/01/08
درصد پیشرفت برنامه ای: 100%
درصد پیشرفت واقعی: 88.6%</v>
      </c>
      <c r="H210" s="55">
        <v>1</v>
      </c>
      <c r="I210" s="56">
        <f t="shared" si="92"/>
        <v>0.89700000000000057</v>
      </c>
      <c r="J210" s="56">
        <v>1.0000000000000004</v>
      </c>
      <c r="K210" s="56">
        <f t="shared" si="93"/>
        <v>1.0000000000000004</v>
      </c>
      <c r="L210" s="56">
        <f t="shared" si="95"/>
        <v>1.0000000000000004</v>
      </c>
      <c r="M210" s="56">
        <f t="shared" si="95"/>
        <v>1.0000000000000004</v>
      </c>
      <c r="N210" s="57">
        <f t="shared" si="94"/>
        <v>1.0000000000000004</v>
      </c>
      <c r="O210" s="16">
        <f t="shared" si="112"/>
        <v>21</v>
      </c>
      <c r="P210" s="17">
        <v>22</v>
      </c>
      <c r="Q210" s="17">
        <v>22</v>
      </c>
      <c r="R210" s="17">
        <v>23</v>
      </c>
      <c r="S210" s="17">
        <v>21</v>
      </c>
      <c r="T210" s="17">
        <v>22</v>
      </c>
      <c r="U210" s="58">
        <v>24</v>
      </c>
      <c r="V210" s="16">
        <f t="shared" si="107"/>
        <v>24</v>
      </c>
      <c r="W210" s="17">
        <f t="shared" si="108"/>
        <v>26</v>
      </c>
      <c r="X210" s="17">
        <f t="shared" si="108"/>
        <v>26</v>
      </c>
      <c r="Y210" s="17">
        <f t="shared" si="109"/>
        <v>24</v>
      </c>
      <c r="Z210" s="17">
        <f t="shared" si="96"/>
        <v>24</v>
      </c>
      <c r="AA210" s="17">
        <f t="shared" si="110"/>
        <v>23</v>
      </c>
      <c r="AB210" s="58">
        <f t="shared" si="111"/>
        <v>29</v>
      </c>
      <c r="AC210" s="67"/>
      <c r="AD210" s="67"/>
      <c r="AE210" s="67"/>
      <c r="AF210" s="67"/>
      <c r="AG210" s="67"/>
      <c r="AH210" s="67"/>
      <c r="AI210" s="73"/>
      <c r="AJ210" s="74"/>
      <c r="AK210" s="74"/>
      <c r="AL210" s="62">
        <v>0.7</v>
      </c>
      <c r="AM210" s="63">
        <v>0.68</v>
      </c>
      <c r="AN210" s="63">
        <v>0.5</v>
      </c>
      <c r="AO210" s="63">
        <v>0.9</v>
      </c>
      <c r="AP210" s="64">
        <v>0.55000000000000004</v>
      </c>
      <c r="AQ210" s="62">
        <f t="shared" si="97"/>
        <v>1</v>
      </c>
      <c r="AR210" s="65">
        <v>1</v>
      </c>
      <c r="AS210" s="62">
        <f t="shared" si="98"/>
        <v>0.89700000000000057</v>
      </c>
      <c r="AT210" s="65">
        <v>1</v>
      </c>
      <c r="AU210" s="62">
        <f t="shared" si="99"/>
        <v>1.0000000000000004</v>
      </c>
      <c r="AV210" s="65">
        <v>1.0000000000000004</v>
      </c>
      <c r="AW210" s="62">
        <f t="shared" si="100"/>
        <v>1.0000000000000004</v>
      </c>
      <c r="AX210" s="65">
        <v>1</v>
      </c>
      <c r="AY210" s="62">
        <f t="shared" si="101"/>
        <v>1.0000000000000004</v>
      </c>
      <c r="AZ210" s="65">
        <v>1.0000000000000004</v>
      </c>
      <c r="BA210" s="62">
        <f t="shared" si="102"/>
        <v>1.0000000000000004</v>
      </c>
      <c r="BB210" s="65">
        <v>1</v>
      </c>
      <c r="BC210" s="62">
        <f t="shared" si="103"/>
        <v>1.0000000000000004</v>
      </c>
      <c r="BD210" s="65">
        <v>1</v>
      </c>
      <c r="BE210" s="74"/>
      <c r="BF210" s="7"/>
      <c r="BG210" s="74"/>
      <c r="BH210" s="7"/>
      <c r="BI210" s="7"/>
      <c r="BJ210" s="7"/>
      <c r="BK210" s="7"/>
      <c r="BL210" s="7"/>
      <c r="BM210" s="7"/>
      <c r="BN210" s="7"/>
      <c r="BO210" s="7"/>
      <c r="BP210" s="7"/>
      <c r="BQ210" s="7"/>
    </row>
    <row r="211" spans="1:69" ht="19.8" thickBot="1" x14ac:dyDescent="0.35">
      <c r="A211" s="16">
        <v>209</v>
      </c>
      <c r="B211" s="52">
        <v>45385</v>
      </c>
      <c r="C211" s="53" t="str">
        <f t="shared" si="104"/>
        <v>1403/01/15</v>
      </c>
      <c r="D211" s="54">
        <v>1</v>
      </c>
      <c r="E211" s="54">
        <v>0.88893584944858461</v>
      </c>
      <c r="F211" s="11" t="e">
        <f t="shared" si="105"/>
        <v>#N/A</v>
      </c>
      <c r="G211" s="38" t="str">
        <f t="shared" si="106"/>
        <v>تاریخ: 1403/01/15
درصد پیشرفت برنامه ای: 100%
درصد پیشرفت واقعی: 88.89%</v>
      </c>
      <c r="H211" s="55">
        <v>1</v>
      </c>
      <c r="I211" s="56">
        <f t="shared" si="92"/>
        <v>0.89900000000000058</v>
      </c>
      <c r="J211" s="56">
        <v>1.0000000000000004</v>
      </c>
      <c r="K211" s="56">
        <f t="shared" si="93"/>
        <v>1.0000000000000004</v>
      </c>
      <c r="L211" s="56">
        <f t="shared" si="95"/>
        <v>1.0000000000000004</v>
      </c>
      <c r="M211" s="56">
        <f t="shared" si="95"/>
        <v>1.0000000000000004</v>
      </c>
      <c r="N211" s="57">
        <f t="shared" si="94"/>
        <v>1.0000000000000004</v>
      </c>
      <c r="O211" s="16">
        <f t="shared" si="112"/>
        <v>24</v>
      </c>
      <c r="P211" s="17">
        <v>23</v>
      </c>
      <c r="Q211" s="17">
        <v>24</v>
      </c>
      <c r="R211" s="17">
        <v>23</v>
      </c>
      <c r="S211" s="17">
        <v>25</v>
      </c>
      <c r="T211" s="17">
        <v>25</v>
      </c>
      <c r="U211" s="58">
        <v>26</v>
      </c>
      <c r="V211" s="16">
        <f t="shared" si="107"/>
        <v>27</v>
      </c>
      <c r="W211" s="17">
        <f t="shared" si="108"/>
        <v>27</v>
      </c>
      <c r="X211" s="17">
        <f t="shared" si="108"/>
        <v>28</v>
      </c>
      <c r="Y211" s="17">
        <f t="shared" si="109"/>
        <v>24</v>
      </c>
      <c r="Z211" s="17">
        <f t="shared" si="96"/>
        <v>28</v>
      </c>
      <c r="AA211" s="17">
        <f t="shared" si="110"/>
        <v>26</v>
      </c>
      <c r="AB211" s="58">
        <f t="shared" si="111"/>
        <v>31</v>
      </c>
      <c r="AC211" s="67"/>
      <c r="AD211" s="67"/>
      <c r="AE211" s="67"/>
      <c r="AF211" s="67"/>
      <c r="AG211" s="67"/>
      <c r="AH211" s="67"/>
      <c r="AI211" s="73"/>
      <c r="AJ211" s="74"/>
      <c r="AK211" s="74"/>
      <c r="AL211" s="62">
        <v>0.6</v>
      </c>
      <c r="AM211" s="63">
        <v>0.5</v>
      </c>
      <c r="AN211" s="63">
        <v>0.66</v>
      </c>
      <c r="AO211" s="63">
        <v>0.5</v>
      </c>
      <c r="AP211" s="64">
        <v>0.9</v>
      </c>
      <c r="AQ211" s="62">
        <f t="shared" si="97"/>
        <v>1</v>
      </c>
      <c r="AR211" s="65">
        <v>1</v>
      </c>
      <c r="AS211" s="62">
        <f t="shared" si="98"/>
        <v>0.89900000000000058</v>
      </c>
      <c r="AT211" s="65">
        <v>1</v>
      </c>
      <c r="AU211" s="62">
        <f t="shared" si="99"/>
        <v>1.0000000000000004</v>
      </c>
      <c r="AV211" s="65">
        <v>1.0000000000000004</v>
      </c>
      <c r="AW211" s="62">
        <f t="shared" si="100"/>
        <v>1.0000000000000004</v>
      </c>
      <c r="AX211" s="65">
        <v>1</v>
      </c>
      <c r="AY211" s="62">
        <f t="shared" si="101"/>
        <v>1.0000000000000004</v>
      </c>
      <c r="AZ211" s="65">
        <v>1.0000000000000004</v>
      </c>
      <c r="BA211" s="62">
        <f t="shared" si="102"/>
        <v>1.0000000000000004</v>
      </c>
      <c r="BB211" s="65">
        <v>1</v>
      </c>
      <c r="BC211" s="62">
        <f t="shared" si="103"/>
        <v>1.0000000000000004</v>
      </c>
      <c r="BD211" s="65">
        <v>1</v>
      </c>
      <c r="BE211" s="74"/>
      <c r="BF211" s="7"/>
      <c r="BG211" s="74"/>
      <c r="BH211" s="7"/>
      <c r="BI211" s="7"/>
      <c r="BJ211" s="7"/>
      <c r="BK211" s="7"/>
      <c r="BL211" s="7"/>
      <c r="BM211" s="7"/>
      <c r="BN211" s="7"/>
      <c r="BO211" s="7"/>
      <c r="BP211" s="7"/>
      <c r="BQ211" s="7"/>
    </row>
    <row r="212" spans="1:69" ht="19.8" thickBot="1" x14ac:dyDescent="0.35">
      <c r="A212" s="16">
        <v>210</v>
      </c>
      <c r="B212" s="52">
        <v>45392</v>
      </c>
      <c r="C212" s="53" t="str">
        <f t="shared" si="104"/>
        <v>1403/01/22</v>
      </c>
      <c r="D212" s="54">
        <v>1</v>
      </c>
      <c r="E212" s="54">
        <v>0.89186933775176491</v>
      </c>
      <c r="F212" s="11" t="e">
        <f t="shared" si="105"/>
        <v>#N/A</v>
      </c>
      <c r="G212" s="38" t="str">
        <f t="shared" si="106"/>
        <v>تاریخ: 1403/01/22
درصد پیشرفت برنامه ای: 100%
درصد پیشرفت واقعی: 89.19%</v>
      </c>
      <c r="H212" s="55">
        <v>1</v>
      </c>
      <c r="I212" s="56">
        <f t="shared" si="92"/>
        <v>0.90100000000000058</v>
      </c>
      <c r="J212" s="56">
        <v>1.0000000000000004</v>
      </c>
      <c r="K212" s="56">
        <f t="shared" si="93"/>
        <v>1.0000000000000004</v>
      </c>
      <c r="L212" s="56">
        <f t="shared" si="95"/>
        <v>1.0000000000000004</v>
      </c>
      <c r="M212" s="56">
        <f t="shared" si="95"/>
        <v>1.0000000000000004</v>
      </c>
      <c r="N212" s="57">
        <f t="shared" si="94"/>
        <v>1.0000000000000004</v>
      </c>
      <c r="O212" s="16">
        <f t="shared" si="112"/>
        <v>26</v>
      </c>
      <c r="P212" s="17">
        <v>25</v>
      </c>
      <c r="Q212" s="17">
        <v>25</v>
      </c>
      <c r="R212" s="17">
        <v>26</v>
      </c>
      <c r="S212" s="17">
        <v>26</v>
      </c>
      <c r="T212" s="17">
        <v>25</v>
      </c>
      <c r="U212" s="58">
        <v>25</v>
      </c>
      <c r="V212" s="16">
        <f t="shared" si="107"/>
        <v>29</v>
      </c>
      <c r="W212" s="17">
        <f t="shared" si="108"/>
        <v>29</v>
      </c>
      <c r="X212" s="17">
        <f t="shared" si="108"/>
        <v>29</v>
      </c>
      <c r="Y212" s="17">
        <f t="shared" si="109"/>
        <v>27</v>
      </c>
      <c r="Z212" s="17">
        <f t="shared" si="96"/>
        <v>29</v>
      </c>
      <c r="AA212" s="17">
        <f t="shared" si="110"/>
        <v>26</v>
      </c>
      <c r="AB212" s="58">
        <f t="shared" si="111"/>
        <v>30</v>
      </c>
      <c r="AC212" s="67"/>
      <c r="AD212" s="67"/>
      <c r="AE212" s="67"/>
      <c r="AF212" s="67"/>
      <c r="AG212" s="67"/>
      <c r="AH212" s="67"/>
      <c r="AI212" s="73"/>
      <c r="AJ212" s="74"/>
      <c r="AK212" s="74"/>
      <c r="AL212" s="62">
        <v>0.55000000000000004</v>
      </c>
      <c r="AM212" s="63">
        <v>0.62</v>
      </c>
      <c r="AN212" s="63">
        <v>0.78</v>
      </c>
      <c r="AO212" s="63">
        <v>0.42</v>
      </c>
      <c r="AP212" s="64">
        <v>0.8</v>
      </c>
      <c r="AQ212" s="62">
        <f t="shared" si="97"/>
        <v>1</v>
      </c>
      <c r="AR212" s="65">
        <v>1</v>
      </c>
      <c r="AS212" s="62">
        <f t="shared" si="98"/>
        <v>0.90100000000000058</v>
      </c>
      <c r="AT212" s="65">
        <v>1</v>
      </c>
      <c r="AU212" s="62">
        <f t="shared" si="99"/>
        <v>1.0000000000000004</v>
      </c>
      <c r="AV212" s="65">
        <v>1.0000000000000004</v>
      </c>
      <c r="AW212" s="62">
        <f t="shared" si="100"/>
        <v>1.0000000000000004</v>
      </c>
      <c r="AX212" s="65">
        <v>1</v>
      </c>
      <c r="AY212" s="62">
        <f t="shared" si="101"/>
        <v>1.0000000000000004</v>
      </c>
      <c r="AZ212" s="65">
        <v>1.0000000000000004</v>
      </c>
      <c r="BA212" s="62">
        <f t="shared" si="102"/>
        <v>1.0000000000000004</v>
      </c>
      <c r="BB212" s="65">
        <v>1</v>
      </c>
      <c r="BC212" s="62">
        <f t="shared" si="103"/>
        <v>1.0000000000000004</v>
      </c>
      <c r="BD212" s="65">
        <v>1</v>
      </c>
      <c r="BE212" s="74"/>
      <c r="BF212" s="7"/>
      <c r="BG212" s="74"/>
      <c r="BH212" s="7"/>
      <c r="BI212" s="7"/>
      <c r="BJ212" s="7"/>
      <c r="BK212" s="7"/>
      <c r="BL212" s="7"/>
      <c r="BM212" s="7"/>
      <c r="BN212" s="7"/>
      <c r="BO212" s="7"/>
      <c r="BP212" s="7"/>
      <c r="BQ212" s="7"/>
    </row>
    <row r="213" spans="1:69" ht="19.8" thickBot="1" x14ac:dyDescent="0.35">
      <c r="A213" s="16">
        <v>211</v>
      </c>
      <c r="B213" s="52">
        <v>45399</v>
      </c>
      <c r="C213" s="53" t="str">
        <f t="shared" si="104"/>
        <v>1403/01/29</v>
      </c>
      <c r="D213" s="54">
        <v>1</v>
      </c>
      <c r="E213" s="54">
        <v>0.8948125065663457</v>
      </c>
      <c r="F213" s="11" t="e">
        <f t="shared" si="105"/>
        <v>#N/A</v>
      </c>
      <c r="G213" s="38" t="str">
        <f t="shared" si="106"/>
        <v>تاریخ: 1403/01/29
درصد پیشرفت برنامه ای: 100%
درصد پیشرفت واقعی: 89.48%</v>
      </c>
      <c r="H213" s="55">
        <v>1</v>
      </c>
      <c r="I213" s="56">
        <f t="shared" si="92"/>
        <v>0.90300000000000058</v>
      </c>
      <c r="J213" s="56">
        <v>1.0000000000000004</v>
      </c>
      <c r="K213" s="56">
        <f t="shared" si="93"/>
        <v>1.0000000000000004</v>
      </c>
      <c r="L213" s="56">
        <f t="shared" si="95"/>
        <v>1.0000000000000004</v>
      </c>
      <c r="M213" s="56">
        <f t="shared" si="95"/>
        <v>1.0000000000000004</v>
      </c>
      <c r="N213" s="57">
        <f t="shared" si="94"/>
        <v>1.0000000000000004</v>
      </c>
      <c r="O213" s="16">
        <f t="shared" si="112"/>
        <v>25</v>
      </c>
      <c r="P213" s="17">
        <v>26</v>
      </c>
      <c r="Q213" s="17">
        <v>26</v>
      </c>
      <c r="R213" s="17">
        <v>27</v>
      </c>
      <c r="S213" s="17">
        <v>28</v>
      </c>
      <c r="T213" s="17">
        <v>29</v>
      </c>
      <c r="U213" s="58">
        <v>29</v>
      </c>
      <c r="V213" s="16">
        <f t="shared" si="107"/>
        <v>28</v>
      </c>
      <c r="W213" s="17">
        <f t="shared" si="108"/>
        <v>30</v>
      </c>
      <c r="X213" s="17">
        <f t="shared" si="108"/>
        <v>30</v>
      </c>
      <c r="Y213" s="17">
        <f t="shared" si="109"/>
        <v>28</v>
      </c>
      <c r="Z213" s="17">
        <f t="shared" si="96"/>
        <v>31</v>
      </c>
      <c r="AA213" s="17">
        <f t="shared" si="110"/>
        <v>30</v>
      </c>
      <c r="AB213" s="58">
        <f t="shared" si="111"/>
        <v>34</v>
      </c>
      <c r="AC213" s="67"/>
      <c r="AD213" s="67"/>
      <c r="AE213" s="67"/>
      <c r="AF213" s="67"/>
      <c r="AG213" s="67"/>
      <c r="AH213" s="67"/>
      <c r="AI213" s="73"/>
      <c r="AJ213" s="74"/>
      <c r="AK213" s="74"/>
      <c r="AL213" s="62">
        <v>0.6</v>
      </c>
      <c r="AM213" s="63">
        <v>0.9</v>
      </c>
      <c r="AN213" s="63">
        <v>0.5</v>
      </c>
      <c r="AO213" s="63">
        <v>0.5</v>
      </c>
      <c r="AP213" s="64">
        <v>0.62</v>
      </c>
      <c r="AQ213" s="62">
        <f t="shared" si="97"/>
        <v>1</v>
      </c>
      <c r="AR213" s="65">
        <v>1</v>
      </c>
      <c r="AS213" s="62">
        <f t="shared" si="98"/>
        <v>0.90300000000000058</v>
      </c>
      <c r="AT213" s="65">
        <v>1</v>
      </c>
      <c r="AU213" s="62">
        <f t="shared" si="99"/>
        <v>1.0000000000000004</v>
      </c>
      <c r="AV213" s="65">
        <v>1.0000000000000004</v>
      </c>
      <c r="AW213" s="62">
        <f t="shared" si="100"/>
        <v>1.0000000000000004</v>
      </c>
      <c r="AX213" s="65">
        <v>1</v>
      </c>
      <c r="AY213" s="62">
        <f t="shared" si="101"/>
        <v>1.0000000000000004</v>
      </c>
      <c r="AZ213" s="65">
        <v>1.0000000000000004</v>
      </c>
      <c r="BA213" s="62">
        <f t="shared" si="102"/>
        <v>1.0000000000000004</v>
      </c>
      <c r="BB213" s="65">
        <v>1</v>
      </c>
      <c r="BC213" s="62">
        <f t="shared" si="103"/>
        <v>1.0000000000000004</v>
      </c>
      <c r="BD213" s="65">
        <v>1</v>
      </c>
      <c r="BE213" s="74"/>
      <c r="BF213" s="7"/>
      <c r="BG213" s="74"/>
      <c r="BH213" s="7"/>
      <c r="BI213" s="7"/>
      <c r="BJ213" s="7"/>
      <c r="BK213" s="7"/>
      <c r="BL213" s="7"/>
      <c r="BM213" s="7"/>
      <c r="BN213" s="7"/>
      <c r="BO213" s="7"/>
      <c r="BP213" s="7"/>
      <c r="BQ213" s="7"/>
    </row>
    <row r="214" spans="1:69" ht="19.8" thickBot="1" x14ac:dyDescent="0.35">
      <c r="A214" s="16">
        <v>212</v>
      </c>
      <c r="B214" s="52">
        <v>45406</v>
      </c>
      <c r="C214" s="53" t="str">
        <f t="shared" si="104"/>
        <v>1403/02/05</v>
      </c>
      <c r="D214" s="54">
        <v>1</v>
      </c>
      <c r="E214" s="54">
        <v>0.89776538783801463</v>
      </c>
      <c r="F214" s="11" t="e">
        <f t="shared" si="105"/>
        <v>#N/A</v>
      </c>
      <c r="G214" s="38" t="str">
        <f t="shared" si="106"/>
        <v>تاریخ: 1403/02/05
درصد پیشرفت برنامه ای: 100%
درصد پیشرفت واقعی: 89.78%</v>
      </c>
      <c r="H214" s="55">
        <v>1</v>
      </c>
      <c r="I214" s="56">
        <f t="shared" si="92"/>
        <v>0.90500000000000058</v>
      </c>
      <c r="J214" s="56">
        <v>1.0000000000000004</v>
      </c>
      <c r="K214" s="56">
        <f t="shared" si="93"/>
        <v>1.0000000000000004</v>
      </c>
      <c r="L214" s="56">
        <f t="shared" si="95"/>
        <v>1.0000000000000004</v>
      </c>
      <c r="M214" s="56">
        <f t="shared" si="95"/>
        <v>1.0000000000000004</v>
      </c>
      <c r="N214" s="57">
        <f t="shared" si="94"/>
        <v>1.0000000000000004</v>
      </c>
      <c r="O214" s="16">
        <f t="shared" si="112"/>
        <v>29</v>
      </c>
      <c r="P214" s="17">
        <v>29</v>
      </c>
      <c r="Q214" s="17">
        <v>28</v>
      </c>
      <c r="R214" s="17">
        <v>29</v>
      </c>
      <c r="S214" s="17">
        <v>30</v>
      </c>
      <c r="T214" s="17">
        <v>31</v>
      </c>
      <c r="U214" s="58">
        <v>30</v>
      </c>
      <c r="V214" s="16">
        <f t="shared" si="107"/>
        <v>32</v>
      </c>
      <c r="W214" s="17">
        <f t="shared" si="108"/>
        <v>33</v>
      </c>
      <c r="X214" s="17">
        <f t="shared" si="108"/>
        <v>32</v>
      </c>
      <c r="Y214" s="17">
        <f t="shared" si="109"/>
        <v>30</v>
      </c>
      <c r="Z214" s="17">
        <f t="shared" si="96"/>
        <v>33</v>
      </c>
      <c r="AA214" s="17">
        <f t="shared" si="110"/>
        <v>32</v>
      </c>
      <c r="AB214" s="58">
        <f t="shared" si="111"/>
        <v>35</v>
      </c>
      <c r="AC214" s="67"/>
      <c r="AD214" s="67"/>
      <c r="AE214" s="67"/>
      <c r="AF214" s="67"/>
      <c r="AG214" s="67"/>
      <c r="AH214" s="67"/>
      <c r="AI214" s="73"/>
      <c r="AJ214" s="74"/>
      <c r="AK214" s="74"/>
      <c r="AL214" s="62">
        <v>0.66</v>
      </c>
      <c r="AM214" s="63">
        <v>0.7</v>
      </c>
      <c r="AN214" s="63">
        <v>0.8</v>
      </c>
      <c r="AO214" s="63">
        <v>0.55000000000000004</v>
      </c>
      <c r="AP214" s="64">
        <v>0.5</v>
      </c>
      <c r="AQ214" s="62">
        <f t="shared" si="97"/>
        <v>1</v>
      </c>
      <c r="AR214" s="65">
        <v>1</v>
      </c>
      <c r="AS214" s="62">
        <f t="shared" si="98"/>
        <v>0.90500000000000058</v>
      </c>
      <c r="AT214" s="65">
        <v>1</v>
      </c>
      <c r="AU214" s="62">
        <f t="shared" si="99"/>
        <v>1.0000000000000004</v>
      </c>
      <c r="AV214" s="65">
        <v>1.0000000000000004</v>
      </c>
      <c r="AW214" s="62">
        <f t="shared" si="100"/>
        <v>1.0000000000000004</v>
      </c>
      <c r="AX214" s="65">
        <v>1</v>
      </c>
      <c r="AY214" s="62">
        <f t="shared" si="101"/>
        <v>1.0000000000000004</v>
      </c>
      <c r="AZ214" s="65">
        <v>1.0000000000000004</v>
      </c>
      <c r="BA214" s="62">
        <f t="shared" si="102"/>
        <v>1.0000000000000004</v>
      </c>
      <c r="BB214" s="65">
        <v>1</v>
      </c>
      <c r="BC214" s="62">
        <f t="shared" si="103"/>
        <v>1.0000000000000004</v>
      </c>
      <c r="BD214" s="65">
        <v>1</v>
      </c>
      <c r="BE214" s="74"/>
      <c r="BF214" s="7"/>
      <c r="BG214" s="74"/>
      <c r="BH214" s="7"/>
      <c r="BI214" s="7"/>
      <c r="BJ214" s="7"/>
      <c r="BK214" s="7"/>
      <c r="BL214" s="7"/>
      <c r="BM214" s="7"/>
      <c r="BN214" s="7"/>
      <c r="BO214" s="7"/>
      <c r="BP214" s="7"/>
      <c r="BQ214" s="7"/>
    </row>
    <row r="215" spans="1:69" ht="19.8" thickBot="1" x14ac:dyDescent="0.35">
      <c r="A215" s="16">
        <v>213</v>
      </c>
      <c r="B215" s="52">
        <v>45413</v>
      </c>
      <c r="C215" s="53" t="str">
        <f t="shared" si="104"/>
        <v>1403/02/12</v>
      </c>
      <c r="D215" s="54">
        <v>1</v>
      </c>
      <c r="E215" s="54">
        <v>0.90072801361788013</v>
      </c>
      <c r="F215" s="11" t="e">
        <f t="shared" si="105"/>
        <v>#N/A</v>
      </c>
      <c r="G215" s="38" t="str">
        <f t="shared" si="106"/>
        <v>تاریخ: 1403/02/12
درصد پیشرفت برنامه ای: 100%
درصد پیشرفت واقعی: 90.07%</v>
      </c>
      <c r="H215" s="55">
        <v>1</v>
      </c>
      <c r="I215" s="56">
        <f t="shared" si="92"/>
        <v>0.90700000000000058</v>
      </c>
      <c r="J215" s="56">
        <v>1.0000000000000004</v>
      </c>
      <c r="K215" s="56">
        <f t="shared" si="93"/>
        <v>1.0000000000000004</v>
      </c>
      <c r="L215" s="56">
        <f t="shared" si="95"/>
        <v>1.0000000000000004</v>
      </c>
      <c r="M215" s="56">
        <f t="shared" si="95"/>
        <v>1.0000000000000004</v>
      </c>
      <c r="N215" s="57">
        <f t="shared" si="94"/>
        <v>1.0000000000000004</v>
      </c>
      <c r="O215" s="16">
        <f t="shared" si="112"/>
        <v>30</v>
      </c>
      <c r="P215" s="17">
        <v>25</v>
      </c>
      <c r="Q215" s="17">
        <v>25</v>
      </c>
      <c r="R215" s="17">
        <v>26</v>
      </c>
      <c r="S215" s="17">
        <v>26</v>
      </c>
      <c r="T215" s="17">
        <v>25</v>
      </c>
      <c r="U215" s="58">
        <v>25</v>
      </c>
      <c r="V215" s="16">
        <f t="shared" si="107"/>
        <v>33</v>
      </c>
      <c r="W215" s="17">
        <f t="shared" si="108"/>
        <v>29</v>
      </c>
      <c r="X215" s="17">
        <f t="shared" si="108"/>
        <v>29</v>
      </c>
      <c r="Y215" s="17">
        <f t="shared" si="109"/>
        <v>27</v>
      </c>
      <c r="Z215" s="17">
        <f t="shared" si="96"/>
        <v>29</v>
      </c>
      <c r="AA215" s="17">
        <f t="shared" si="110"/>
        <v>26</v>
      </c>
      <c r="AB215" s="58">
        <f t="shared" si="111"/>
        <v>30</v>
      </c>
      <c r="AC215" s="67"/>
      <c r="AD215" s="67"/>
      <c r="AE215" s="67"/>
      <c r="AF215" s="67"/>
      <c r="AG215" s="67"/>
      <c r="AH215" s="67"/>
      <c r="AI215" s="73"/>
      <c r="AJ215" s="74"/>
      <c r="AK215" s="74"/>
      <c r="AL215" s="62">
        <v>0.55000000000000004</v>
      </c>
      <c r="AM215" s="63">
        <v>0.4</v>
      </c>
      <c r="AN215" s="63">
        <v>0.4</v>
      </c>
      <c r="AO215" s="63">
        <v>0.9</v>
      </c>
      <c r="AP215" s="64">
        <v>0.8</v>
      </c>
      <c r="AQ215" s="62">
        <f t="shared" si="97"/>
        <v>1</v>
      </c>
      <c r="AR215" s="65">
        <v>1</v>
      </c>
      <c r="AS215" s="62">
        <f t="shared" si="98"/>
        <v>0.90700000000000058</v>
      </c>
      <c r="AT215" s="65">
        <v>1</v>
      </c>
      <c r="AU215" s="62">
        <f t="shared" si="99"/>
        <v>1.0000000000000004</v>
      </c>
      <c r="AV215" s="65">
        <v>1.0000000000000004</v>
      </c>
      <c r="AW215" s="62">
        <f t="shared" si="100"/>
        <v>1.0000000000000004</v>
      </c>
      <c r="AX215" s="65">
        <v>1</v>
      </c>
      <c r="AY215" s="62">
        <f t="shared" si="101"/>
        <v>1.0000000000000004</v>
      </c>
      <c r="AZ215" s="65">
        <v>1.0000000000000004</v>
      </c>
      <c r="BA215" s="62">
        <f t="shared" si="102"/>
        <v>1.0000000000000004</v>
      </c>
      <c r="BB215" s="65">
        <v>1</v>
      </c>
      <c r="BC215" s="62">
        <f t="shared" si="103"/>
        <v>1.0000000000000004</v>
      </c>
      <c r="BD215" s="65">
        <v>1</v>
      </c>
      <c r="BE215" s="74"/>
      <c r="BF215" s="7"/>
      <c r="BG215" s="74"/>
      <c r="BH215" s="7"/>
      <c r="BI215" s="7"/>
      <c r="BJ215" s="7"/>
      <c r="BK215" s="7"/>
      <c r="BL215" s="7"/>
      <c r="BM215" s="7"/>
      <c r="BN215" s="7"/>
      <c r="BO215" s="7"/>
      <c r="BP215" s="7"/>
      <c r="BQ215" s="7"/>
    </row>
    <row r="216" spans="1:69" ht="19.8" thickBot="1" x14ac:dyDescent="0.35">
      <c r="A216" s="16">
        <v>214</v>
      </c>
      <c r="B216" s="52">
        <v>45420</v>
      </c>
      <c r="C216" s="53" t="str">
        <f t="shared" si="104"/>
        <v>1403/02/19</v>
      </c>
      <c r="D216" s="54">
        <v>1</v>
      </c>
      <c r="E216" s="54">
        <v>0.90370041606281915</v>
      </c>
      <c r="F216" s="11" t="e">
        <f t="shared" si="105"/>
        <v>#N/A</v>
      </c>
      <c r="G216" s="38" t="str">
        <f t="shared" si="106"/>
        <v>تاریخ: 1403/02/19
درصد پیشرفت برنامه ای: 100%
درصد پیشرفت واقعی: 90.37%</v>
      </c>
      <c r="H216" s="55">
        <v>1</v>
      </c>
      <c r="I216" s="56">
        <f t="shared" si="92"/>
        <v>0.90900000000000059</v>
      </c>
      <c r="J216" s="56">
        <v>1.0000000000000004</v>
      </c>
      <c r="K216" s="56">
        <f t="shared" si="93"/>
        <v>1.0000000000000004</v>
      </c>
      <c r="L216" s="56">
        <f t="shared" si="95"/>
        <v>1.0000000000000004</v>
      </c>
      <c r="M216" s="56">
        <f t="shared" si="95"/>
        <v>1.0000000000000004</v>
      </c>
      <c r="N216" s="57">
        <f t="shared" si="94"/>
        <v>1.0000000000000004</v>
      </c>
      <c r="O216" s="16">
        <f t="shared" si="112"/>
        <v>25</v>
      </c>
      <c r="P216" s="17">
        <v>26</v>
      </c>
      <c r="Q216" s="17">
        <v>26</v>
      </c>
      <c r="R216" s="17">
        <v>27</v>
      </c>
      <c r="S216" s="17">
        <v>28</v>
      </c>
      <c r="T216" s="17">
        <v>29</v>
      </c>
      <c r="U216" s="58">
        <v>29</v>
      </c>
      <c r="V216" s="16">
        <f t="shared" si="107"/>
        <v>28</v>
      </c>
      <c r="W216" s="17">
        <f t="shared" si="108"/>
        <v>30</v>
      </c>
      <c r="X216" s="17">
        <f t="shared" si="108"/>
        <v>30</v>
      </c>
      <c r="Y216" s="17">
        <f t="shared" si="109"/>
        <v>28</v>
      </c>
      <c r="Z216" s="17">
        <f t="shared" si="96"/>
        <v>31</v>
      </c>
      <c r="AA216" s="17">
        <f t="shared" si="110"/>
        <v>30</v>
      </c>
      <c r="AB216" s="58">
        <f t="shared" si="111"/>
        <v>34</v>
      </c>
      <c r="AC216" s="67"/>
      <c r="AD216" s="67"/>
      <c r="AE216" s="67"/>
      <c r="AF216" s="67"/>
      <c r="AG216" s="67"/>
      <c r="AH216" s="67"/>
      <c r="AI216" s="73"/>
      <c r="AJ216" s="74"/>
      <c r="AK216" s="74"/>
      <c r="AL216" s="62">
        <v>0.7</v>
      </c>
      <c r="AM216" s="63">
        <v>0.55000000000000004</v>
      </c>
      <c r="AN216" s="63">
        <v>0.1</v>
      </c>
      <c r="AO216" s="63">
        <v>0.4</v>
      </c>
      <c r="AP216" s="64">
        <v>0.9</v>
      </c>
      <c r="AQ216" s="62">
        <f t="shared" si="97"/>
        <v>1</v>
      </c>
      <c r="AR216" s="65">
        <v>1</v>
      </c>
      <c r="AS216" s="62">
        <f t="shared" si="98"/>
        <v>0.90900000000000059</v>
      </c>
      <c r="AT216" s="65">
        <v>1</v>
      </c>
      <c r="AU216" s="62">
        <f t="shared" si="99"/>
        <v>1.0000000000000004</v>
      </c>
      <c r="AV216" s="65">
        <v>1.0000000000000004</v>
      </c>
      <c r="AW216" s="62">
        <f t="shared" si="100"/>
        <v>1.0000000000000004</v>
      </c>
      <c r="AX216" s="65">
        <v>1</v>
      </c>
      <c r="AY216" s="62">
        <f t="shared" si="101"/>
        <v>1.0000000000000004</v>
      </c>
      <c r="AZ216" s="65">
        <v>1.0000000000000004</v>
      </c>
      <c r="BA216" s="62">
        <f t="shared" si="102"/>
        <v>1.0000000000000004</v>
      </c>
      <c r="BB216" s="65">
        <v>1</v>
      </c>
      <c r="BC216" s="62">
        <f t="shared" si="103"/>
        <v>1.0000000000000004</v>
      </c>
      <c r="BD216" s="65">
        <v>1</v>
      </c>
      <c r="BE216" s="74"/>
      <c r="BF216" s="7"/>
      <c r="BG216" s="74"/>
      <c r="BH216" s="7"/>
      <c r="BI216" s="7"/>
      <c r="BJ216" s="7"/>
      <c r="BK216" s="7"/>
      <c r="BL216" s="7"/>
      <c r="BM216" s="7"/>
      <c r="BN216" s="7"/>
      <c r="BO216" s="7"/>
      <c r="BP216" s="7"/>
      <c r="BQ216" s="7"/>
    </row>
    <row r="217" spans="1:69" ht="19.8" thickBot="1" x14ac:dyDescent="0.35">
      <c r="A217" s="16">
        <v>215</v>
      </c>
      <c r="B217" s="52">
        <v>45427</v>
      </c>
      <c r="C217" s="53" t="str">
        <f t="shared" si="104"/>
        <v>1403/02/26</v>
      </c>
      <c r="D217" s="54">
        <v>1</v>
      </c>
      <c r="E217" s="54">
        <v>0.90370041606281915</v>
      </c>
      <c r="F217" s="11" t="e">
        <f t="shared" si="105"/>
        <v>#N/A</v>
      </c>
      <c r="G217" s="38" t="str">
        <f t="shared" si="106"/>
        <v>تاریخ: 1403/02/26
درصد پیشرفت برنامه ای: 100%
درصد پیشرفت واقعی: 90.37%</v>
      </c>
      <c r="H217" s="55">
        <v>1</v>
      </c>
      <c r="I217" s="56">
        <f t="shared" si="92"/>
        <v>0.91100000000000059</v>
      </c>
      <c r="J217" s="56">
        <v>1.0000000000000004</v>
      </c>
      <c r="K217" s="56">
        <f t="shared" si="93"/>
        <v>1.0000000000000004</v>
      </c>
      <c r="L217" s="56">
        <f t="shared" si="95"/>
        <v>1.0000000000000004</v>
      </c>
      <c r="M217" s="56">
        <f t="shared" si="95"/>
        <v>1.0000000000000004</v>
      </c>
      <c r="N217" s="57">
        <f t="shared" si="94"/>
        <v>1.0000000000000004</v>
      </c>
      <c r="O217" s="16">
        <f t="shared" si="112"/>
        <v>29</v>
      </c>
      <c r="P217" s="17">
        <v>29</v>
      </c>
      <c r="Q217" s="17">
        <v>28</v>
      </c>
      <c r="R217" s="17">
        <v>29</v>
      </c>
      <c r="S217" s="17">
        <v>30</v>
      </c>
      <c r="T217" s="17">
        <v>31</v>
      </c>
      <c r="U217" s="58">
        <v>30</v>
      </c>
      <c r="V217" s="16">
        <f t="shared" si="107"/>
        <v>32</v>
      </c>
      <c r="W217" s="17">
        <f t="shared" si="108"/>
        <v>33</v>
      </c>
      <c r="X217" s="17">
        <f t="shared" si="108"/>
        <v>32</v>
      </c>
      <c r="Y217" s="17">
        <f t="shared" si="109"/>
        <v>30</v>
      </c>
      <c r="Z217" s="17">
        <f t="shared" si="96"/>
        <v>33</v>
      </c>
      <c r="AA217" s="17">
        <f t="shared" si="110"/>
        <v>32</v>
      </c>
      <c r="AB217" s="58">
        <f t="shared" si="111"/>
        <v>35</v>
      </c>
      <c r="AC217" s="67"/>
      <c r="AD217" s="67"/>
      <c r="AE217" s="67"/>
      <c r="AF217" s="67"/>
      <c r="AG217" s="67"/>
      <c r="AH217" s="67"/>
      <c r="AI217" s="73"/>
      <c r="AJ217" s="74"/>
      <c r="AK217" s="74"/>
      <c r="AL217" s="62">
        <v>0.4</v>
      </c>
      <c r="AM217" s="63">
        <v>0.69</v>
      </c>
      <c r="AN217" s="63">
        <v>0.5</v>
      </c>
      <c r="AO217" s="63">
        <v>0.2</v>
      </c>
      <c r="AP217" s="64">
        <v>0.4</v>
      </c>
      <c r="AQ217" s="62">
        <f t="shared" si="97"/>
        <v>1</v>
      </c>
      <c r="AR217" s="65">
        <v>1</v>
      </c>
      <c r="AS217" s="62">
        <f t="shared" si="98"/>
        <v>0.91100000000000059</v>
      </c>
      <c r="AT217" s="65">
        <v>1</v>
      </c>
      <c r="AU217" s="62">
        <f t="shared" si="99"/>
        <v>1.0000000000000004</v>
      </c>
      <c r="AV217" s="65">
        <v>1.0000000000000004</v>
      </c>
      <c r="AW217" s="62">
        <f t="shared" si="100"/>
        <v>1.0000000000000004</v>
      </c>
      <c r="AX217" s="65">
        <v>1</v>
      </c>
      <c r="AY217" s="62">
        <f t="shared" si="101"/>
        <v>1.0000000000000004</v>
      </c>
      <c r="AZ217" s="65">
        <v>1.0000000000000004</v>
      </c>
      <c r="BA217" s="62">
        <f t="shared" si="102"/>
        <v>1.0000000000000004</v>
      </c>
      <c r="BB217" s="65">
        <v>1</v>
      </c>
      <c r="BC217" s="62">
        <f t="shared" si="103"/>
        <v>1.0000000000000004</v>
      </c>
      <c r="BD217" s="65">
        <v>1</v>
      </c>
      <c r="BE217" s="74"/>
      <c r="BF217" s="7"/>
      <c r="BG217" s="74"/>
      <c r="BH217" s="7"/>
      <c r="BI217" s="7"/>
      <c r="BJ217" s="7"/>
      <c r="BK217" s="7"/>
      <c r="BL217" s="7"/>
      <c r="BM217" s="7"/>
      <c r="BN217" s="7"/>
      <c r="BO217" s="7"/>
      <c r="BP217" s="7"/>
      <c r="BQ217" s="7"/>
    </row>
    <row r="218" spans="1:69" ht="19.8" thickBot="1" x14ac:dyDescent="0.35">
      <c r="A218" s="16">
        <v>216</v>
      </c>
      <c r="B218" s="52">
        <v>45434</v>
      </c>
      <c r="C218" s="53" t="str">
        <f t="shared" si="104"/>
        <v>1403/03/02</v>
      </c>
      <c r="D218" s="54">
        <v>1</v>
      </c>
      <c r="E218" s="54">
        <v>0.90370041606281915</v>
      </c>
      <c r="F218" s="11" t="e">
        <f t="shared" si="105"/>
        <v>#N/A</v>
      </c>
      <c r="G218" s="38" t="str">
        <f t="shared" si="106"/>
        <v>تاریخ: 1403/03/02
درصد پیشرفت برنامه ای: 100%
درصد پیشرفت واقعی: 90.37%</v>
      </c>
      <c r="H218" s="55">
        <v>1</v>
      </c>
      <c r="I218" s="56">
        <f t="shared" si="92"/>
        <v>0.91300000000000059</v>
      </c>
      <c r="J218" s="56">
        <v>1.0000000000000004</v>
      </c>
      <c r="K218" s="56">
        <f t="shared" si="93"/>
        <v>1.0000000000000004</v>
      </c>
      <c r="L218" s="56">
        <f t="shared" si="95"/>
        <v>1.0000000000000004</v>
      </c>
      <c r="M218" s="56">
        <f t="shared" si="95"/>
        <v>1.0000000000000004</v>
      </c>
      <c r="N218" s="57">
        <f t="shared" si="94"/>
        <v>1.0000000000000004</v>
      </c>
      <c r="O218" s="16">
        <f t="shared" si="112"/>
        <v>30</v>
      </c>
      <c r="P218" s="17">
        <v>31</v>
      </c>
      <c r="Q218" s="17">
        <v>31</v>
      </c>
      <c r="R218" s="17">
        <v>32</v>
      </c>
      <c r="S218" s="17">
        <v>31</v>
      </c>
      <c r="T218" s="17">
        <v>33</v>
      </c>
      <c r="U218" s="58">
        <v>30</v>
      </c>
      <c r="V218" s="16">
        <f t="shared" si="107"/>
        <v>33</v>
      </c>
      <c r="W218" s="17">
        <f t="shared" si="108"/>
        <v>35</v>
      </c>
      <c r="X218" s="17">
        <f t="shared" si="108"/>
        <v>35</v>
      </c>
      <c r="Y218" s="17">
        <f t="shared" si="109"/>
        <v>33</v>
      </c>
      <c r="Z218" s="17">
        <f t="shared" si="96"/>
        <v>34</v>
      </c>
      <c r="AA218" s="17">
        <f t="shared" si="110"/>
        <v>34</v>
      </c>
      <c r="AB218" s="58">
        <f t="shared" si="111"/>
        <v>35</v>
      </c>
      <c r="AC218" s="67"/>
      <c r="AD218" s="67"/>
      <c r="AE218" s="67"/>
      <c r="AF218" s="67"/>
      <c r="AG218" s="67"/>
      <c r="AH218" s="67"/>
      <c r="AI218" s="73"/>
      <c r="AJ218" s="74"/>
      <c r="AK218" s="74"/>
      <c r="AL218" s="62">
        <v>0.35</v>
      </c>
      <c r="AM218" s="63">
        <v>0.4</v>
      </c>
      <c r="AN218" s="63">
        <v>0.9</v>
      </c>
      <c r="AO218" s="63">
        <v>0.8</v>
      </c>
      <c r="AP218" s="64">
        <v>0.2</v>
      </c>
      <c r="AQ218" s="62">
        <f t="shared" si="97"/>
        <v>1</v>
      </c>
      <c r="AR218" s="65">
        <v>1</v>
      </c>
      <c r="AS218" s="62">
        <f t="shared" si="98"/>
        <v>0.91300000000000059</v>
      </c>
      <c r="AT218" s="65">
        <v>1</v>
      </c>
      <c r="AU218" s="62">
        <f t="shared" si="99"/>
        <v>1.0000000000000004</v>
      </c>
      <c r="AV218" s="65">
        <v>1.0000000000000004</v>
      </c>
      <c r="AW218" s="62">
        <f t="shared" si="100"/>
        <v>1.0000000000000004</v>
      </c>
      <c r="AX218" s="65">
        <v>1</v>
      </c>
      <c r="AY218" s="62">
        <f t="shared" si="101"/>
        <v>1.0000000000000004</v>
      </c>
      <c r="AZ218" s="65">
        <v>1.0000000000000004</v>
      </c>
      <c r="BA218" s="62">
        <f t="shared" si="102"/>
        <v>1.0000000000000004</v>
      </c>
      <c r="BB218" s="65">
        <v>1</v>
      </c>
      <c r="BC218" s="62">
        <f t="shared" si="103"/>
        <v>1.0000000000000004</v>
      </c>
      <c r="BD218" s="65">
        <v>1</v>
      </c>
      <c r="BE218" s="74"/>
      <c r="BF218" s="7"/>
      <c r="BG218" s="74"/>
      <c r="BH218" s="7"/>
      <c r="BI218" s="7"/>
      <c r="BJ218" s="7"/>
      <c r="BK218" s="7"/>
      <c r="BL218" s="7"/>
      <c r="BM218" s="7"/>
      <c r="BN218" s="7"/>
      <c r="BO218" s="7"/>
      <c r="BP218" s="7"/>
      <c r="BQ218" s="7"/>
    </row>
    <row r="219" spans="1:69" ht="19.8" thickBot="1" x14ac:dyDescent="0.35">
      <c r="A219" s="16">
        <v>217</v>
      </c>
      <c r="B219" s="52">
        <v>45441</v>
      </c>
      <c r="C219" s="53" t="str">
        <f t="shared" si="104"/>
        <v>1403/03/09</v>
      </c>
      <c r="D219" s="54">
        <v>1</v>
      </c>
      <c r="E219" s="54">
        <v>0.90370041606281915</v>
      </c>
      <c r="F219" s="11" t="e">
        <f t="shared" si="105"/>
        <v>#N/A</v>
      </c>
      <c r="G219" s="38" t="str">
        <f t="shared" si="106"/>
        <v>تاریخ: 1403/03/09
درصد پیشرفت برنامه ای: 100%
درصد پیشرفت واقعی: 90.37%</v>
      </c>
      <c r="H219" s="55">
        <v>1</v>
      </c>
      <c r="I219" s="56">
        <f t="shared" si="92"/>
        <v>0.91500000000000059</v>
      </c>
      <c r="J219" s="56">
        <v>1.0000000000000004</v>
      </c>
      <c r="K219" s="56">
        <f t="shared" si="93"/>
        <v>1.0000000000000004</v>
      </c>
      <c r="L219" s="56">
        <f t="shared" si="95"/>
        <v>1.0000000000000004</v>
      </c>
      <c r="M219" s="56">
        <f t="shared" si="95"/>
        <v>1.0000000000000004</v>
      </c>
      <c r="N219" s="57">
        <f t="shared" si="94"/>
        <v>1.0000000000000004</v>
      </c>
      <c r="O219" s="16">
        <f t="shared" si="112"/>
        <v>30</v>
      </c>
      <c r="P219" s="17">
        <v>32</v>
      </c>
      <c r="Q219" s="17">
        <v>33</v>
      </c>
      <c r="R219" s="17">
        <v>34</v>
      </c>
      <c r="S219" s="17">
        <v>32</v>
      </c>
      <c r="T219" s="17">
        <v>35</v>
      </c>
      <c r="U219" s="58">
        <v>34</v>
      </c>
      <c r="V219" s="16">
        <f t="shared" si="107"/>
        <v>33</v>
      </c>
      <c r="W219" s="17">
        <f t="shared" si="108"/>
        <v>36</v>
      </c>
      <c r="X219" s="17">
        <f t="shared" si="108"/>
        <v>37</v>
      </c>
      <c r="Y219" s="17">
        <f t="shared" si="109"/>
        <v>35</v>
      </c>
      <c r="Z219" s="17">
        <f t="shared" si="96"/>
        <v>35</v>
      </c>
      <c r="AA219" s="17">
        <f t="shared" si="110"/>
        <v>36</v>
      </c>
      <c r="AB219" s="58">
        <f t="shared" si="111"/>
        <v>39</v>
      </c>
      <c r="AC219" s="67"/>
      <c r="AD219" s="67"/>
      <c r="AE219" s="67"/>
      <c r="AF219" s="67"/>
      <c r="AG219" s="67"/>
      <c r="AH219" s="67"/>
      <c r="AI219" s="73"/>
      <c r="AJ219" s="74"/>
      <c r="AK219" s="74"/>
      <c r="AL219" s="62">
        <v>0.85</v>
      </c>
      <c r="AM219" s="63">
        <v>0.8</v>
      </c>
      <c r="AN219" s="63">
        <v>0.5</v>
      </c>
      <c r="AO219" s="63">
        <v>0.6</v>
      </c>
      <c r="AP219" s="64">
        <v>0.6</v>
      </c>
      <c r="AQ219" s="62">
        <f t="shared" si="97"/>
        <v>1</v>
      </c>
      <c r="AR219" s="65">
        <v>1</v>
      </c>
      <c r="AS219" s="62">
        <f t="shared" si="98"/>
        <v>0.91500000000000059</v>
      </c>
      <c r="AT219" s="65">
        <v>1</v>
      </c>
      <c r="AU219" s="62">
        <f t="shared" si="99"/>
        <v>1.0000000000000004</v>
      </c>
      <c r="AV219" s="65">
        <v>1.0000000000000004</v>
      </c>
      <c r="AW219" s="62">
        <f t="shared" si="100"/>
        <v>1.0000000000000004</v>
      </c>
      <c r="AX219" s="65">
        <v>1</v>
      </c>
      <c r="AY219" s="62">
        <f t="shared" si="101"/>
        <v>1.0000000000000004</v>
      </c>
      <c r="AZ219" s="65">
        <v>1.0000000000000004</v>
      </c>
      <c r="BA219" s="62">
        <f t="shared" si="102"/>
        <v>1.0000000000000004</v>
      </c>
      <c r="BB219" s="65">
        <v>1</v>
      </c>
      <c r="BC219" s="62">
        <f t="shared" si="103"/>
        <v>1.0000000000000004</v>
      </c>
      <c r="BD219" s="65">
        <v>1</v>
      </c>
      <c r="BE219" s="74"/>
      <c r="BF219" s="7"/>
      <c r="BG219" s="74"/>
      <c r="BH219" s="7"/>
      <c r="BI219" s="7"/>
      <c r="BJ219" s="7"/>
      <c r="BK219" s="7"/>
      <c r="BL219" s="7"/>
      <c r="BM219" s="7"/>
      <c r="BN219" s="7"/>
      <c r="BO219" s="7"/>
      <c r="BP219" s="7"/>
      <c r="BQ219" s="7"/>
    </row>
    <row r="220" spans="1:69" ht="19.8" thickBot="1" x14ac:dyDescent="0.35">
      <c r="A220" s="16">
        <v>218</v>
      </c>
      <c r="B220" s="52">
        <v>45448</v>
      </c>
      <c r="C220" s="53" t="str">
        <f t="shared" si="104"/>
        <v>1403/03/16</v>
      </c>
      <c r="D220" s="54">
        <v>1</v>
      </c>
      <c r="E220" s="54">
        <v>0.90370041606281915</v>
      </c>
      <c r="F220" s="11" t="e">
        <f t="shared" si="105"/>
        <v>#N/A</v>
      </c>
      <c r="G220" s="38" t="str">
        <f t="shared" si="106"/>
        <v>تاریخ: 1403/03/16
درصد پیشرفت برنامه ای: 100%
درصد پیشرفت واقعی: 90.37%</v>
      </c>
      <c r="H220" s="55">
        <v>1</v>
      </c>
      <c r="I220" s="56">
        <f t="shared" ref="I220:I243" si="113">I219+0.2%</f>
        <v>0.91700000000000059</v>
      </c>
      <c r="J220" s="56">
        <v>1.0000000000000004</v>
      </c>
      <c r="K220" s="56">
        <f t="shared" si="93"/>
        <v>1.0000000000000004</v>
      </c>
      <c r="L220" s="56">
        <f t="shared" si="95"/>
        <v>1.0000000000000004</v>
      </c>
      <c r="M220" s="56">
        <f t="shared" si="95"/>
        <v>1.0000000000000004</v>
      </c>
      <c r="N220" s="57">
        <f t="shared" si="94"/>
        <v>1.0000000000000004</v>
      </c>
      <c r="O220" s="16">
        <f t="shared" si="112"/>
        <v>34</v>
      </c>
      <c r="P220" s="17">
        <v>36</v>
      </c>
      <c r="Q220" s="17">
        <v>37</v>
      </c>
      <c r="R220" s="17">
        <v>36</v>
      </c>
      <c r="S220" s="17">
        <v>38</v>
      </c>
      <c r="T220" s="17">
        <v>36</v>
      </c>
      <c r="U220" s="58">
        <v>36</v>
      </c>
      <c r="V220" s="16">
        <f t="shared" si="107"/>
        <v>37</v>
      </c>
      <c r="W220" s="17">
        <f t="shared" si="108"/>
        <v>40</v>
      </c>
      <c r="X220" s="17">
        <f t="shared" si="108"/>
        <v>41</v>
      </c>
      <c r="Y220" s="17">
        <f t="shared" si="109"/>
        <v>37</v>
      </c>
      <c r="Z220" s="17">
        <f t="shared" si="96"/>
        <v>41</v>
      </c>
      <c r="AA220" s="17">
        <f t="shared" si="110"/>
        <v>37</v>
      </c>
      <c r="AB220" s="58">
        <f t="shared" si="111"/>
        <v>41</v>
      </c>
      <c r="AC220" s="67"/>
      <c r="AD220" s="67"/>
      <c r="AE220" s="67"/>
      <c r="AF220" s="67"/>
      <c r="AG220" s="67"/>
      <c r="AH220" s="67"/>
      <c r="AI220" s="73"/>
      <c r="AJ220" s="74"/>
      <c r="AK220" s="74"/>
      <c r="AL220" s="62">
        <v>0.9</v>
      </c>
      <c r="AM220" s="63">
        <v>0.95</v>
      </c>
      <c r="AN220" s="63">
        <v>0.8</v>
      </c>
      <c r="AO220" s="63">
        <v>0.7</v>
      </c>
      <c r="AP220" s="64">
        <v>0.1</v>
      </c>
      <c r="AQ220" s="62">
        <f t="shared" si="97"/>
        <v>1</v>
      </c>
      <c r="AR220" s="65">
        <v>1</v>
      </c>
      <c r="AS220" s="62">
        <f t="shared" si="98"/>
        <v>0.91700000000000059</v>
      </c>
      <c r="AT220" s="65">
        <v>1</v>
      </c>
      <c r="AU220" s="62">
        <f t="shared" si="99"/>
        <v>1.0000000000000004</v>
      </c>
      <c r="AV220" s="65">
        <v>1.0000000000000004</v>
      </c>
      <c r="AW220" s="62">
        <f t="shared" si="100"/>
        <v>1.0000000000000004</v>
      </c>
      <c r="AX220" s="65">
        <v>1</v>
      </c>
      <c r="AY220" s="62">
        <f t="shared" si="101"/>
        <v>1.0000000000000004</v>
      </c>
      <c r="AZ220" s="65">
        <v>1.0000000000000004</v>
      </c>
      <c r="BA220" s="62">
        <f t="shared" si="102"/>
        <v>1.0000000000000004</v>
      </c>
      <c r="BB220" s="65">
        <v>1</v>
      </c>
      <c r="BC220" s="62">
        <f t="shared" si="103"/>
        <v>1.0000000000000004</v>
      </c>
      <c r="BD220" s="65">
        <v>1</v>
      </c>
      <c r="BE220" s="74"/>
      <c r="BF220" s="7"/>
      <c r="BG220" s="74"/>
      <c r="BH220" s="7"/>
      <c r="BI220" s="7"/>
      <c r="BJ220" s="7"/>
      <c r="BK220" s="7"/>
      <c r="BL220" s="7"/>
      <c r="BM220" s="7"/>
      <c r="BN220" s="7"/>
      <c r="BO220" s="7"/>
      <c r="BP220" s="7"/>
      <c r="BQ220" s="7"/>
    </row>
    <row r="221" spans="1:69" ht="19.8" thickBot="1" x14ac:dyDescent="0.35">
      <c r="A221" s="16">
        <v>219</v>
      </c>
      <c r="B221" s="52">
        <v>45455</v>
      </c>
      <c r="C221" s="53" t="str">
        <f t="shared" si="104"/>
        <v>1403/03/23</v>
      </c>
      <c r="D221" s="54">
        <v>1</v>
      </c>
      <c r="E221" s="54">
        <v>0.90370041606281915</v>
      </c>
      <c r="F221" s="11" t="e">
        <f t="shared" si="105"/>
        <v>#N/A</v>
      </c>
      <c r="G221" s="38" t="str">
        <f t="shared" si="106"/>
        <v>تاریخ: 1403/03/23
درصد پیشرفت برنامه ای: 100%
درصد پیشرفت واقعی: 90.37%</v>
      </c>
      <c r="H221" s="55">
        <v>1</v>
      </c>
      <c r="I221" s="56">
        <f t="shared" si="113"/>
        <v>0.91900000000000059</v>
      </c>
      <c r="J221" s="56">
        <v>1.0000000000000004</v>
      </c>
      <c r="K221" s="56">
        <f t="shared" si="93"/>
        <v>1.0000000000000004</v>
      </c>
      <c r="L221" s="56">
        <f t="shared" si="95"/>
        <v>1.0000000000000004</v>
      </c>
      <c r="M221" s="56">
        <f t="shared" si="95"/>
        <v>1.0000000000000004</v>
      </c>
      <c r="N221" s="57">
        <f t="shared" si="94"/>
        <v>1.0000000000000004</v>
      </c>
      <c r="O221" s="16">
        <f t="shared" si="112"/>
        <v>36</v>
      </c>
      <c r="P221" s="17">
        <v>38</v>
      </c>
      <c r="Q221" s="17">
        <v>39</v>
      </c>
      <c r="R221" s="17">
        <v>40</v>
      </c>
      <c r="S221" s="17">
        <v>39</v>
      </c>
      <c r="T221" s="17">
        <v>40</v>
      </c>
      <c r="U221" s="58">
        <v>39</v>
      </c>
      <c r="V221" s="16">
        <f t="shared" si="107"/>
        <v>39</v>
      </c>
      <c r="W221" s="17">
        <f t="shared" si="108"/>
        <v>42</v>
      </c>
      <c r="X221" s="17">
        <f t="shared" si="108"/>
        <v>43</v>
      </c>
      <c r="Y221" s="17">
        <f t="shared" si="109"/>
        <v>41</v>
      </c>
      <c r="Z221" s="17">
        <f t="shared" si="96"/>
        <v>42</v>
      </c>
      <c r="AA221" s="17">
        <f t="shared" si="110"/>
        <v>41</v>
      </c>
      <c r="AB221" s="58">
        <f t="shared" si="111"/>
        <v>44</v>
      </c>
      <c r="AC221" s="67"/>
      <c r="AD221" s="67"/>
      <c r="AE221" s="67"/>
      <c r="AF221" s="67"/>
      <c r="AG221" s="67"/>
      <c r="AH221" s="67"/>
      <c r="AI221" s="73"/>
      <c r="AJ221" s="74"/>
      <c r="AK221" s="74"/>
      <c r="AL221" s="62">
        <v>0.7</v>
      </c>
      <c r="AM221" s="63">
        <v>0.68</v>
      </c>
      <c r="AN221" s="63">
        <v>0.5</v>
      </c>
      <c r="AO221" s="63">
        <v>0.9</v>
      </c>
      <c r="AP221" s="64">
        <v>0.55000000000000004</v>
      </c>
      <c r="AQ221" s="62">
        <f t="shared" si="97"/>
        <v>1</v>
      </c>
      <c r="AR221" s="65">
        <v>1</v>
      </c>
      <c r="AS221" s="62">
        <f t="shared" si="98"/>
        <v>0.91900000000000059</v>
      </c>
      <c r="AT221" s="65">
        <v>1</v>
      </c>
      <c r="AU221" s="62">
        <f t="shared" si="99"/>
        <v>1.0000000000000004</v>
      </c>
      <c r="AV221" s="65">
        <v>1.0000000000000004</v>
      </c>
      <c r="AW221" s="62">
        <f t="shared" si="100"/>
        <v>1.0000000000000004</v>
      </c>
      <c r="AX221" s="65">
        <v>1</v>
      </c>
      <c r="AY221" s="62">
        <f t="shared" si="101"/>
        <v>1.0000000000000004</v>
      </c>
      <c r="AZ221" s="65">
        <v>1.0000000000000004</v>
      </c>
      <c r="BA221" s="62">
        <f t="shared" si="102"/>
        <v>1.0000000000000004</v>
      </c>
      <c r="BB221" s="65">
        <v>1</v>
      </c>
      <c r="BC221" s="62">
        <f t="shared" si="103"/>
        <v>1.0000000000000004</v>
      </c>
      <c r="BD221" s="65">
        <v>1</v>
      </c>
      <c r="BE221" s="74"/>
      <c r="BF221" s="7"/>
      <c r="BG221" s="74"/>
      <c r="BH221" s="7"/>
      <c r="BI221" s="7"/>
      <c r="BJ221" s="7"/>
      <c r="BK221" s="7"/>
      <c r="BL221" s="7"/>
      <c r="BM221" s="7"/>
      <c r="BN221" s="7"/>
      <c r="BO221" s="7"/>
      <c r="BP221" s="7"/>
      <c r="BQ221" s="7"/>
    </row>
    <row r="222" spans="1:69" ht="19.8" thickBot="1" x14ac:dyDescent="0.35">
      <c r="A222" s="16">
        <v>220</v>
      </c>
      <c r="B222" s="52">
        <v>45462</v>
      </c>
      <c r="C222" s="53" t="str">
        <f t="shared" si="104"/>
        <v>1403/03/30</v>
      </c>
      <c r="D222" s="54">
        <v>1</v>
      </c>
      <c r="E222" s="54">
        <v>0.90370041606281915</v>
      </c>
      <c r="F222" s="11" t="e">
        <f t="shared" si="105"/>
        <v>#N/A</v>
      </c>
      <c r="G222" s="38" t="str">
        <f t="shared" si="106"/>
        <v>تاریخ: 1403/03/30
درصد پیشرفت برنامه ای: 100%
درصد پیشرفت واقعی: 90.37%</v>
      </c>
      <c r="H222" s="55">
        <v>1</v>
      </c>
      <c r="I222" s="56">
        <f t="shared" si="113"/>
        <v>0.9210000000000006</v>
      </c>
      <c r="J222" s="56">
        <v>1.0000000000000004</v>
      </c>
      <c r="K222" s="56">
        <f t="shared" si="93"/>
        <v>1.0000000000000004</v>
      </c>
      <c r="L222" s="56">
        <f t="shared" si="95"/>
        <v>1.0000000000000004</v>
      </c>
      <c r="M222" s="56">
        <f t="shared" si="95"/>
        <v>1.0000000000000004</v>
      </c>
      <c r="N222" s="57">
        <f t="shared" si="94"/>
        <v>1.0000000000000004</v>
      </c>
      <c r="O222" s="16">
        <f t="shared" si="112"/>
        <v>39</v>
      </c>
      <c r="P222" s="17">
        <v>40</v>
      </c>
      <c r="Q222" s="17">
        <v>41</v>
      </c>
      <c r="R222" s="17">
        <v>40</v>
      </c>
      <c r="S222" s="17">
        <v>42</v>
      </c>
      <c r="T222" s="17">
        <v>43</v>
      </c>
      <c r="U222" s="58">
        <v>42</v>
      </c>
      <c r="V222" s="16">
        <f t="shared" si="107"/>
        <v>42</v>
      </c>
      <c r="W222" s="17">
        <f t="shared" si="108"/>
        <v>44</v>
      </c>
      <c r="X222" s="17">
        <f t="shared" si="108"/>
        <v>45</v>
      </c>
      <c r="Y222" s="17">
        <f t="shared" si="109"/>
        <v>41</v>
      </c>
      <c r="Z222" s="17">
        <f t="shared" si="96"/>
        <v>45</v>
      </c>
      <c r="AA222" s="17">
        <f t="shared" si="110"/>
        <v>44</v>
      </c>
      <c r="AB222" s="58">
        <f t="shared" si="111"/>
        <v>47</v>
      </c>
      <c r="AC222" s="67"/>
      <c r="AD222" s="67"/>
      <c r="AE222" s="67"/>
      <c r="AF222" s="67"/>
      <c r="AG222" s="67"/>
      <c r="AH222" s="67"/>
      <c r="AI222" s="73"/>
      <c r="AJ222" s="74"/>
      <c r="AK222" s="74"/>
      <c r="AL222" s="62">
        <v>0.6</v>
      </c>
      <c r="AM222" s="63">
        <v>0.5</v>
      </c>
      <c r="AN222" s="63">
        <v>0.66</v>
      </c>
      <c r="AO222" s="63">
        <v>0.5</v>
      </c>
      <c r="AP222" s="64">
        <v>0.9</v>
      </c>
      <c r="AQ222" s="62">
        <f t="shared" si="97"/>
        <v>1</v>
      </c>
      <c r="AR222" s="65">
        <v>1</v>
      </c>
      <c r="AS222" s="62">
        <f t="shared" si="98"/>
        <v>0.9210000000000006</v>
      </c>
      <c r="AT222" s="65">
        <v>1</v>
      </c>
      <c r="AU222" s="62">
        <f t="shared" si="99"/>
        <v>1.0000000000000004</v>
      </c>
      <c r="AV222" s="65">
        <v>1.0000000000000004</v>
      </c>
      <c r="AW222" s="62">
        <f t="shared" si="100"/>
        <v>1.0000000000000004</v>
      </c>
      <c r="AX222" s="65">
        <v>1</v>
      </c>
      <c r="AY222" s="62">
        <f t="shared" si="101"/>
        <v>1.0000000000000004</v>
      </c>
      <c r="AZ222" s="65">
        <v>1.0000000000000004</v>
      </c>
      <c r="BA222" s="62">
        <f t="shared" si="102"/>
        <v>1.0000000000000004</v>
      </c>
      <c r="BB222" s="65">
        <v>1</v>
      </c>
      <c r="BC222" s="62">
        <f t="shared" si="103"/>
        <v>1.0000000000000004</v>
      </c>
      <c r="BD222" s="65">
        <v>1</v>
      </c>
      <c r="BE222" s="74"/>
      <c r="BF222" s="7"/>
      <c r="BG222" s="74"/>
      <c r="BH222" s="7"/>
      <c r="BI222" s="7"/>
      <c r="BJ222" s="7"/>
      <c r="BK222" s="7"/>
      <c r="BL222" s="7"/>
      <c r="BM222" s="7"/>
      <c r="BN222" s="7"/>
      <c r="BO222" s="7"/>
      <c r="BP222" s="7"/>
      <c r="BQ222" s="7"/>
    </row>
    <row r="223" spans="1:69" ht="19.8" thickBot="1" x14ac:dyDescent="0.35">
      <c r="A223" s="16">
        <v>221</v>
      </c>
      <c r="B223" s="52">
        <v>45469</v>
      </c>
      <c r="C223" s="53" t="str">
        <f t="shared" si="104"/>
        <v>1403/04/06</v>
      </c>
      <c r="D223" s="54">
        <v>1</v>
      </c>
      <c r="E223" s="54">
        <v>0.90668262743582639</v>
      </c>
      <c r="F223" s="11" t="e">
        <f t="shared" si="105"/>
        <v>#N/A</v>
      </c>
      <c r="G223" s="38" t="str">
        <f t="shared" si="106"/>
        <v>تاریخ: 1403/04/06
درصد پیشرفت برنامه ای: 100%
درصد پیشرفت واقعی: 90.67%</v>
      </c>
      <c r="H223" s="55">
        <v>1</v>
      </c>
      <c r="I223" s="56">
        <f t="shared" si="113"/>
        <v>0.9230000000000006</v>
      </c>
      <c r="J223" s="56">
        <v>1.0000000000000004</v>
      </c>
      <c r="K223" s="56">
        <f t="shared" si="93"/>
        <v>1.0000000000000004</v>
      </c>
      <c r="L223" s="56">
        <f t="shared" si="95"/>
        <v>1.0000000000000004</v>
      </c>
      <c r="M223" s="56">
        <f t="shared" si="95"/>
        <v>1.0000000000000004</v>
      </c>
      <c r="N223" s="57">
        <f t="shared" si="94"/>
        <v>1.0000000000000004</v>
      </c>
      <c r="O223" s="16">
        <f t="shared" si="112"/>
        <v>42</v>
      </c>
      <c r="P223" s="17">
        <v>43</v>
      </c>
      <c r="Q223" s="17">
        <v>44</v>
      </c>
      <c r="R223" s="17">
        <v>42</v>
      </c>
      <c r="S223" s="17">
        <v>43</v>
      </c>
      <c r="T223" s="17">
        <v>45</v>
      </c>
      <c r="U223" s="58">
        <v>45</v>
      </c>
      <c r="V223" s="16">
        <f t="shared" si="107"/>
        <v>45</v>
      </c>
      <c r="W223" s="17">
        <f t="shared" si="108"/>
        <v>47</v>
      </c>
      <c r="X223" s="17">
        <f t="shared" si="108"/>
        <v>48</v>
      </c>
      <c r="Y223" s="17">
        <f t="shared" si="109"/>
        <v>43</v>
      </c>
      <c r="Z223" s="17">
        <f t="shared" si="96"/>
        <v>46</v>
      </c>
      <c r="AA223" s="17">
        <f t="shared" si="110"/>
        <v>46</v>
      </c>
      <c r="AB223" s="58">
        <f t="shared" si="111"/>
        <v>50</v>
      </c>
      <c r="AC223" s="67"/>
      <c r="AD223" s="67"/>
      <c r="AE223" s="67"/>
      <c r="AF223" s="67"/>
      <c r="AG223" s="67"/>
      <c r="AH223" s="67"/>
      <c r="AI223" s="73"/>
      <c r="AJ223" s="74"/>
      <c r="AK223" s="74"/>
      <c r="AL223" s="62">
        <v>0.55000000000000004</v>
      </c>
      <c r="AM223" s="63">
        <v>0.62</v>
      </c>
      <c r="AN223" s="63">
        <v>0.78</v>
      </c>
      <c r="AO223" s="63">
        <v>0.42</v>
      </c>
      <c r="AP223" s="64">
        <v>0.8</v>
      </c>
      <c r="AQ223" s="62">
        <f t="shared" si="97"/>
        <v>1</v>
      </c>
      <c r="AR223" s="65">
        <v>1</v>
      </c>
      <c r="AS223" s="62">
        <f t="shared" si="98"/>
        <v>0.9230000000000006</v>
      </c>
      <c r="AT223" s="65">
        <v>1</v>
      </c>
      <c r="AU223" s="62">
        <f t="shared" si="99"/>
        <v>1.0000000000000004</v>
      </c>
      <c r="AV223" s="65">
        <v>1.0000000000000004</v>
      </c>
      <c r="AW223" s="62">
        <f t="shared" si="100"/>
        <v>1.0000000000000004</v>
      </c>
      <c r="AX223" s="65">
        <v>1</v>
      </c>
      <c r="AY223" s="62">
        <f t="shared" si="101"/>
        <v>1.0000000000000004</v>
      </c>
      <c r="AZ223" s="65">
        <v>1.0000000000000004</v>
      </c>
      <c r="BA223" s="62">
        <f t="shared" si="102"/>
        <v>1.0000000000000004</v>
      </c>
      <c r="BB223" s="65">
        <v>1</v>
      </c>
      <c r="BC223" s="62">
        <f t="shared" si="103"/>
        <v>1.0000000000000004</v>
      </c>
      <c r="BD223" s="65">
        <v>1</v>
      </c>
      <c r="BE223" s="74"/>
      <c r="BF223" s="7"/>
      <c r="BG223" s="74"/>
      <c r="BH223" s="7"/>
      <c r="BI223" s="7"/>
      <c r="BJ223" s="7"/>
      <c r="BK223" s="7"/>
      <c r="BL223" s="7"/>
      <c r="BM223" s="7"/>
      <c r="BN223" s="7"/>
      <c r="BO223" s="7"/>
      <c r="BP223" s="7"/>
      <c r="BQ223" s="7"/>
    </row>
    <row r="224" spans="1:69" ht="19.8" thickBot="1" x14ac:dyDescent="0.35">
      <c r="A224" s="16">
        <v>222</v>
      </c>
      <c r="B224" s="52">
        <v>45476</v>
      </c>
      <c r="C224" s="53" t="str">
        <f t="shared" si="104"/>
        <v>1403/04/13</v>
      </c>
      <c r="D224" s="54">
        <v>1</v>
      </c>
      <c r="E224" s="54">
        <v>0.90967468010636465</v>
      </c>
      <c r="F224" s="11" t="e">
        <f t="shared" si="105"/>
        <v>#N/A</v>
      </c>
      <c r="G224" s="38" t="str">
        <f t="shared" si="106"/>
        <v>تاریخ: 1403/04/13
درصد پیشرفت برنامه ای: 100%
درصد پیشرفت واقعی: 90.97%</v>
      </c>
      <c r="H224" s="55">
        <v>1</v>
      </c>
      <c r="I224" s="56">
        <f t="shared" si="113"/>
        <v>0.9250000000000006</v>
      </c>
      <c r="J224" s="56">
        <v>1.0000000000000004</v>
      </c>
      <c r="K224" s="56">
        <f t="shared" si="93"/>
        <v>1.0000000000000004</v>
      </c>
      <c r="L224" s="56">
        <f t="shared" si="95"/>
        <v>1.0000000000000004</v>
      </c>
      <c r="M224" s="56">
        <f t="shared" si="95"/>
        <v>1.0000000000000004</v>
      </c>
      <c r="N224" s="57">
        <f t="shared" si="94"/>
        <v>1.0000000000000004</v>
      </c>
      <c r="O224" s="16">
        <f t="shared" si="112"/>
        <v>45</v>
      </c>
      <c r="P224" s="17">
        <v>46</v>
      </c>
      <c r="Q224" s="17">
        <v>45</v>
      </c>
      <c r="R224" s="17">
        <v>46</v>
      </c>
      <c r="S224" s="17">
        <v>47</v>
      </c>
      <c r="T224" s="17">
        <v>47</v>
      </c>
      <c r="U224" s="58">
        <v>46</v>
      </c>
      <c r="V224" s="16">
        <f t="shared" si="107"/>
        <v>48</v>
      </c>
      <c r="W224" s="17">
        <f t="shared" si="108"/>
        <v>50</v>
      </c>
      <c r="X224" s="17">
        <f t="shared" si="108"/>
        <v>49</v>
      </c>
      <c r="Y224" s="17">
        <f t="shared" si="109"/>
        <v>47</v>
      </c>
      <c r="Z224" s="17">
        <f t="shared" si="96"/>
        <v>50</v>
      </c>
      <c r="AA224" s="17">
        <f t="shared" si="110"/>
        <v>48</v>
      </c>
      <c r="AB224" s="58">
        <f t="shared" si="111"/>
        <v>51</v>
      </c>
      <c r="AC224" s="67"/>
      <c r="AD224" s="67"/>
      <c r="AE224" s="67"/>
      <c r="AF224" s="67"/>
      <c r="AG224" s="67"/>
      <c r="AH224" s="67"/>
      <c r="AI224" s="73"/>
      <c r="AJ224" s="74"/>
      <c r="AK224" s="74"/>
      <c r="AL224" s="62">
        <v>0.6</v>
      </c>
      <c r="AM224" s="63">
        <v>0.9</v>
      </c>
      <c r="AN224" s="63">
        <v>0.5</v>
      </c>
      <c r="AO224" s="63">
        <v>0.5</v>
      </c>
      <c r="AP224" s="64">
        <v>0.62</v>
      </c>
      <c r="AQ224" s="62">
        <f t="shared" si="97"/>
        <v>1</v>
      </c>
      <c r="AR224" s="65">
        <v>1</v>
      </c>
      <c r="AS224" s="62">
        <f t="shared" si="98"/>
        <v>0.9250000000000006</v>
      </c>
      <c r="AT224" s="65">
        <v>1</v>
      </c>
      <c r="AU224" s="62">
        <f t="shared" si="99"/>
        <v>1.0000000000000004</v>
      </c>
      <c r="AV224" s="65">
        <v>1.0000000000000004</v>
      </c>
      <c r="AW224" s="62">
        <f t="shared" si="100"/>
        <v>1.0000000000000004</v>
      </c>
      <c r="AX224" s="65">
        <v>1</v>
      </c>
      <c r="AY224" s="62">
        <f t="shared" si="101"/>
        <v>1.0000000000000004</v>
      </c>
      <c r="AZ224" s="65">
        <v>1.0000000000000004</v>
      </c>
      <c r="BA224" s="62">
        <f t="shared" si="102"/>
        <v>1.0000000000000004</v>
      </c>
      <c r="BB224" s="65">
        <v>1</v>
      </c>
      <c r="BC224" s="62">
        <f t="shared" si="103"/>
        <v>1.0000000000000004</v>
      </c>
      <c r="BD224" s="65">
        <v>1</v>
      </c>
      <c r="BE224" s="74"/>
      <c r="BF224" s="7"/>
      <c r="BG224" s="74"/>
      <c r="BH224" s="7"/>
      <c r="BI224" s="7"/>
      <c r="BJ224" s="7"/>
      <c r="BK224" s="7"/>
      <c r="BL224" s="7"/>
      <c r="BM224" s="7"/>
      <c r="BN224" s="7"/>
      <c r="BO224" s="7"/>
      <c r="BP224" s="7"/>
      <c r="BQ224" s="7"/>
    </row>
    <row r="225" spans="1:69" ht="19.8" thickBot="1" x14ac:dyDescent="0.35">
      <c r="A225" s="16">
        <v>223</v>
      </c>
      <c r="B225" s="52">
        <v>45483</v>
      </c>
      <c r="C225" s="53" t="str">
        <f t="shared" si="104"/>
        <v>1403/04/20</v>
      </c>
      <c r="D225" s="54">
        <v>1</v>
      </c>
      <c r="E225" s="54">
        <v>0.9126766065507157</v>
      </c>
      <c r="F225" s="11" t="e">
        <f t="shared" si="105"/>
        <v>#N/A</v>
      </c>
      <c r="G225" s="38" t="str">
        <f t="shared" si="106"/>
        <v>تاریخ: 1403/04/20
درصد پیشرفت برنامه ای: 100%
درصد پیشرفت واقعی: 91.27%</v>
      </c>
      <c r="H225" s="55">
        <v>1</v>
      </c>
      <c r="I225" s="56">
        <f t="shared" si="113"/>
        <v>0.9270000000000006</v>
      </c>
      <c r="J225" s="56">
        <v>1.0000000000000004</v>
      </c>
      <c r="K225" s="56">
        <f t="shared" si="93"/>
        <v>1.0000000000000004</v>
      </c>
      <c r="L225" s="56">
        <f t="shared" si="95"/>
        <v>1.0000000000000004</v>
      </c>
      <c r="M225" s="56">
        <f t="shared" si="95"/>
        <v>1.0000000000000004</v>
      </c>
      <c r="N225" s="57">
        <f t="shared" si="94"/>
        <v>1.0000000000000004</v>
      </c>
      <c r="O225" s="16">
        <f t="shared" si="112"/>
        <v>46</v>
      </c>
      <c r="P225" s="17">
        <v>47</v>
      </c>
      <c r="Q225" s="17">
        <v>47</v>
      </c>
      <c r="R225" s="17">
        <v>46</v>
      </c>
      <c r="S225" s="17">
        <v>45</v>
      </c>
      <c r="T225" s="17">
        <v>46</v>
      </c>
      <c r="U225" s="58">
        <v>47</v>
      </c>
      <c r="V225" s="16">
        <f t="shared" si="107"/>
        <v>49</v>
      </c>
      <c r="W225" s="17">
        <f t="shared" si="108"/>
        <v>51</v>
      </c>
      <c r="X225" s="17">
        <f t="shared" si="108"/>
        <v>51</v>
      </c>
      <c r="Y225" s="17">
        <f t="shared" si="109"/>
        <v>47</v>
      </c>
      <c r="Z225" s="17">
        <f t="shared" si="96"/>
        <v>48</v>
      </c>
      <c r="AA225" s="17">
        <f t="shared" si="110"/>
        <v>47</v>
      </c>
      <c r="AB225" s="58">
        <f t="shared" si="111"/>
        <v>52</v>
      </c>
      <c r="AC225" s="67"/>
      <c r="AD225" s="67"/>
      <c r="AE225" s="67"/>
      <c r="AF225" s="67"/>
      <c r="AG225" s="67"/>
      <c r="AH225" s="67"/>
      <c r="AI225" s="73"/>
      <c r="AJ225" s="74"/>
      <c r="AK225" s="74"/>
      <c r="AL225" s="62">
        <v>0.66</v>
      </c>
      <c r="AM225" s="63">
        <v>0.7</v>
      </c>
      <c r="AN225" s="63">
        <v>0.8</v>
      </c>
      <c r="AO225" s="63">
        <v>0.55000000000000004</v>
      </c>
      <c r="AP225" s="64">
        <v>0.5</v>
      </c>
      <c r="AQ225" s="62">
        <f t="shared" si="97"/>
        <v>1</v>
      </c>
      <c r="AR225" s="65">
        <v>1</v>
      </c>
      <c r="AS225" s="62">
        <f t="shared" si="98"/>
        <v>0.9270000000000006</v>
      </c>
      <c r="AT225" s="65">
        <v>1</v>
      </c>
      <c r="AU225" s="62">
        <f t="shared" si="99"/>
        <v>1.0000000000000004</v>
      </c>
      <c r="AV225" s="65">
        <v>1.0000000000000004</v>
      </c>
      <c r="AW225" s="62">
        <f t="shared" si="100"/>
        <v>1.0000000000000004</v>
      </c>
      <c r="AX225" s="65">
        <v>1</v>
      </c>
      <c r="AY225" s="62">
        <f t="shared" si="101"/>
        <v>1.0000000000000004</v>
      </c>
      <c r="AZ225" s="65">
        <v>1.0000000000000004</v>
      </c>
      <c r="BA225" s="62">
        <f t="shared" si="102"/>
        <v>1.0000000000000004</v>
      </c>
      <c r="BB225" s="65">
        <v>1</v>
      </c>
      <c r="BC225" s="62">
        <f t="shared" si="103"/>
        <v>1.0000000000000004</v>
      </c>
      <c r="BD225" s="65">
        <v>1</v>
      </c>
      <c r="BE225" s="74"/>
      <c r="BF225" s="7"/>
      <c r="BG225" s="74"/>
      <c r="BH225" s="7"/>
      <c r="BI225" s="7"/>
      <c r="BJ225" s="7"/>
      <c r="BK225" s="7"/>
      <c r="BL225" s="7"/>
      <c r="BM225" s="7"/>
      <c r="BN225" s="7"/>
      <c r="BO225" s="7"/>
      <c r="BP225" s="7"/>
      <c r="BQ225" s="7"/>
    </row>
    <row r="226" spans="1:69" ht="19.8" thickBot="1" x14ac:dyDescent="0.35">
      <c r="A226" s="16">
        <v>224</v>
      </c>
      <c r="B226" s="52">
        <v>45490</v>
      </c>
      <c r="C226" s="53" t="str">
        <f t="shared" si="104"/>
        <v>1403/04/27</v>
      </c>
      <c r="D226" s="54">
        <v>1</v>
      </c>
      <c r="E226" s="54">
        <v>0.91568843935233302</v>
      </c>
      <c r="F226" s="11" t="e">
        <f t="shared" si="105"/>
        <v>#N/A</v>
      </c>
      <c r="G226" s="38" t="str">
        <f t="shared" si="106"/>
        <v>تاریخ: 1403/04/27
درصد پیشرفت برنامه ای: 100%
درصد پیشرفت واقعی: 91.57%</v>
      </c>
      <c r="H226" s="55">
        <v>1</v>
      </c>
      <c r="I226" s="56">
        <f t="shared" si="113"/>
        <v>0.9290000000000006</v>
      </c>
      <c r="J226" s="56">
        <v>1.0000000000000004</v>
      </c>
      <c r="K226" s="56">
        <f t="shared" si="93"/>
        <v>1.0000000000000004</v>
      </c>
      <c r="L226" s="56">
        <f t="shared" si="95"/>
        <v>1.0000000000000004</v>
      </c>
      <c r="M226" s="56">
        <f t="shared" si="95"/>
        <v>1.0000000000000004</v>
      </c>
      <c r="N226" s="57">
        <f t="shared" si="94"/>
        <v>1.0000000000000004</v>
      </c>
      <c r="O226" s="16">
        <f t="shared" si="112"/>
        <v>47</v>
      </c>
      <c r="P226" s="17">
        <v>43</v>
      </c>
      <c r="Q226" s="17">
        <v>44</v>
      </c>
      <c r="R226" s="17">
        <v>42</v>
      </c>
      <c r="S226" s="17">
        <v>43</v>
      </c>
      <c r="T226" s="17">
        <v>45</v>
      </c>
      <c r="U226" s="58">
        <v>45</v>
      </c>
      <c r="V226" s="16">
        <f t="shared" si="107"/>
        <v>50</v>
      </c>
      <c r="W226" s="17">
        <f t="shared" si="108"/>
        <v>47</v>
      </c>
      <c r="X226" s="17">
        <f t="shared" si="108"/>
        <v>48</v>
      </c>
      <c r="Y226" s="17">
        <f t="shared" si="109"/>
        <v>43</v>
      </c>
      <c r="Z226" s="17">
        <f t="shared" si="96"/>
        <v>46</v>
      </c>
      <c r="AA226" s="17">
        <f t="shared" si="110"/>
        <v>46</v>
      </c>
      <c r="AB226" s="58">
        <f t="shared" si="111"/>
        <v>50</v>
      </c>
      <c r="AC226" s="67"/>
      <c r="AD226" s="67"/>
      <c r="AE226" s="67"/>
      <c r="AF226" s="67"/>
      <c r="AG226" s="67"/>
      <c r="AH226" s="67"/>
      <c r="AI226" s="73"/>
      <c r="AJ226" s="74"/>
      <c r="AK226" s="74"/>
      <c r="AL226" s="62">
        <v>0.55000000000000004</v>
      </c>
      <c r="AM226" s="63">
        <v>0.4</v>
      </c>
      <c r="AN226" s="63">
        <v>0.4</v>
      </c>
      <c r="AO226" s="63">
        <v>0.9</v>
      </c>
      <c r="AP226" s="64">
        <v>0.8</v>
      </c>
      <c r="AQ226" s="62">
        <f t="shared" si="97"/>
        <v>1</v>
      </c>
      <c r="AR226" s="65">
        <v>1</v>
      </c>
      <c r="AS226" s="62">
        <f t="shared" si="98"/>
        <v>0.9290000000000006</v>
      </c>
      <c r="AT226" s="65">
        <v>1</v>
      </c>
      <c r="AU226" s="62">
        <f t="shared" si="99"/>
        <v>1.0000000000000004</v>
      </c>
      <c r="AV226" s="65">
        <v>1.0000000000000004</v>
      </c>
      <c r="AW226" s="62">
        <f t="shared" si="100"/>
        <v>1.0000000000000004</v>
      </c>
      <c r="AX226" s="65">
        <v>1</v>
      </c>
      <c r="AY226" s="62">
        <f t="shared" si="101"/>
        <v>1.0000000000000004</v>
      </c>
      <c r="AZ226" s="65">
        <v>1.0000000000000004</v>
      </c>
      <c r="BA226" s="62">
        <f t="shared" si="102"/>
        <v>1.0000000000000004</v>
      </c>
      <c r="BB226" s="65">
        <v>1</v>
      </c>
      <c r="BC226" s="62">
        <f t="shared" si="103"/>
        <v>1.0000000000000004</v>
      </c>
      <c r="BD226" s="65">
        <v>1</v>
      </c>
      <c r="BE226" s="74"/>
      <c r="BF226" s="7"/>
      <c r="BG226" s="74"/>
      <c r="BH226" s="7"/>
      <c r="BI226" s="7"/>
      <c r="BJ226" s="7"/>
      <c r="BK226" s="7"/>
      <c r="BL226" s="7"/>
      <c r="BM226" s="7"/>
      <c r="BN226" s="7"/>
      <c r="BO226" s="7"/>
      <c r="BP226" s="7"/>
      <c r="BQ226" s="7"/>
    </row>
    <row r="227" spans="1:69" ht="19.8" thickBot="1" x14ac:dyDescent="0.35">
      <c r="A227" s="16">
        <v>225</v>
      </c>
      <c r="B227" s="52">
        <v>45497</v>
      </c>
      <c r="C227" s="53" t="str">
        <f t="shared" si="104"/>
        <v>1403/05/03</v>
      </c>
      <c r="D227" s="54">
        <v>1</v>
      </c>
      <c r="E227" s="54">
        <v>0.91871021120219576</v>
      </c>
      <c r="F227" s="11" t="e">
        <f t="shared" si="105"/>
        <v>#N/A</v>
      </c>
      <c r="G227" s="38" t="str">
        <f t="shared" si="106"/>
        <v>تاریخ: 1403/05/03
درصد پیشرفت برنامه ای: 100%
درصد پیشرفت واقعی: 91.87%</v>
      </c>
      <c r="H227" s="55">
        <v>1</v>
      </c>
      <c r="I227" s="56">
        <f t="shared" si="113"/>
        <v>0.9310000000000006</v>
      </c>
      <c r="J227" s="56">
        <v>1.0000000000000004</v>
      </c>
      <c r="K227" s="56">
        <f t="shared" ref="K227:K262" si="114">J210</f>
        <v>1.0000000000000004</v>
      </c>
      <c r="L227" s="56">
        <f t="shared" si="95"/>
        <v>1.0000000000000004</v>
      </c>
      <c r="M227" s="56">
        <f t="shared" si="95"/>
        <v>1.0000000000000004</v>
      </c>
      <c r="N227" s="57">
        <f t="shared" si="94"/>
        <v>1.0000000000000004</v>
      </c>
      <c r="O227" s="16">
        <f t="shared" si="112"/>
        <v>45</v>
      </c>
      <c r="P227" s="17">
        <v>46</v>
      </c>
      <c r="Q227" s="17">
        <v>45</v>
      </c>
      <c r="R227" s="17">
        <v>46</v>
      </c>
      <c r="S227" s="17">
        <v>47</v>
      </c>
      <c r="T227" s="17">
        <v>47</v>
      </c>
      <c r="U227" s="58">
        <v>46</v>
      </c>
      <c r="V227" s="16">
        <f t="shared" si="107"/>
        <v>48</v>
      </c>
      <c r="W227" s="17">
        <f t="shared" si="108"/>
        <v>50</v>
      </c>
      <c r="X227" s="17">
        <f t="shared" si="108"/>
        <v>49</v>
      </c>
      <c r="Y227" s="17">
        <f t="shared" si="109"/>
        <v>47</v>
      </c>
      <c r="Z227" s="17">
        <f t="shared" si="96"/>
        <v>50</v>
      </c>
      <c r="AA227" s="17">
        <f t="shared" si="110"/>
        <v>48</v>
      </c>
      <c r="AB227" s="58">
        <f t="shared" si="111"/>
        <v>51</v>
      </c>
      <c r="AC227" s="67"/>
      <c r="AD227" s="67"/>
      <c r="AE227" s="67"/>
      <c r="AF227" s="67"/>
      <c r="AG227" s="67"/>
      <c r="AH227" s="67"/>
      <c r="AI227" s="73"/>
      <c r="AJ227" s="74"/>
      <c r="AK227" s="74"/>
      <c r="AL227" s="62">
        <v>0.7</v>
      </c>
      <c r="AM227" s="63">
        <v>0.55000000000000004</v>
      </c>
      <c r="AN227" s="63">
        <v>0.1</v>
      </c>
      <c r="AO227" s="63">
        <v>0.4</v>
      </c>
      <c r="AP227" s="64">
        <v>0.9</v>
      </c>
      <c r="AQ227" s="62">
        <f t="shared" si="97"/>
        <v>1</v>
      </c>
      <c r="AR227" s="65">
        <v>1</v>
      </c>
      <c r="AS227" s="62">
        <f t="shared" si="98"/>
        <v>0.9310000000000006</v>
      </c>
      <c r="AT227" s="65">
        <v>1</v>
      </c>
      <c r="AU227" s="62">
        <f t="shared" si="99"/>
        <v>1.0000000000000004</v>
      </c>
      <c r="AV227" s="65">
        <v>1.0000000000000004</v>
      </c>
      <c r="AW227" s="62">
        <f t="shared" si="100"/>
        <v>1.0000000000000004</v>
      </c>
      <c r="AX227" s="65">
        <v>1</v>
      </c>
      <c r="AY227" s="62">
        <f t="shared" si="101"/>
        <v>1.0000000000000004</v>
      </c>
      <c r="AZ227" s="65">
        <v>1.0000000000000004</v>
      </c>
      <c r="BA227" s="62">
        <f t="shared" si="102"/>
        <v>1.0000000000000004</v>
      </c>
      <c r="BB227" s="65">
        <v>1</v>
      </c>
      <c r="BC227" s="62">
        <f t="shared" si="103"/>
        <v>1.0000000000000004</v>
      </c>
      <c r="BD227" s="65">
        <v>1</v>
      </c>
      <c r="BE227" s="74"/>
      <c r="BF227" s="7"/>
      <c r="BG227" s="74"/>
      <c r="BH227" s="7"/>
      <c r="BI227" s="7"/>
      <c r="BJ227" s="7"/>
      <c r="BK227" s="7"/>
      <c r="BL227" s="7"/>
      <c r="BM227" s="7"/>
      <c r="BN227" s="7"/>
      <c r="BO227" s="7"/>
      <c r="BP227" s="7"/>
      <c r="BQ227" s="7"/>
    </row>
    <row r="228" spans="1:69" ht="19.8" thickBot="1" x14ac:dyDescent="0.35">
      <c r="A228" s="16">
        <v>226</v>
      </c>
      <c r="B228" s="52">
        <v>45504</v>
      </c>
      <c r="C228" s="53" t="str">
        <f t="shared" si="104"/>
        <v>1403/05/10</v>
      </c>
      <c r="D228" s="54">
        <v>1</v>
      </c>
      <c r="E228" s="54">
        <v>0.921741954899163</v>
      </c>
      <c r="F228" s="11" t="e">
        <f t="shared" si="105"/>
        <v>#N/A</v>
      </c>
      <c r="G228" s="38" t="str">
        <f t="shared" si="106"/>
        <v>تاریخ: 1403/05/10
درصد پیشرفت برنامه ای: 100%
درصد پیشرفت واقعی: 92.17%</v>
      </c>
      <c r="H228" s="55">
        <v>1</v>
      </c>
      <c r="I228" s="56">
        <f t="shared" si="113"/>
        <v>0.93300000000000061</v>
      </c>
      <c r="J228" s="56">
        <v>1.0000000000000004</v>
      </c>
      <c r="K228" s="56">
        <f t="shared" si="114"/>
        <v>1.0000000000000004</v>
      </c>
      <c r="L228" s="56">
        <f t="shared" si="95"/>
        <v>1.0000000000000004</v>
      </c>
      <c r="M228" s="56">
        <f t="shared" si="95"/>
        <v>1.0000000000000004</v>
      </c>
      <c r="N228" s="57">
        <f t="shared" si="94"/>
        <v>1.0000000000000004</v>
      </c>
      <c r="O228" s="16">
        <f t="shared" si="112"/>
        <v>46</v>
      </c>
      <c r="P228" s="17">
        <v>47</v>
      </c>
      <c r="Q228" s="17">
        <v>47</v>
      </c>
      <c r="R228" s="17">
        <v>46</v>
      </c>
      <c r="S228" s="17">
        <v>45</v>
      </c>
      <c r="T228" s="17">
        <v>46</v>
      </c>
      <c r="U228" s="58">
        <v>47</v>
      </c>
      <c r="V228" s="16">
        <f t="shared" si="107"/>
        <v>49</v>
      </c>
      <c r="W228" s="17">
        <f t="shared" si="108"/>
        <v>51</v>
      </c>
      <c r="X228" s="17">
        <f t="shared" si="108"/>
        <v>51</v>
      </c>
      <c r="Y228" s="17">
        <f t="shared" si="109"/>
        <v>47</v>
      </c>
      <c r="Z228" s="17">
        <f t="shared" si="96"/>
        <v>48</v>
      </c>
      <c r="AA228" s="17">
        <f t="shared" si="110"/>
        <v>47</v>
      </c>
      <c r="AB228" s="58">
        <f t="shared" si="111"/>
        <v>52</v>
      </c>
      <c r="AC228" s="67"/>
      <c r="AD228" s="67"/>
      <c r="AE228" s="67"/>
      <c r="AF228" s="67"/>
      <c r="AG228" s="67"/>
      <c r="AH228" s="67"/>
      <c r="AI228" s="73"/>
      <c r="AJ228" s="74"/>
      <c r="AK228" s="74"/>
      <c r="AL228" s="62">
        <v>0.4</v>
      </c>
      <c r="AM228" s="63">
        <v>0.69</v>
      </c>
      <c r="AN228" s="63">
        <v>0.5</v>
      </c>
      <c r="AO228" s="63">
        <v>0.2</v>
      </c>
      <c r="AP228" s="64">
        <v>0.4</v>
      </c>
      <c r="AQ228" s="62">
        <f t="shared" si="97"/>
        <v>1</v>
      </c>
      <c r="AR228" s="65">
        <v>1</v>
      </c>
      <c r="AS228" s="62">
        <f t="shared" si="98"/>
        <v>0.93300000000000061</v>
      </c>
      <c r="AT228" s="65">
        <v>1</v>
      </c>
      <c r="AU228" s="62">
        <f t="shared" si="99"/>
        <v>1.0000000000000004</v>
      </c>
      <c r="AV228" s="65">
        <v>1.0000000000000004</v>
      </c>
      <c r="AW228" s="62">
        <f t="shared" si="100"/>
        <v>1.0000000000000004</v>
      </c>
      <c r="AX228" s="65">
        <v>1</v>
      </c>
      <c r="AY228" s="62">
        <f t="shared" si="101"/>
        <v>1.0000000000000004</v>
      </c>
      <c r="AZ228" s="65">
        <v>1.0000000000000004</v>
      </c>
      <c r="BA228" s="62">
        <f t="shared" si="102"/>
        <v>1.0000000000000004</v>
      </c>
      <c r="BB228" s="65">
        <v>1</v>
      </c>
      <c r="BC228" s="62">
        <f t="shared" si="103"/>
        <v>1.0000000000000004</v>
      </c>
      <c r="BD228" s="65">
        <v>1</v>
      </c>
      <c r="BE228" s="74"/>
      <c r="BF228" s="7"/>
      <c r="BG228" s="74"/>
      <c r="BH228" s="7"/>
      <c r="BI228" s="7"/>
      <c r="BJ228" s="7"/>
      <c r="BK228" s="7"/>
      <c r="BL228" s="7"/>
      <c r="BM228" s="7"/>
      <c r="BN228" s="7"/>
      <c r="BO228" s="7"/>
      <c r="BP228" s="7"/>
      <c r="BQ228" s="7"/>
    </row>
    <row r="229" spans="1:69" ht="19.8" thickBot="1" x14ac:dyDescent="0.35">
      <c r="A229" s="16">
        <v>227</v>
      </c>
      <c r="B229" s="52">
        <v>45511</v>
      </c>
      <c r="C229" s="53" t="str">
        <f t="shared" si="104"/>
        <v>1403/05/17</v>
      </c>
      <c r="D229" s="54">
        <v>1</v>
      </c>
      <c r="E229" s="54">
        <v>0.92478370335033022</v>
      </c>
      <c r="F229" s="11" t="e">
        <f t="shared" si="105"/>
        <v>#N/A</v>
      </c>
      <c r="G229" s="38" t="str">
        <f t="shared" si="106"/>
        <v>تاریخ: 1403/05/17
درصد پیشرفت برنامه ای: 100%
درصد پیشرفت واقعی: 92.48%</v>
      </c>
      <c r="H229" s="55">
        <v>1</v>
      </c>
      <c r="I229" s="56">
        <f t="shared" si="113"/>
        <v>0.93500000000000061</v>
      </c>
      <c r="J229" s="56">
        <v>1.0000000000000004</v>
      </c>
      <c r="K229" s="56">
        <f t="shared" si="114"/>
        <v>1.0000000000000004</v>
      </c>
      <c r="L229" s="56">
        <f t="shared" si="95"/>
        <v>1.0000000000000004</v>
      </c>
      <c r="M229" s="56">
        <f t="shared" si="95"/>
        <v>1.0000000000000004</v>
      </c>
      <c r="N229" s="57">
        <f t="shared" si="94"/>
        <v>1.0000000000000004</v>
      </c>
      <c r="O229" s="16">
        <f t="shared" si="112"/>
        <v>47</v>
      </c>
      <c r="P229" s="17">
        <v>43</v>
      </c>
      <c r="Q229" s="17">
        <v>44</v>
      </c>
      <c r="R229" s="17">
        <v>42</v>
      </c>
      <c r="S229" s="17">
        <v>43</v>
      </c>
      <c r="T229" s="17">
        <v>45</v>
      </c>
      <c r="U229" s="58">
        <v>45</v>
      </c>
      <c r="V229" s="16">
        <f t="shared" si="107"/>
        <v>50</v>
      </c>
      <c r="W229" s="17">
        <f t="shared" si="108"/>
        <v>47</v>
      </c>
      <c r="X229" s="17">
        <f t="shared" si="108"/>
        <v>48</v>
      </c>
      <c r="Y229" s="17">
        <f t="shared" si="109"/>
        <v>43</v>
      </c>
      <c r="Z229" s="17">
        <f t="shared" si="96"/>
        <v>46</v>
      </c>
      <c r="AA229" s="17">
        <f t="shared" si="110"/>
        <v>46</v>
      </c>
      <c r="AB229" s="58">
        <f t="shared" si="111"/>
        <v>50</v>
      </c>
      <c r="AC229" s="67"/>
      <c r="AD229" s="67"/>
      <c r="AE229" s="67"/>
      <c r="AF229" s="67"/>
      <c r="AG229" s="67"/>
      <c r="AH229" s="67"/>
      <c r="AI229" s="73"/>
      <c r="AJ229" s="74"/>
      <c r="AK229" s="74"/>
      <c r="AL229" s="62">
        <v>0.35</v>
      </c>
      <c r="AM229" s="63">
        <v>0.4</v>
      </c>
      <c r="AN229" s="63">
        <v>0.9</v>
      </c>
      <c r="AO229" s="63">
        <v>0.8</v>
      </c>
      <c r="AP229" s="64">
        <v>0.2</v>
      </c>
      <c r="AQ229" s="62">
        <f t="shared" si="97"/>
        <v>1</v>
      </c>
      <c r="AR229" s="65">
        <v>1</v>
      </c>
      <c r="AS229" s="62">
        <f t="shared" si="98"/>
        <v>0.93500000000000061</v>
      </c>
      <c r="AT229" s="65">
        <v>1</v>
      </c>
      <c r="AU229" s="62">
        <f t="shared" si="99"/>
        <v>1.0000000000000004</v>
      </c>
      <c r="AV229" s="65">
        <v>1.0000000000000004</v>
      </c>
      <c r="AW229" s="62">
        <f t="shared" si="100"/>
        <v>1.0000000000000004</v>
      </c>
      <c r="AX229" s="65">
        <v>1</v>
      </c>
      <c r="AY229" s="62">
        <f t="shared" si="101"/>
        <v>1.0000000000000004</v>
      </c>
      <c r="AZ229" s="65">
        <v>1.0000000000000004</v>
      </c>
      <c r="BA229" s="62">
        <f t="shared" si="102"/>
        <v>1.0000000000000004</v>
      </c>
      <c r="BB229" s="65">
        <v>1</v>
      </c>
      <c r="BC229" s="62">
        <f t="shared" si="103"/>
        <v>1.0000000000000004</v>
      </c>
      <c r="BD229" s="65">
        <v>1</v>
      </c>
      <c r="BE229" s="74"/>
      <c r="BF229" s="7"/>
      <c r="BG229" s="74"/>
      <c r="BH229" s="7"/>
      <c r="BI229" s="7"/>
      <c r="BJ229" s="7"/>
      <c r="BK229" s="7"/>
      <c r="BL229" s="7"/>
      <c r="BM229" s="7"/>
      <c r="BN229" s="7"/>
      <c r="BO229" s="7"/>
      <c r="BP229" s="7"/>
      <c r="BQ229" s="7"/>
    </row>
    <row r="230" spans="1:69" ht="19.8" thickBot="1" x14ac:dyDescent="0.35">
      <c r="A230" s="16">
        <v>228</v>
      </c>
      <c r="B230" s="52">
        <v>45518</v>
      </c>
      <c r="C230" s="53" t="str">
        <f t="shared" si="104"/>
        <v>1403/05/24</v>
      </c>
      <c r="D230" s="54">
        <v>1</v>
      </c>
      <c r="E230" s="54">
        <v>0.92783548957138628</v>
      </c>
      <c r="F230" s="11" t="e">
        <f t="shared" si="105"/>
        <v>#N/A</v>
      </c>
      <c r="G230" s="38" t="str">
        <f t="shared" si="106"/>
        <v>تاریخ: 1403/05/24
درصد پیشرفت برنامه ای: 100%
درصد پیشرفت واقعی: 92.78%</v>
      </c>
      <c r="H230" s="55">
        <v>1</v>
      </c>
      <c r="I230" s="56">
        <f t="shared" si="113"/>
        <v>0.93700000000000061</v>
      </c>
      <c r="J230" s="56">
        <v>1.0000000000000004</v>
      </c>
      <c r="K230" s="56">
        <f t="shared" si="114"/>
        <v>1.0000000000000004</v>
      </c>
      <c r="L230" s="56">
        <f t="shared" si="95"/>
        <v>1.0000000000000004</v>
      </c>
      <c r="M230" s="56">
        <f t="shared" si="95"/>
        <v>1.0000000000000004</v>
      </c>
      <c r="N230" s="57">
        <f t="shared" ref="N230:N262" si="115">M211</f>
        <v>1.0000000000000004</v>
      </c>
      <c r="O230" s="16">
        <f t="shared" si="112"/>
        <v>45</v>
      </c>
      <c r="P230" s="17">
        <v>46</v>
      </c>
      <c r="Q230" s="17">
        <v>45</v>
      </c>
      <c r="R230" s="17">
        <v>46</v>
      </c>
      <c r="S230" s="17">
        <v>47</v>
      </c>
      <c r="T230" s="17">
        <v>47</v>
      </c>
      <c r="U230" s="58">
        <v>46</v>
      </c>
      <c r="V230" s="16">
        <f t="shared" si="107"/>
        <v>48</v>
      </c>
      <c r="W230" s="17">
        <f t="shared" si="108"/>
        <v>50</v>
      </c>
      <c r="X230" s="17">
        <f t="shared" si="108"/>
        <v>49</v>
      </c>
      <c r="Y230" s="17">
        <f t="shared" si="109"/>
        <v>47</v>
      </c>
      <c r="Z230" s="17">
        <f t="shared" si="96"/>
        <v>50</v>
      </c>
      <c r="AA230" s="17">
        <f t="shared" si="110"/>
        <v>48</v>
      </c>
      <c r="AB230" s="58">
        <f t="shared" si="111"/>
        <v>51</v>
      </c>
      <c r="AC230" s="67"/>
      <c r="AD230" s="67"/>
      <c r="AE230" s="67"/>
      <c r="AF230" s="67"/>
      <c r="AG230" s="67"/>
      <c r="AH230" s="67"/>
      <c r="AI230" s="73"/>
      <c r="AJ230" s="74"/>
      <c r="AK230" s="74"/>
      <c r="AL230" s="62">
        <v>0.85</v>
      </c>
      <c r="AM230" s="63">
        <v>0.8</v>
      </c>
      <c r="AN230" s="63">
        <v>0.5</v>
      </c>
      <c r="AO230" s="63">
        <v>0.6</v>
      </c>
      <c r="AP230" s="64">
        <v>0.6</v>
      </c>
      <c r="AQ230" s="62">
        <f t="shared" si="97"/>
        <v>1</v>
      </c>
      <c r="AR230" s="65">
        <v>1</v>
      </c>
      <c r="AS230" s="62">
        <f t="shared" si="98"/>
        <v>0.93700000000000061</v>
      </c>
      <c r="AT230" s="65">
        <v>1</v>
      </c>
      <c r="AU230" s="62">
        <f t="shared" si="99"/>
        <v>1.0000000000000004</v>
      </c>
      <c r="AV230" s="65">
        <v>1.0000000000000004</v>
      </c>
      <c r="AW230" s="62">
        <f t="shared" si="100"/>
        <v>1.0000000000000004</v>
      </c>
      <c r="AX230" s="65">
        <v>1</v>
      </c>
      <c r="AY230" s="62">
        <f t="shared" si="101"/>
        <v>1.0000000000000004</v>
      </c>
      <c r="AZ230" s="65">
        <v>1.0000000000000004</v>
      </c>
      <c r="BA230" s="62">
        <f t="shared" si="102"/>
        <v>1.0000000000000004</v>
      </c>
      <c r="BB230" s="65">
        <v>1</v>
      </c>
      <c r="BC230" s="62">
        <f t="shared" si="103"/>
        <v>1.0000000000000004</v>
      </c>
      <c r="BD230" s="65">
        <v>1</v>
      </c>
      <c r="BE230" s="74"/>
      <c r="BF230" s="7"/>
      <c r="BG230" s="74"/>
      <c r="BH230" s="7"/>
      <c r="BI230" s="7"/>
      <c r="BJ230" s="7"/>
      <c r="BK230" s="7"/>
      <c r="BL230" s="7"/>
      <c r="BM230" s="7"/>
      <c r="BN230" s="7"/>
      <c r="BO230" s="7"/>
      <c r="BP230" s="7"/>
      <c r="BQ230" s="7"/>
    </row>
    <row r="231" spans="1:69" ht="19.8" thickBot="1" x14ac:dyDescent="0.35">
      <c r="A231" s="16">
        <v>229</v>
      </c>
      <c r="B231" s="52">
        <v>45525</v>
      </c>
      <c r="C231" s="53" t="str">
        <f t="shared" si="104"/>
        <v>1403/05/31</v>
      </c>
      <c r="D231" s="54">
        <v>1</v>
      </c>
      <c r="E231" s="54">
        <v>0.93089734668697188</v>
      </c>
      <c r="F231" s="11" t="e">
        <f t="shared" si="105"/>
        <v>#N/A</v>
      </c>
      <c r="G231" s="38" t="str">
        <f t="shared" si="106"/>
        <v>تاریخ: 1403/05/31
درصد پیشرفت برنامه ای: 100%
درصد پیشرفت واقعی: 93.09%</v>
      </c>
      <c r="H231" s="55">
        <v>1</v>
      </c>
      <c r="I231" s="56">
        <f t="shared" si="113"/>
        <v>0.93900000000000061</v>
      </c>
      <c r="J231" s="56">
        <v>1.0000000000000004</v>
      </c>
      <c r="K231" s="56">
        <f t="shared" si="114"/>
        <v>1.0000000000000004</v>
      </c>
      <c r="L231" s="56">
        <f t="shared" si="95"/>
        <v>1.0000000000000004</v>
      </c>
      <c r="M231" s="56">
        <f t="shared" si="95"/>
        <v>1.0000000000000004</v>
      </c>
      <c r="N231" s="57">
        <f t="shared" si="115"/>
        <v>1.0000000000000004</v>
      </c>
      <c r="O231" s="16">
        <f t="shared" si="112"/>
        <v>46</v>
      </c>
      <c r="P231" s="17">
        <v>43</v>
      </c>
      <c r="Q231" s="17">
        <v>44</v>
      </c>
      <c r="R231" s="17">
        <v>42</v>
      </c>
      <c r="S231" s="17">
        <v>43</v>
      </c>
      <c r="T231" s="17">
        <v>45</v>
      </c>
      <c r="U231" s="58">
        <v>45</v>
      </c>
      <c r="V231" s="16">
        <f t="shared" si="107"/>
        <v>49</v>
      </c>
      <c r="W231" s="17">
        <f t="shared" si="108"/>
        <v>47</v>
      </c>
      <c r="X231" s="17">
        <f t="shared" si="108"/>
        <v>48</v>
      </c>
      <c r="Y231" s="17">
        <f t="shared" si="109"/>
        <v>43</v>
      </c>
      <c r="Z231" s="17">
        <f t="shared" si="96"/>
        <v>46</v>
      </c>
      <c r="AA231" s="17">
        <f t="shared" si="110"/>
        <v>46</v>
      </c>
      <c r="AB231" s="58">
        <f t="shared" si="111"/>
        <v>50</v>
      </c>
      <c r="AC231" s="67"/>
      <c r="AD231" s="67"/>
      <c r="AE231" s="67"/>
      <c r="AF231" s="67"/>
      <c r="AG231" s="67"/>
      <c r="AH231" s="67"/>
      <c r="AI231" s="73"/>
      <c r="AJ231" s="74"/>
      <c r="AK231" s="74"/>
      <c r="AL231" s="62">
        <v>0.9</v>
      </c>
      <c r="AM231" s="63">
        <v>0.95</v>
      </c>
      <c r="AN231" s="63">
        <v>0.8</v>
      </c>
      <c r="AO231" s="63">
        <v>0.7</v>
      </c>
      <c r="AP231" s="64">
        <v>0.1</v>
      </c>
      <c r="AQ231" s="62">
        <f t="shared" si="97"/>
        <v>1</v>
      </c>
      <c r="AR231" s="65">
        <v>1</v>
      </c>
      <c r="AS231" s="62">
        <f t="shared" si="98"/>
        <v>0.93900000000000061</v>
      </c>
      <c r="AT231" s="65">
        <v>1</v>
      </c>
      <c r="AU231" s="62">
        <f t="shared" si="99"/>
        <v>1.0000000000000004</v>
      </c>
      <c r="AV231" s="65">
        <v>1.0000000000000004</v>
      </c>
      <c r="AW231" s="62">
        <f t="shared" si="100"/>
        <v>1.0000000000000004</v>
      </c>
      <c r="AX231" s="65">
        <v>1</v>
      </c>
      <c r="AY231" s="62">
        <f t="shared" si="101"/>
        <v>1.0000000000000004</v>
      </c>
      <c r="AZ231" s="65">
        <v>1.0000000000000004</v>
      </c>
      <c r="BA231" s="62">
        <f t="shared" si="102"/>
        <v>1.0000000000000004</v>
      </c>
      <c r="BB231" s="65">
        <v>1</v>
      </c>
      <c r="BC231" s="62">
        <f t="shared" si="103"/>
        <v>1.0000000000000004</v>
      </c>
      <c r="BD231" s="65">
        <v>1</v>
      </c>
      <c r="BE231" s="74"/>
      <c r="BF231" s="7"/>
      <c r="BG231" s="74"/>
      <c r="BH231" s="7"/>
      <c r="BI231" s="7"/>
      <c r="BJ231" s="7"/>
      <c r="BK231" s="7"/>
      <c r="BL231" s="7"/>
      <c r="BM231" s="7"/>
      <c r="BN231" s="7"/>
      <c r="BO231" s="7"/>
      <c r="BP231" s="7"/>
      <c r="BQ231" s="7"/>
    </row>
    <row r="232" spans="1:69" ht="19.8" thickBot="1" x14ac:dyDescent="0.35">
      <c r="A232" s="16">
        <v>230</v>
      </c>
      <c r="B232" s="52">
        <v>45532</v>
      </c>
      <c r="C232" s="53" t="str">
        <f t="shared" si="104"/>
        <v>1403/06/07</v>
      </c>
      <c r="D232" s="54">
        <v>1</v>
      </c>
      <c r="E232" s="54">
        <v>0.93396930793103894</v>
      </c>
      <c r="F232" s="11" t="e">
        <f t="shared" si="105"/>
        <v>#N/A</v>
      </c>
      <c r="G232" s="38" t="str">
        <f t="shared" si="106"/>
        <v>تاریخ: 1403/06/07
درصد پیشرفت برنامه ای: 100%
درصد پیشرفت واقعی: 93.4%</v>
      </c>
      <c r="H232" s="55">
        <v>1</v>
      </c>
      <c r="I232" s="56">
        <f t="shared" si="113"/>
        <v>0.94100000000000061</v>
      </c>
      <c r="J232" s="56">
        <v>1.0000000000000004</v>
      </c>
      <c r="K232" s="56">
        <f t="shared" si="114"/>
        <v>1.0000000000000004</v>
      </c>
      <c r="L232" s="56">
        <f t="shared" si="95"/>
        <v>1.0000000000000004</v>
      </c>
      <c r="M232" s="56">
        <f t="shared" si="95"/>
        <v>1.0000000000000004</v>
      </c>
      <c r="N232" s="57">
        <f t="shared" si="115"/>
        <v>1.0000000000000004</v>
      </c>
      <c r="O232" s="16">
        <f t="shared" si="112"/>
        <v>45</v>
      </c>
      <c r="P232" s="17">
        <v>40</v>
      </c>
      <c r="Q232" s="17">
        <v>41</v>
      </c>
      <c r="R232" s="17">
        <v>40</v>
      </c>
      <c r="S232" s="17">
        <v>42</v>
      </c>
      <c r="T232" s="17">
        <v>43</v>
      </c>
      <c r="U232" s="58">
        <v>42</v>
      </c>
      <c r="V232" s="16">
        <f t="shared" si="107"/>
        <v>48</v>
      </c>
      <c r="W232" s="17">
        <f t="shared" si="108"/>
        <v>44</v>
      </c>
      <c r="X232" s="17">
        <f t="shared" si="108"/>
        <v>45</v>
      </c>
      <c r="Y232" s="17">
        <f t="shared" si="109"/>
        <v>41</v>
      </c>
      <c r="Z232" s="17">
        <f t="shared" si="96"/>
        <v>45</v>
      </c>
      <c r="AA232" s="17">
        <f t="shared" si="110"/>
        <v>44</v>
      </c>
      <c r="AB232" s="58">
        <f t="shared" si="111"/>
        <v>47</v>
      </c>
      <c r="AC232" s="67"/>
      <c r="AD232" s="67"/>
      <c r="AE232" s="67"/>
      <c r="AF232" s="67"/>
      <c r="AG232" s="67"/>
      <c r="AH232" s="67"/>
      <c r="AI232" s="73"/>
      <c r="AJ232" s="74"/>
      <c r="AK232" s="74"/>
      <c r="AL232" s="62">
        <v>0.7</v>
      </c>
      <c r="AM232" s="63">
        <v>0.68</v>
      </c>
      <c r="AN232" s="63">
        <v>0.5</v>
      </c>
      <c r="AO232" s="63">
        <v>0.9</v>
      </c>
      <c r="AP232" s="64">
        <v>0.55000000000000004</v>
      </c>
      <c r="AQ232" s="62">
        <f t="shared" si="97"/>
        <v>1</v>
      </c>
      <c r="AR232" s="65">
        <v>1</v>
      </c>
      <c r="AS232" s="62">
        <f t="shared" si="98"/>
        <v>0.94100000000000061</v>
      </c>
      <c r="AT232" s="65">
        <v>1</v>
      </c>
      <c r="AU232" s="62">
        <f t="shared" si="99"/>
        <v>1.0000000000000004</v>
      </c>
      <c r="AV232" s="65">
        <v>1.0000000000000004</v>
      </c>
      <c r="AW232" s="62">
        <f t="shared" si="100"/>
        <v>1.0000000000000004</v>
      </c>
      <c r="AX232" s="65">
        <v>1</v>
      </c>
      <c r="AY232" s="62">
        <f t="shared" si="101"/>
        <v>1.0000000000000004</v>
      </c>
      <c r="AZ232" s="65">
        <v>1.0000000000000004</v>
      </c>
      <c r="BA232" s="62">
        <f t="shared" si="102"/>
        <v>1.0000000000000004</v>
      </c>
      <c r="BB232" s="65">
        <v>1</v>
      </c>
      <c r="BC232" s="62">
        <f t="shared" si="103"/>
        <v>1.0000000000000004</v>
      </c>
      <c r="BD232" s="65">
        <v>1</v>
      </c>
      <c r="BE232" s="74"/>
      <c r="BF232" s="7"/>
      <c r="BG232" s="74"/>
      <c r="BH232" s="7"/>
      <c r="BI232" s="7"/>
      <c r="BJ232" s="7"/>
      <c r="BK232" s="7"/>
      <c r="BL232" s="7"/>
      <c r="BM232" s="7"/>
      <c r="BN232" s="7"/>
      <c r="BO232" s="7"/>
      <c r="BP232" s="7"/>
      <c r="BQ232" s="7"/>
    </row>
    <row r="233" spans="1:69" ht="19.8" thickBot="1" x14ac:dyDescent="0.35">
      <c r="A233" s="16">
        <v>231</v>
      </c>
      <c r="B233" s="52">
        <v>45539</v>
      </c>
      <c r="C233" s="53" t="str">
        <f t="shared" si="104"/>
        <v>1403/06/14</v>
      </c>
      <c r="D233" s="54">
        <v>1</v>
      </c>
      <c r="E233" s="54">
        <v>0.93705140664721132</v>
      </c>
      <c r="F233" s="11" t="e">
        <f t="shared" si="105"/>
        <v>#N/A</v>
      </c>
      <c r="G233" s="38" t="str">
        <f t="shared" si="106"/>
        <v>تاریخ: 1403/06/14
درصد پیشرفت برنامه ای: 100%
درصد پیشرفت واقعی: 93.71%</v>
      </c>
      <c r="H233" s="55">
        <v>1</v>
      </c>
      <c r="I233" s="56">
        <f t="shared" si="113"/>
        <v>0.94300000000000062</v>
      </c>
      <c r="J233" s="56">
        <v>1.0000000000000004</v>
      </c>
      <c r="K233" s="56">
        <f t="shared" si="114"/>
        <v>1.0000000000000004</v>
      </c>
      <c r="L233" s="56">
        <f t="shared" si="95"/>
        <v>1.0000000000000004</v>
      </c>
      <c r="M233" s="56">
        <f t="shared" si="95"/>
        <v>1.0000000000000004</v>
      </c>
      <c r="N233" s="57">
        <f t="shared" si="115"/>
        <v>1.0000000000000004</v>
      </c>
      <c r="O233" s="16">
        <f t="shared" si="112"/>
        <v>42</v>
      </c>
      <c r="P233" s="17">
        <v>36</v>
      </c>
      <c r="Q233" s="17">
        <v>37</v>
      </c>
      <c r="R233" s="17">
        <v>36</v>
      </c>
      <c r="S233" s="17">
        <v>38</v>
      </c>
      <c r="T233" s="17">
        <v>36</v>
      </c>
      <c r="U233" s="58">
        <v>36</v>
      </c>
      <c r="V233" s="16">
        <f t="shared" si="107"/>
        <v>45</v>
      </c>
      <c r="W233" s="17">
        <f t="shared" si="108"/>
        <v>40</v>
      </c>
      <c r="X233" s="17">
        <f t="shared" si="108"/>
        <v>41</v>
      </c>
      <c r="Y233" s="17">
        <f t="shared" si="109"/>
        <v>37</v>
      </c>
      <c r="Z233" s="17">
        <f t="shared" si="96"/>
        <v>41</v>
      </c>
      <c r="AA233" s="17">
        <f t="shared" si="110"/>
        <v>37</v>
      </c>
      <c r="AB233" s="58">
        <f t="shared" si="111"/>
        <v>41</v>
      </c>
      <c r="AC233" s="67"/>
      <c r="AD233" s="67"/>
      <c r="AE233" s="67"/>
      <c r="AF233" s="67"/>
      <c r="AG233" s="67"/>
      <c r="AH233" s="67"/>
      <c r="AI233" s="73"/>
      <c r="AJ233" s="74"/>
      <c r="AK233" s="74"/>
      <c r="AL233" s="62">
        <v>0.6</v>
      </c>
      <c r="AM233" s="63">
        <v>0.5</v>
      </c>
      <c r="AN233" s="63">
        <v>0.66</v>
      </c>
      <c r="AO233" s="63">
        <v>0.5</v>
      </c>
      <c r="AP233" s="64">
        <v>0.9</v>
      </c>
      <c r="AQ233" s="62">
        <f t="shared" si="97"/>
        <v>1</v>
      </c>
      <c r="AR233" s="65">
        <v>1</v>
      </c>
      <c r="AS233" s="62">
        <f t="shared" si="98"/>
        <v>0.94300000000000062</v>
      </c>
      <c r="AT233" s="65">
        <v>1</v>
      </c>
      <c r="AU233" s="62">
        <f t="shared" si="99"/>
        <v>1.0000000000000004</v>
      </c>
      <c r="AV233" s="65">
        <v>1.0000000000000004</v>
      </c>
      <c r="AW233" s="62">
        <f t="shared" si="100"/>
        <v>1.0000000000000004</v>
      </c>
      <c r="AX233" s="65">
        <v>1</v>
      </c>
      <c r="AY233" s="62">
        <f t="shared" si="101"/>
        <v>1.0000000000000004</v>
      </c>
      <c r="AZ233" s="65">
        <v>1.0000000000000004</v>
      </c>
      <c r="BA233" s="62">
        <f t="shared" si="102"/>
        <v>1.0000000000000004</v>
      </c>
      <c r="BB233" s="65">
        <v>1</v>
      </c>
      <c r="BC233" s="62">
        <f t="shared" si="103"/>
        <v>1.0000000000000004</v>
      </c>
      <c r="BD233" s="65">
        <v>1</v>
      </c>
      <c r="BE233" s="74"/>
      <c r="BF233" s="7"/>
      <c r="BG233" s="74"/>
      <c r="BH233" s="7"/>
      <c r="BI233" s="7"/>
      <c r="BJ233" s="7"/>
      <c r="BK233" s="7"/>
      <c r="BL233" s="7"/>
      <c r="BM233" s="7"/>
      <c r="BN233" s="7"/>
      <c r="BO233" s="7"/>
      <c r="BP233" s="7"/>
      <c r="BQ233" s="7"/>
    </row>
    <row r="234" spans="1:69" ht="19.8" thickBot="1" x14ac:dyDescent="0.35">
      <c r="A234" s="16">
        <v>232</v>
      </c>
      <c r="B234" s="52">
        <v>45546</v>
      </c>
      <c r="C234" s="53" t="str">
        <f t="shared" si="104"/>
        <v>1403/06/21</v>
      </c>
      <c r="D234" s="54">
        <v>1</v>
      </c>
      <c r="E234" s="54">
        <v>0.94014367628914708</v>
      </c>
      <c r="F234" s="11" t="e">
        <f t="shared" si="105"/>
        <v>#N/A</v>
      </c>
      <c r="G234" s="38" t="str">
        <f t="shared" si="106"/>
        <v>تاریخ: 1403/06/21
درصد پیشرفت برنامه ای: 100%
درصد پیشرفت واقعی: 94.01%</v>
      </c>
      <c r="H234" s="55">
        <v>1</v>
      </c>
      <c r="I234" s="56">
        <f t="shared" si="113"/>
        <v>0.94500000000000062</v>
      </c>
      <c r="J234" s="56">
        <v>1.0000000000000004</v>
      </c>
      <c r="K234" s="56">
        <f t="shared" si="114"/>
        <v>1.0000000000000004</v>
      </c>
      <c r="L234" s="56">
        <f t="shared" si="95"/>
        <v>1.0000000000000004</v>
      </c>
      <c r="M234" s="56">
        <f t="shared" si="95"/>
        <v>1.0000000000000004</v>
      </c>
      <c r="N234" s="57">
        <f t="shared" si="115"/>
        <v>1.0000000000000004</v>
      </c>
      <c r="O234" s="16">
        <f t="shared" si="112"/>
        <v>36</v>
      </c>
      <c r="P234" s="17">
        <v>22</v>
      </c>
      <c r="Q234" s="17">
        <v>22</v>
      </c>
      <c r="R234" s="17">
        <v>23</v>
      </c>
      <c r="S234" s="17">
        <v>21</v>
      </c>
      <c r="T234" s="17">
        <v>22</v>
      </c>
      <c r="U234" s="58">
        <v>24</v>
      </c>
      <c r="V234" s="16">
        <f t="shared" si="107"/>
        <v>39</v>
      </c>
      <c r="W234" s="17">
        <f t="shared" si="108"/>
        <v>26</v>
      </c>
      <c r="X234" s="17">
        <f t="shared" si="108"/>
        <v>26</v>
      </c>
      <c r="Y234" s="17">
        <f t="shared" si="109"/>
        <v>24</v>
      </c>
      <c r="Z234" s="17">
        <f t="shared" si="96"/>
        <v>24</v>
      </c>
      <c r="AA234" s="17">
        <f t="shared" si="110"/>
        <v>23</v>
      </c>
      <c r="AB234" s="58">
        <f t="shared" si="111"/>
        <v>29</v>
      </c>
      <c r="AC234" s="67"/>
      <c r="AD234" s="67"/>
      <c r="AE234" s="67"/>
      <c r="AF234" s="67"/>
      <c r="AG234" s="67"/>
      <c r="AH234" s="67"/>
      <c r="AI234" s="73"/>
      <c r="AJ234" s="74"/>
      <c r="AK234" s="74"/>
      <c r="AL234" s="62">
        <v>0.55000000000000004</v>
      </c>
      <c r="AM234" s="63">
        <v>0.62</v>
      </c>
      <c r="AN234" s="63">
        <v>0.78</v>
      </c>
      <c r="AO234" s="63">
        <v>0.42</v>
      </c>
      <c r="AP234" s="64">
        <v>0.8</v>
      </c>
      <c r="AQ234" s="62">
        <f t="shared" si="97"/>
        <v>1</v>
      </c>
      <c r="AR234" s="65">
        <v>1</v>
      </c>
      <c r="AS234" s="62">
        <f t="shared" si="98"/>
        <v>0.94500000000000062</v>
      </c>
      <c r="AT234" s="65">
        <v>1</v>
      </c>
      <c r="AU234" s="62">
        <f t="shared" si="99"/>
        <v>1.0000000000000004</v>
      </c>
      <c r="AV234" s="65">
        <v>1.0000000000000004</v>
      </c>
      <c r="AW234" s="62">
        <f t="shared" si="100"/>
        <v>1.0000000000000004</v>
      </c>
      <c r="AX234" s="65">
        <v>1</v>
      </c>
      <c r="AY234" s="62">
        <f t="shared" si="101"/>
        <v>1.0000000000000004</v>
      </c>
      <c r="AZ234" s="65">
        <v>1.0000000000000004</v>
      </c>
      <c r="BA234" s="62">
        <f t="shared" si="102"/>
        <v>1.0000000000000004</v>
      </c>
      <c r="BB234" s="65">
        <v>1</v>
      </c>
      <c r="BC234" s="62">
        <f t="shared" si="103"/>
        <v>1.0000000000000004</v>
      </c>
      <c r="BD234" s="65">
        <v>1</v>
      </c>
      <c r="BE234" s="74"/>
      <c r="BF234" s="7"/>
      <c r="BG234" s="74"/>
      <c r="BH234" s="7"/>
      <c r="BI234" s="7"/>
      <c r="BJ234" s="7"/>
      <c r="BK234" s="7"/>
      <c r="BL234" s="7"/>
      <c r="BM234" s="7"/>
      <c r="BN234" s="7"/>
      <c r="BO234" s="7"/>
      <c r="BP234" s="7"/>
      <c r="BQ234" s="7"/>
    </row>
    <row r="235" spans="1:69" ht="19.8" thickBot="1" x14ac:dyDescent="0.35">
      <c r="A235" s="16">
        <v>233</v>
      </c>
      <c r="B235" s="52">
        <v>45553</v>
      </c>
      <c r="C235" s="53" t="str">
        <f t="shared" si="104"/>
        <v>1403/06/28</v>
      </c>
      <c r="D235" s="54">
        <v>1</v>
      </c>
      <c r="E235" s="54">
        <v>0.94324615042090132</v>
      </c>
      <c r="F235" s="11" t="e">
        <f t="shared" si="105"/>
        <v>#N/A</v>
      </c>
      <c r="G235" s="38" t="str">
        <f t="shared" si="106"/>
        <v>تاریخ: 1403/06/28
درصد پیشرفت برنامه ای: 100%
درصد پیشرفت واقعی: 94.32%</v>
      </c>
      <c r="H235" s="55">
        <v>1</v>
      </c>
      <c r="I235" s="56">
        <f t="shared" si="113"/>
        <v>0.94700000000000062</v>
      </c>
      <c r="J235" s="56">
        <v>1.0000000000000004</v>
      </c>
      <c r="K235" s="56">
        <f t="shared" si="114"/>
        <v>1.0000000000000004</v>
      </c>
      <c r="L235" s="56">
        <f t="shared" si="95"/>
        <v>1.0000000000000004</v>
      </c>
      <c r="M235" s="56">
        <f t="shared" si="95"/>
        <v>1.0000000000000004</v>
      </c>
      <c r="N235" s="57">
        <f t="shared" si="115"/>
        <v>1.0000000000000004</v>
      </c>
      <c r="O235" s="16">
        <f t="shared" si="112"/>
        <v>24</v>
      </c>
      <c r="P235" s="17">
        <v>23</v>
      </c>
      <c r="Q235" s="17">
        <v>24</v>
      </c>
      <c r="R235" s="17">
        <v>23</v>
      </c>
      <c r="S235" s="17">
        <v>25</v>
      </c>
      <c r="T235" s="17">
        <v>25</v>
      </c>
      <c r="U235" s="58">
        <v>26</v>
      </c>
      <c r="V235" s="16">
        <f t="shared" si="107"/>
        <v>27</v>
      </c>
      <c r="W235" s="17">
        <f t="shared" si="108"/>
        <v>27</v>
      </c>
      <c r="X235" s="17">
        <f t="shared" si="108"/>
        <v>28</v>
      </c>
      <c r="Y235" s="17">
        <f t="shared" si="109"/>
        <v>24</v>
      </c>
      <c r="Z235" s="17">
        <f t="shared" si="96"/>
        <v>28</v>
      </c>
      <c r="AA235" s="17">
        <f t="shared" si="110"/>
        <v>26</v>
      </c>
      <c r="AB235" s="58">
        <f t="shared" si="111"/>
        <v>31</v>
      </c>
      <c r="AC235" s="67"/>
      <c r="AD235" s="67"/>
      <c r="AE235" s="67"/>
      <c r="AF235" s="67"/>
      <c r="AG235" s="67"/>
      <c r="AH235" s="67"/>
      <c r="AI235" s="73"/>
      <c r="AJ235" s="74"/>
      <c r="AK235" s="74"/>
      <c r="AL235" s="62">
        <v>0.6</v>
      </c>
      <c r="AM235" s="63">
        <v>0.9</v>
      </c>
      <c r="AN235" s="63">
        <v>0.5</v>
      </c>
      <c r="AO235" s="63">
        <v>0.5</v>
      </c>
      <c r="AP235" s="64">
        <v>0.62</v>
      </c>
      <c r="AQ235" s="62">
        <f t="shared" si="97"/>
        <v>1</v>
      </c>
      <c r="AR235" s="65">
        <v>1</v>
      </c>
      <c r="AS235" s="62">
        <f t="shared" si="98"/>
        <v>0.94700000000000062</v>
      </c>
      <c r="AT235" s="65">
        <v>1</v>
      </c>
      <c r="AU235" s="62">
        <f t="shared" si="99"/>
        <v>1.0000000000000004</v>
      </c>
      <c r="AV235" s="65">
        <v>1.0000000000000004</v>
      </c>
      <c r="AW235" s="62">
        <f t="shared" si="100"/>
        <v>1.0000000000000004</v>
      </c>
      <c r="AX235" s="65">
        <v>1</v>
      </c>
      <c r="AY235" s="62">
        <f t="shared" si="101"/>
        <v>1.0000000000000004</v>
      </c>
      <c r="AZ235" s="65">
        <v>1.0000000000000004</v>
      </c>
      <c r="BA235" s="62">
        <f t="shared" si="102"/>
        <v>1.0000000000000004</v>
      </c>
      <c r="BB235" s="65">
        <v>1</v>
      </c>
      <c r="BC235" s="62">
        <f t="shared" si="103"/>
        <v>1.0000000000000004</v>
      </c>
      <c r="BD235" s="65">
        <v>1</v>
      </c>
      <c r="BE235" s="74"/>
      <c r="BF235" s="7"/>
      <c r="BG235" s="74"/>
      <c r="BH235" s="7"/>
      <c r="BI235" s="7"/>
      <c r="BJ235" s="7"/>
      <c r="BK235" s="7"/>
      <c r="BL235" s="7"/>
      <c r="BM235" s="7"/>
      <c r="BN235" s="7"/>
      <c r="BO235" s="7"/>
      <c r="BP235" s="7"/>
      <c r="BQ235" s="7"/>
    </row>
    <row r="236" spans="1:69" ht="19.8" thickBot="1" x14ac:dyDescent="0.35">
      <c r="A236" s="16">
        <v>234</v>
      </c>
      <c r="B236" s="52">
        <v>45560</v>
      </c>
      <c r="C236" s="53" t="str">
        <f t="shared" si="104"/>
        <v>1403/07/04</v>
      </c>
      <c r="D236" s="54">
        <v>1</v>
      </c>
      <c r="E236" s="54">
        <v>0.94635886271729031</v>
      </c>
      <c r="F236" s="11" t="e">
        <f t="shared" si="105"/>
        <v>#N/A</v>
      </c>
      <c r="G236" s="38" t="str">
        <f t="shared" si="106"/>
        <v>تاریخ: 1403/07/04
درصد پیشرفت برنامه ای: 100%
درصد پیشرفت واقعی: 94.64%</v>
      </c>
      <c r="H236" s="55">
        <v>1</v>
      </c>
      <c r="I236" s="56">
        <f t="shared" si="113"/>
        <v>0.94900000000000062</v>
      </c>
      <c r="J236" s="56">
        <v>1.0000000000000004</v>
      </c>
      <c r="K236" s="56">
        <f t="shared" si="114"/>
        <v>1.0000000000000004</v>
      </c>
      <c r="L236" s="56">
        <f t="shared" si="95"/>
        <v>1.0000000000000004</v>
      </c>
      <c r="M236" s="56">
        <f t="shared" si="95"/>
        <v>1.0000000000000004</v>
      </c>
      <c r="N236" s="57">
        <f t="shared" si="115"/>
        <v>1.0000000000000004</v>
      </c>
      <c r="O236" s="16">
        <f t="shared" si="112"/>
        <v>26</v>
      </c>
      <c r="P236" s="17">
        <v>25</v>
      </c>
      <c r="Q236" s="17">
        <v>25</v>
      </c>
      <c r="R236" s="17">
        <v>26</v>
      </c>
      <c r="S236" s="17">
        <v>26</v>
      </c>
      <c r="T236" s="17">
        <v>25</v>
      </c>
      <c r="U236" s="58">
        <v>25</v>
      </c>
      <c r="V236" s="16">
        <f t="shared" si="107"/>
        <v>29</v>
      </c>
      <c r="W236" s="17">
        <f t="shared" si="108"/>
        <v>29</v>
      </c>
      <c r="X236" s="17">
        <f t="shared" si="108"/>
        <v>29</v>
      </c>
      <c r="Y236" s="17">
        <f t="shared" si="109"/>
        <v>27</v>
      </c>
      <c r="Z236" s="17">
        <f t="shared" si="96"/>
        <v>29</v>
      </c>
      <c r="AA236" s="17">
        <f t="shared" si="110"/>
        <v>26</v>
      </c>
      <c r="AB236" s="58">
        <f t="shared" si="111"/>
        <v>30</v>
      </c>
      <c r="AC236" s="67"/>
      <c r="AD236" s="67"/>
      <c r="AE236" s="67"/>
      <c r="AF236" s="67"/>
      <c r="AG236" s="67"/>
      <c r="AH236" s="67"/>
      <c r="AI236" s="73"/>
      <c r="AJ236" s="74"/>
      <c r="AK236" s="74"/>
      <c r="AL236" s="62">
        <v>0.66</v>
      </c>
      <c r="AM236" s="63">
        <v>0.7</v>
      </c>
      <c r="AN236" s="63">
        <v>0.8</v>
      </c>
      <c r="AO236" s="63">
        <v>0.55000000000000004</v>
      </c>
      <c r="AP236" s="64">
        <v>0.5</v>
      </c>
      <c r="AQ236" s="62">
        <f t="shared" si="97"/>
        <v>1</v>
      </c>
      <c r="AR236" s="65">
        <v>1</v>
      </c>
      <c r="AS236" s="62">
        <f t="shared" si="98"/>
        <v>0.94900000000000062</v>
      </c>
      <c r="AT236" s="65">
        <v>1</v>
      </c>
      <c r="AU236" s="62">
        <f t="shared" si="99"/>
        <v>1.0000000000000004</v>
      </c>
      <c r="AV236" s="65">
        <v>1.0000000000000004</v>
      </c>
      <c r="AW236" s="62">
        <f t="shared" si="100"/>
        <v>1.0000000000000004</v>
      </c>
      <c r="AX236" s="65">
        <v>1</v>
      </c>
      <c r="AY236" s="62">
        <f t="shared" si="101"/>
        <v>1.0000000000000004</v>
      </c>
      <c r="AZ236" s="65">
        <v>1.0000000000000004</v>
      </c>
      <c r="BA236" s="62">
        <f t="shared" si="102"/>
        <v>1.0000000000000004</v>
      </c>
      <c r="BB236" s="65">
        <v>1</v>
      </c>
      <c r="BC236" s="62">
        <f t="shared" si="103"/>
        <v>1.0000000000000004</v>
      </c>
      <c r="BD236" s="65">
        <v>1</v>
      </c>
      <c r="BE236" s="74"/>
      <c r="BF236" s="7"/>
      <c r="BG236" s="74"/>
      <c r="BH236" s="7"/>
      <c r="BI236" s="7"/>
      <c r="BJ236" s="7"/>
      <c r="BK236" s="7"/>
      <c r="BL236" s="7"/>
      <c r="BM236" s="7"/>
      <c r="BN236" s="7"/>
      <c r="BO236" s="7"/>
      <c r="BP236" s="7"/>
      <c r="BQ236" s="7"/>
    </row>
    <row r="237" spans="1:69" ht="19.8" thickBot="1" x14ac:dyDescent="0.35">
      <c r="A237" s="16">
        <v>235</v>
      </c>
      <c r="B237" s="52">
        <v>45567</v>
      </c>
      <c r="C237" s="53" t="str">
        <f t="shared" si="104"/>
        <v>1403/07/11</v>
      </c>
      <c r="D237" s="54">
        <v>1</v>
      </c>
      <c r="E237" s="54">
        <v>0.94948184696425741</v>
      </c>
      <c r="F237" s="11" t="e">
        <f t="shared" si="105"/>
        <v>#N/A</v>
      </c>
      <c r="G237" s="38" t="str">
        <f t="shared" si="106"/>
        <v>تاریخ: 1403/07/11
درصد پیشرفت برنامه ای: 100%
درصد پیشرفت واقعی: 94.95%</v>
      </c>
      <c r="H237" s="55">
        <v>1</v>
      </c>
      <c r="I237" s="56">
        <f t="shared" si="113"/>
        <v>0.95100000000000062</v>
      </c>
      <c r="J237" s="56">
        <v>1.0000000000000004</v>
      </c>
      <c r="K237" s="56">
        <f t="shared" si="114"/>
        <v>1.0000000000000004</v>
      </c>
      <c r="L237" s="56">
        <f t="shared" si="95"/>
        <v>1.0000000000000004</v>
      </c>
      <c r="M237" s="56">
        <f t="shared" si="95"/>
        <v>1.0000000000000004</v>
      </c>
      <c r="N237" s="57">
        <f t="shared" si="115"/>
        <v>1.0000000000000004</v>
      </c>
      <c r="O237" s="16">
        <f t="shared" si="112"/>
        <v>25</v>
      </c>
      <c r="P237" s="17">
        <v>15</v>
      </c>
      <c r="Q237" s="17">
        <v>15</v>
      </c>
      <c r="R237" s="17">
        <v>18</v>
      </c>
      <c r="S237" s="17">
        <v>17</v>
      </c>
      <c r="T237" s="17">
        <v>18</v>
      </c>
      <c r="U237" s="58">
        <v>19</v>
      </c>
      <c r="V237" s="16">
        <f t="shared" si="107"/>
        <v>28</v>
      </c>
      <c r="W237" s="17">
        <f t="shared" si="108"/>
        <v>19</v>
      </c>
      <c r="X237" s="17">
        <f t="shared" si="108"/>
        <v>19</v>
      </c>
      <c r="Y237" s="17">
        <f t="shared" si="109"/>
        <v>19</v>
      </c>
      <c r="Z237" s="17">
        <f t="shared" si="96"/>
        <v>20</v>
      </c>
      <c r="AA237" s="17">
        <f t="shared" si="110"/>
        <v>19</v>
      </c>
      <c r="AB237" s="58">
        <f t="shared" si="111"/>
        <v>24</v>
      </c>
      <c r="AC237" s="67"/>
      <c r="AD237" s="67"/>
      <c r="AE237" s="67"/>
      <c r="AF237" s="67"/>
      <c r="AG237" s="67"/>
      <c r="AH237" s="67"/>
      <c r="AI237" s="73"/>
      <c r="AJ237" s="74"/>
      <c r="AK237" s="74"/>
      <c r="AL237" s="62">
        <v>0.55000000000000004</v>
      </c>
      <c r="AM237" s="63">
        <v>0.4</v>
      </c>
      <c r="AN237" s="63">
        <v>0.4</v>
      </c>
      <c r="AO237" s="63">
        <v>0.9</v>
      </c>
      <c r="AP237" s="64">
        <v>0.8</v>
      </c>
      <c r="AQ237" s="62">
        <f t="shared" si="97"/>
        <v>1</v>
      </c>
      <c r="AR237" s="65">
        <v>1</v>
      </c>
      <c r="AS237" s="62">
        <f t="shared" si="98"/>
        <v>0.95100000000000062</v>
      </c>
      <c r="AT237" s="65">
        <v>1</v>
      </c>
      <c r="AU237" s="62">
        <f t="shared" si="99"/>
        <v>1.0000000000000004</v>
      </c>
      <c r="AV237" s="65">
        <v>1.0000000000000004</v>
      </c>
      <c r="AW237" s="62">
        <f t="shared" si="100"/>
        <v>1.0000000000000004</v>
      </c>
      <c r="AX237" s="65">
        <v>1</v>
      </c>
      <c r="AY237" s="62">
        <f t="shared" si="101"/>
        <v>1.0000000000000004</v>
      </c>
      <c r="AZ237" s="65">
        <v>1.0000000000000004</v>
      </c>
      <c r="BA237" s="62">
        <f t="shared" si="102"/>
        <v>1.0000000000000004</v>
      </c>
      <c r="BB237" s="65">
        <v>1</v>
      </c>
      <c r="BC237" s="62">
        <f t="shared" si="103"/>
        <v>1.0000000000000004</v>
      </c>
      <c r="BD237" s="65">
        <v>1</v>
      </c>
      <c r="BE237" s="74"/>
      <c r="BF237" s="7"/>
      <c r="BG237" s="74"/>
      <c r="BH237" s="7"/>
      <c r="BI237" s="7"/>
      <c r="BJ237" s="7"/>
      <c r="BK237" s="7"/>
      <c r="BL237" s="7"/>
      <c r="BM237" s="7"/>
      <c r="BN237" s="7"/>
      <c r="BO237" s="7"/>
      <c r="BP237" s="7"/>
      <c r="BQ237" s="7"/>
    </row>
    <row r="238" spans="1:69" ht="19.8" thickBot="1" x14ac:dyDescent="0.35">
      <c r="A238" s="16">
        <v>236</v>
      </c>
      <c r="B238" s="52">
        <v>45574</v>
      </c>
      <c r="C238" s="53" t="str">
        <f t="shared" si="104"/>
        <v>1403/07/18</v>
      </c>
      <c r="D238" s="54">
        <v>1</v>
      </c>
      <c r="E238" s="54">
        <v>0.9526151370592395</v>
      </c>
      <c r="F238" s="11" t="e">
        <f t="shared" si="105"/>
        <v>#N/A</v>
      </c>
      <c r="G238" s="38" t="str">
        <f t="shared" si="106"/>
        <v>تاریخ: 1403/07/18
درصد پیشرفت برنامه ای: 100%
درصد پیشرفت واقعی: 95.26%</v>
      </c>
      <c r="H238" s="55">
        <v>1</v>
      </c>
      <c r="I238" s="56">
        <f t="shared" si="113"/>
        <v>0.95300000000000062</v>
      </c>
      <c r="J238" s="56">
        <v>1.0000000000000004</v>
      </c>
      <c r="K238" s="56">
        <f t="shared" si="114"/>
        <v>1.0000000000000004</v>
      </c>
      <c r="L238" s="56">
        <f t="shared" si="95"/>
        <v>1.0000000000000004</v>
      </c>
      <c r="M238" s="56">
        <f t="shared" si="95"/>
        <v>1.0000000000000004</v>
      </c>
      <c r="N238" s="57">
        <f t="shared" si="115"/>
        <v>1.0000000000000004</v>
      </c>
      <c r="O238" s="16">
        <f t="shared" si="112"/>
        <v>19</v>
      </c>
      <c r="P238" s="17">
        <v>19</v>
      </c>
      <c r="Q238" s="17">
        <v>17</v>
      </c>
      <c r="R238" s="17">
        <v>17</v>
      </c>
      <c r="S238" s="17">
        <v>19</v>
      </c>
      <c r="T238" s="17">
        <v>20</v>
      </c>
      <c r="U238" s="58">
        <v>21</v>
      </c>
      <c r="V238" s="16">
        <f t="shared" si="107"/>
        <v>22</v>
      </c>
      <c r="W238" s="17">
        <f t="shared" si="108"/>
        <v>23</v>
      </c>
      <c r="X238" s="17">
        <f t="shared" si="108"/>
        <v>21</v>
      </c>
      <c r="Y238" s="17">
        <f t="shared" si="109"/>
        <v>18</v>
      </c>
      <c r="Z238" s="17">
        <f t="shared" si="96"/>
        <v>22</v>
      </c>
      <c r="AA238" s="17">
        <f t="shared" si="110"/>
        <v>21</v>
      </c>
      <c r="AB238" s="58">
        <f t="shared" si="111"/>
        <v>26</v>
      </c>
      <c r="AC238" s="67"/>
      <c r="AD238" s="67"/>
      <c r="AE238" s="67"/>
      <c r="AF238" s="67"/>
      <c r="AG238" s="67"/>
      <c r="AH238" s="67"/>
      <c r="AI238" s="73"/>
      <c r="AJ238" s="74"/>
      <c r="AK238" s="74"/>
      <c r="AL238" s="62">
        <v>0.7</v>
      </c>
      <c r="AM238" s="63">
        <v>0.55000000000000004</v>
      </c>
      <c r="AN238" s="63">
        <v>0.1</v>
      </c>
      <c r="AO238" s="63">
        <v>0.4</v>
      </c>
      <c r="AP238" s="64">
        <v>0.9</v>
      </c>
      <c r="AQ238" s="62">
        <f t="shared" si="97"/>
        <v>1</v>
      </c>
      <c r="AR238" s="65">
        <v>1</v>
      </c>
      <c r="AS238" s="62">
        <f t="shared" si="98"/>
        <v>0.95300000000000062</v>
      </c>
      <c r="AT238" s="65">
        <v>1</v>
      </c>
      <c r="AU238" s="62">
        <f t="shared" si="99"/>
        <v>1.0000000000000004</v>
      </c>
      <c r="AV238" s="65">
        <v>1.0000000000000004</v>
      </c>
      <c r="AW238" s="62">
        <f t="shared" si="100"/>
        <v>1.0000000000000004</v>
      </c>
      <c r="AX238" s="65">
        <v>1</v>
      </c>
      <c r="AY238" s="62">
        <f t="shared" si="101"/>
        <v>1.0000000000000004</v>
      </c>
      <c r="AZ238" s="65">
        <v>1.0000000000000004</v>
      </c>
      <c r="BA238" s="62">
        <f t="shared" si="102"/>
        <v>1.0000000000000004</v>
      </c>
      <c r="BB238" s="65">
        <v>1</v>
      </c>
      <c r="BC238" s="62">
        <f t="shared" si="103"/>
        <v>1.0000000000000004</v>
      </c>
      <c r="BD238" s="65">
        <v>1</v>
      </c>
      <c r="BE238" s="74"/>
      <c r="BF238" s="7"/>
      <c r="BG238" s="74"/>
      <c r="BH238" s="7"/>
      <c r="BI238" s="7"/>
      <c r="BJ238" s="7"/>
      <c r="BK238" s="7"/>
      <c r="BL238" s="7"/>
      <c r="BM238" s="7"/>
      <c r="BN238" s="7"/>
      <c r="BO238" s="7"/>
      <c r="BP238" s="7"/>
      <c r="BQ238" s="7"/>
    </row>
    <row r="239" spans="1:69" ht="19.8" thickBot="1" x14ac:dyDescent="0.35">
      <c r="A239" s="16">
        <v>237</v>
      </c>
      <c r="B239" s="52">
        <v>45581</v>
      </c>
      <c r="C239" s="53" t="str">
        <f t="shared" si="104"/>
        <v>1403/07/25</v>
      </c>
      <c r="D239" s="54">
        <v>1</v>
      </c>
      <c r="E239" s="54">
        <v>0.95575876701153495</v>
      </c>
      <c r="F239" s="11" t="e">
        <f t="shared" si="105"/>
        <v>#N/A</v>
      </c>
      <c r="G239" s="38" t="str">
        <f t="shared" si="106"/>
        <v>تاریخ: 1403/07/25
درصد پیشرفت برنامه ای: 100%
درصد پیشرفت واقعی: 95.58%</v>
      </c>
      <c r="H239" s="55">
        <v>1</v>
      </c>
      <c r="I239" s="56">
        <f t="shared" si="113"/>
        <v>0.95500000000000063</v>
      </c>
      <c r="J239" s="56">
        <v>1.0000000000000004</v>
      </c>
      <c r="K239" s="56">
        <f t="shared" si="114"/>
        <v>1.0000000000000004</v>
      </c>
      <c r="L239" s="56">
        <f t="shared" si="95"/>
        <v>1.0000000000000004</v>
      </c>
      <c r="M239" s="56">
        <f t="shared" si="95"/>
        <v>1.0000000000000004</v>
      </c>
      <c r="N239" s="57">
        <f t="shared" si="115"/>
        <v>1.0000000000000004</v>
      </c>
      <c r="O239" s="16">
        <f t="shared" si="112"/>
        <v>21</v>
      </c>
      <c r="P239" s="17">
        <v>22</v>
      </c>
      <c r="Q239" s="17">
        <v>22</v>
      </c>
      <c r="R239" s="17">
        <v>23</v>
      </c>
      <c r="S239" s="17">
        <v>21</v>
      </c>
      <c r="T239" s="17">
        <v>22</v>
      </c>
      <c r="U239" s="58">
        <v>24</v>
      </c>
      <c r="V239" s="16">
        <f t="shared" si="107"/>
        <v>24</v>
      </c>
      <c r="W239" s="17">
        <f t="shared" si="108"/>
        <v>26</v>
      </c>
      <c r="X239" s="17">
        <f t="shared" si="108"/>
        <v>26</v>
      </c>
      <c r="Y239" s="17">
        <f t="shared" si="109"/>
        <v>24</v>
      </c>
      <c r="Z239" s="17">
        <f t="shared" si="96"/>
        <v>24</v>
      </c>
      <c r="AA239" s="17">
        <f t="shared" si="110"/>
        <v>23</v>
      </c>
      <c r="AB239" s="58">
        <f t="shared" si="111"/>
        <v>29</v>
      </c>
      <c r="AC239" s="67"/>
      <c r="AD239" s="67"/>
      <c r="AE239" s="67"/>
      <c r="AF239" s="67"/>
      <c r="AG239" s="67"/>
      <c r="AH239" s="67"/>
      <c r="AI239" s="73"/>
      <c r="AJ239" s="74"/>
      <c r="AK239" s="74"/>
      <c r="AL239" s="62">
        <v>0.4</v>
      </c>
      <c r="AM239" s="63">
        <v>0.69</v>
      </c>
      <c r="AN239" s="63">
        <v>0.5</v>
      </c>
      <c r="AO239" s="63">
        <v>0.2</v>
      </c>
      <c r="AP239" s="64">
        <v>0.4</v>
      </c>
      <c r="AQ239" s="62">
        <f t="shared" si="97"/>
        <v>1</v>
      </c>
      <c r="AR239" s="65">
        <v>1</v>
      </c>
      <c r="AS239" s="62">
        <f t="shared" si="98"/>
        <v>0.95500000000000063</v>
      </c>
      <c r="AT239" s="65">
        <v>1</v>
      </c>
      <c r="AU239" s="62">
        <f t="shared" si="99"/>
        <v>1.0000000000000004</v>
      </c>
      <c r="AV239" s="65">
        <v>1.0000000000000004</v>
      </c>
      <c r="AW239" s="62">
        <f t="shared" si="100"/>
        <v>1.0000000000000004</v>
      </c>
      <c r="AX239" s="65">
        <v>1</v>
      </c>
      <c r="AY239" s="62">
        <f t="shared" si="101"/>
        <v>1.0000000000000004</v>
      </c>
      <c r="AZ239" s="65">
        <v>1.0000000000000004</v>
      </c>
      <c r="BA239" s="62">
        <f t="shared" si="102"/>
        <v>1.0000000000000004</v>
      </c>
      <c r="BB239" s="65">
        <v>1</v>
      </c>
      <c r="BC239" s="62">
        <f t="shared" si="103"/>
        <v>1.0000000000000004</v>
      </c>
      <c r="BD239" s="65">
        <v>1</v>
      </c>
      <c r="BE239" s="74"/>
      <c r="BF239" s="7"/>
      <c r="BG239" s="74"/>
      <c r="BH239" s="7"/>
      <c r="BI239" s="7"/>
      <c r="BJ239" s="7"/>
      <c r="BK239" s="7"/>
      <c r="BL239" s="7"/>
      <c r="BM239" s="7"/>
      <c r="BN239" s="7"/>
      <c r="BO239" s="7"/>
      <c r="BP239" s="7"/>
      <c r="BQ239" s="7"/>
    </row>
    <row r="240" spans="1:69" ht="19.8" thickBot="1" x14ac:dyDescent="0.35">
      <c r="A240" s="16">
        <v>238</v>
      </c>
      <c r="B240" s="52">
        <v>45588</v>
      </c>
      <c r="C240" s="53" t="str">
        <f t="shared" si="104"/>
        <v>1403/08/02</v>
      </c>
      <c r="D240" s="54">
        <v>1</v>
      </c>
      <c r="E240" s="54">
        <v>0.95891277094267302</v>
      </c>
      <c r="F240" s="11" t="e">
        <f t="shared" si="105"/>
        <v>#N/A</v>
      </c>
      <c r="G240" s="38" t="str">
        <f t="shared" si="106"/>
        <v>تاریخ: 1403/08/02
درصد پیشرفت برنامه ای: 100%
درصد پیشرفت واقعی: 95.89%</v>
      </c>
      <c r="H240" s="55">
        <v>1</v>
      </c>
      <c r="I240" s="56">
        <f t="shared" si="113"/>
        <v>0.95700000000000063</v>
      </c>
      <c r="J240" s="56">
        <v>1.0000000000000004</v>
      </c>
      <c r="K240" s="56">
        <f t="shared" si="114"/>
        <v>1.0000000000000004</v>
      </c>
      <c r="L240" s="56">
        <f t="shared" si="95"/>
        <v>1.0000000000000004</v>
      </c>
      <c r="M240" s="56">
        <f t="shared" si="95"/>
        <v>1.0000000000000004</v>
      </c>
      <c r="N240" s="57">
        <f t="shared" si="115"/>
        <v>1.0000000000000004</v>
      </c>
      <c r="O240" s="16">
        <f t="shared" si="112"/>
        <v>24</v>
      </c>
      <c r="P240" s="17">
        <v>15</v>
      </c>
      <c r="Q240" s="17">
        <v>15</v>
      </c>
      <c r="R240" s="17">
        <v>18</v>
      </c>
      <c r="S240" s="17">
        <v>17</v>
      </c>
      <c r="T240" s="17">
        <v>18</v>
      </c>
      <c r="U240" s="58">
        <v>19</v>
      </c>
      <c r="V240" s="16">
        <f t="shared" si="107"/>
        <v>27</v>
      </c>
      <c r="W240" s="17">
        <f t="shared" si="108"/>
        <v>19</v>
      </c>
      <c r="X240" s="17">
        <f t="shared" si="108"/>
        <v>19</v>
      </c>
      <c r="Y240" s="17">
        <f t="shared" si="109"/>
        <v>19</v>
      </c>
      <c r="Z240" s="17">
        <f t="shared" si="96"/>
        <v>20</v>
      </c>
      <c r="AA240" s="17">
        <f t="shared" si="110"/>
        <v>19</v>
      </c>
      <c r="AB240" s="58">
        <f t="shared" si="111"/>
        <v>24</v>
      </c>
      <c r="AC240" s="67"/>
      <c r="AD240" s="67"/>
      <c r="AE240" s="67"/>
      <c r="AF240" s="67"/>
      <c r="AG240" s="67"/>
      <c r="AH240" s="67"/>
      <c r="AI240" s="73"/>
      <c r="AJ240" s="74"/>
      <c r="AK240" s="74"/>
      <c r="AL240" s="62">
        <v>0.35</v>
      </c>
      <c r="AM240" s="63">
        <v>0.4</v>
      </c>
      <c r="AN240" s="63">
        <v>0.9</v>
      </c>
      <c r="AO240" s="63">
        <v>0.8</v>
      </c>
      <c r="AP240" s="64">
        <v>0.2</v>
      </c>
      <c r="AQ240" s="62">
        <f t="shared" si="97"/>
        <v>1</v>
      </c>
      <c r="AR240" s="65">
        <v>1</v>
      </c>
      <c r="AS240" s="62">
        <f t="shared" si="98"/>
        <v>0.95700000000000063</v>
      </c>
      <c r="AT240" s="65">
        <v>1</v>
      </c>
      <c r="AU240" s="62">
        <f t="shared" si="99"/>
        <v>1.0000000000000004</v>
      </c>
      <c r="AV240" s="65">
        <v>1.0000000000000004</v>
      </c>
      <c r="AW240" s="62">
        <f t="shared" si="100"/>
        <v>1.0000000000000004</v>
      </c>
      <c r="AX240" s="65">
        <v>1</v>
      </c>
      <c r="AY240" s="62">
        <f t="shared" si="101"/>
        <v>1.0000000000000004</v>
      </c>
      <c r="AZ240" s="65">
        <v>1.0000000000000004</v>
      </c>
      <c r="BA240" s="62">
        <f t="shared" si="102"/>
        <v>1.0000000000000004</v>
      </c>
      <c r="BB240" s="65">
        <v>1</v>
      </c>
      <c r="BC240" s="62">
        <f t="shared" si="103"/>
        <v>1.0000000000000004</v>
      </c>
      <c r="BD240" s="65">
        <v>1</v>
      </c>
      <c r="BE240" s="74"/>
      <c r="BF240" s="7"/>
      <c r="BG240" s="74"/>
      <c r="BH240" s="7"/>
      <c r="BI240" s="7"/>
      <c r="BJ240" s="7"/>
      <c r="BK240" s="7"/>
      <c r="BL240" s="7"/>
      <c r="BM240" s="7"/>
      <c r="BN240" s="7"/>
      <c r="BO240" s="7"/>
      <c r="BP240" s="7"/>
      <c r="BQ240" s="7"/>
    </row>
    <row r="241" spans="1:69" ht="19.8" thickBot="1" x14ac:dyDescent="0.35">
      <c r="A241" s="16">
        <v>239</v>
      </c>
      <c r="B241" s="52">
        <v>45595</v>
      </c>
      <c r="C241" s="53" t="str">
        <f t="shared" si="104"/>
        <v>1403/08/09</v>
      </c>
      <c r="D241" s="54">
        <v>1</v>
      </c>
      <c r="E241" s="54">
        <v>0.9620771830867838</v>
      </c>
      <c r="F241" s="11" t="e">
        <f t="shared" si="105"/>
        <v>#N/A</v>
      </c>
      <c r="G241" s="38" t="str">
        <f t="shared" si="106"/>
        <v>تاریخ: 1403/08/09
درصد پیشرفت برنامه ای: 100%
درصد پیشرفت واقعی: 96.21%</v>
      </c>
      <c r="H241" s="55">
        <v>1</v>
      </c>
      <c r="I241" s="56">
        <f t="shared" si="113"/>
        <v>0.95900000000000063</v>
      </c>
      <c r="J241" s="56">
        <v>1.0000000000000004</v>
      </c>
      <c r="K241" s="56">
        <f t="shared" si="114"/>
        <v>1.0000000000000004</v>
      </c>
      <c r="L241" s="56">
        <f t="shared" si="95"/>
        <v>1.0000000000000004</v>
      </c>
      <c r="M241" s="56">
        <f t="shared" si="95"/>
        <v>1.0000000000000004</v>
      </c>
      <c r="N241" s="57">
        <f t="shared" si="115"/>
        <v>1.0000000000000004</v>
      </c>
      <c r="O241" s="16">
        <f t="shared" si="112"/>
        <v>19</v>
      </c>
      <c r="P241" s="17">
        <v>19</v>
      </c>
      <c r="Q241" s="17">
        <v>17</v>
      </c>
      <c r="R241" s="17">
        <v>17</v>
      </c>
      <c r="S241" s="17">
        <v>19</v>
      </c>
      <c r="T241" s="17">
        <v>20</v>
      </c>
      <c r="U241" s="58">
        <v>21</v>
      </c>
      <c r="V241" s="16">
        <f t="shared" si="107"/>
        <v>22</v>
      </c>
      <c r="W241" s="17">
        <f t="shared" si="108"/>
        <v>23</v>
      </c>
      <c r="X241" s="17">
        <f t="shared" si="108"/>
        <v>21</v>
      </c>
      <c r="Y241" s="17">
        <f t="shared" si="109"/>
        <v>18</v>
      </c>
      <c r="Z241" s="17">
        <f t="shared" si="96"/>
        <v>22</v>
      </c>
      <c r="AA241" s="17">
        <f t="shared" si="110"/>
        <v>21</v>
      </c>
      <c r="AB241" s="58">
        <f t="shared" si="111"/>
        <v>26</v>
      </c>
      <c r="AC241" s="67"/>
      <c r="AD241" s="67"/>
      <c r="AE241" s="67"/>
      <c r="AF241" s="67"/>
      <c r="AG241" s="67"/>
      <c r="AH241" s="67"/>
      <c r="AI241" s="73"/>
      <c r="AJ241" s="74"/>
      <c r="AK241" s="74"/>
      <c r="AL241" s="62">
        <v>0.85</v>
      </c>
      <c r="AM241" s="63">
        <v>0.8</v>
      </c>
      <c r="AN241" s="63">
        <v>0.5</v>
      </c>
      <c r="AO241" s="63">
        <v>0.6</v>
      </c>
      <c r="AP241" s="64">
        <v>0.6</v>
      </c>
      <c r="AQ241" s="62">
        <f t="shared" si="97"/>
        <v>1</v>
      </c>
      <c r="AR241" s="65">
        <v>1</v>
      </c>
      <c r="AS241" s="62">
        <f t="shared" si="98"/>
        <v>0.95900000000000063</v>
      </c>
      <c r="AT241" s="65">
        <v>1</v>
      </c>
      <c r="AU241" s="62">
        <f t="shared" si="99"/>
        <v>1.0000000000000004</v>
      </c>
      <c r="AV241" s="65">
        <v>1.0000000000000004</v>
      </c>
      <c r="AW241" s="62">
        <f t="shared" si="100"/>
        <v>1.0000000000000004</v>
      </c>
      <c r="AX241" s="65">
        <v>1</v>
      </c>
      <c r="AY241" s="62">
        <f t="shared" si="101"/>
        <v>1.0000000000000004</v>
      </c>
      <c r="AZ241" s="65">
        <v>1.0000000000000004</v>
      </c>
      <c r="BA241" s="62">
        <f t="shared" si="102"/>
        <v>1.0000000000000004</v>
      </c>
      <c r="BB241" s="65">
        <v>1</v>
      </c>
      <c r="BC241" s="62">
        <f t="shared" si="103"/>
        <v>1.0000000000000004</v>
      </c>
      <c r="BD241" s="65">
        <v>1</v>
      </c>
      <c r="BE241" s="74"/>
      <c r="BF241" s="7"/>
      <c r="BG241" s="74"/>
      <c r="BH241" s="7"/>
      <c r="BI241" s="7"/>
      <c r="BJ241" s="7"/>
      <c r="BK241" s="7"/>
      <c r="BL241" s="7"/>
      <c r="BM241" s="7"/>
      <c r="BN241" s="7"/>
      <c r="BO241" s="7"/>
      <c r="BP241" s="7"/>
      <c r="BQ241" s="7"/>
    </row>
    <row r="242" spans="1:69" ht="19.8" thickBot="1" x14ac:dyDescent="0.35">
      <c r="A242" s="16">
        <v>240</v>
      </c>
      <c r="B242" s="52">
        <v>45602</v>
      </c>
      <c r="C242" s="53" t="str">
        <f t="shared" si="104"/>
        <v>1403/08/16</v>
      </c>
      <c r="D242" s="54">
        <v>1</v>
      </c>
      <c r="E242" s="54">
        <v>0.96525203779097024</v>
      </c>
      <c r="F242" s="11" t="e">
        <f t="shared" si="105"/>
        <v>#N/A</v>
      </c>
      <c r="G242" s="38" t="str">
        <f t="shared" si="106"/>
        <v>تاریخ: 1403/08/16
درصد پیشرفت برنامه ای: 100%
درصد پیشرفت واقعی: 96.53%</v>
      </c>
      <c r="H242" s="55">
        <v>1</v>
      </c>
      <c r="I242" s="56">
        <f t="shared" si="113"/>
        <v>0.96100000000000063</v>
      </c>
      <c r="J242" s="56">
        <v>1.0000000000000004</v>
      </c>
      <c r="K242" s="56">
        <f t="shared" si="114"/>
        <v>1.0000000000000004</v>
      </c>
      <c r="L242" s="56">
        <f t="shared" si="95"/>
        <v>1.0000000000000004</v>
      </c>
      <c r="M242" s="56">
        <f t="shared" si="95"/>
        <v>1.0000000000000004</v>
      </c>
      <c r="N242" s="57">
        <f t="shared" si="115"/>
        <v>1.0000000000000004</v>
      </c>
      <c r="O242" s="16">
        <f t="shared" si="112"/>
        <v>21</v>
      </c>
      <c r="P242" s="17">
        <v>15</v>
      </c>
      <c r="Q242" s="17">
        <v>15</v>
      </c>
      <c r="R242" s="17">
        <v>18</v>
      </c>
      <c r="S242" s="17">
        <v>17</v>
      </c>
      <c r="T242" s="17">
        <v>18</v>
      </c>
      <c r="U242" s="58">
        <v>19</v>
      </c>
      <c r="V242" s="16">
        <f t="shared" si="107"/>
        <v>24</v>
      </c>
      <c r="W242" s="17">
        <f t="shared" si="108"/>
        <v>19</v>
      </c>
      <c r="X242" s="17">
        <f t="shared" si="108"/>
        <v>19</v>
      </c>
      <c r="Y242" s="17">
        <f t="shared" si="109"/>
        <v>19</v>
      </c>
      <c r="Z242" s="17">
        <f t="shared" si="96"/>
        <v>20</v>
      </c>
      <c r="AA242" s="17">
        <f t="shared" si="110"/>
        <v>19</v>
      </c>
      <c r="AB242" s="58">
        <f t="shared" si="111"/>
        <v>24</v>
      </c>
      <c r="AC242" s="67"/>
      <c r="AD242" s="67"/>
      <c r="AE242" s="67"/>
      <c r="AF242" s="67"/>
      <c r="AG242" s="67"/>
      <c r="AH242" s="67"/>
      <c r="AI242" s="73"/>
      <c r="AJ242" s="74"/>
      <c r="AK242" s="74"/>
      <c r="AL242" s="62">
        <v>0.9</v>
      </c>
      <c r="AM242" s="63">
        <v>0.95</v>
      </c>
      <c r="AN242" s="63">
        <v>0.8</v>
      </c>
      <c r="AO242" s="63">
        <v>0.7</v>
      </c>
      <c r="AP242" s="64">
        <v>0.1</v>
      </c>
      <c r="AQ242" s="62">
        <f t="shared" si="97"/>
        <v>1</v>
      </c>
      <c r="AR242" s="65">
        <v>1</v>
      </c>
      <c r="AS242" s="62">
        <f t="shared" si="98"/>
        <v>0.96100000000000063</v>
      </c>
      <c r="AT242" s="65">
        <v>1</v>
      </c>
      <c r="AU242" s="62">
        <f t="shared" si="99"/>
        <v>1.0000000000000004</v>
      </c>
      <c r="AV242" s="65">
        <v>1.0000000000000004</v>
      </c>
      <c r="AW242" s="62">
        <f t="shared" si="100"/>
        <v>1.0000000000000004</v>
      </c>
      <c r="AX242" s="65">
        <v>1</v>
      </c>
      <c r="AY242" s="62">
        <f t="shared" si="101"/>
        <v>1.0000000000000004</v>
      </c>
      <c r="AZ242" s="65">
        <v>1.0000000000000004</v>
      </c>
      <c r="BA242" s="62">
        <f t="shared" si="102"/>
        <v>1.0000000000000004</v>
      </c>
      <c r="BB242" s="65">
        <v>1</v>
      </c>
      <c r="BC242" s="62">
        <f t="shared" si="103"/>
        <v>1.0000000000000004</v>
      </c>
      <c r="BD242" s="65">
        <v>1</v>
      </c>
      <c r="BE242" s="74"/>
      <c r="BF242" s="7"/>
      <c r="BG242" s="74"/>
      <c r="BH242" s="7"/>
      <c r="BI242" s="7"/>
      <c r="BJ242" s="7"/>
      <c r="BK242" s="7"/>
      <c r="BL242" s="7"/>
      <c r="BM242" s="7"/>
      <c r="BN242" s="7"/>
      <c r="BO242" s="7"/>
      <c r="BP242" s="7"/>
      <c r="BQ242" s="7"/>
    </row>
    <row r="243" spans="1:69" ht="19.8" thickBot="1" x14ac:dyDescent="0.35">
      <c r="A243" s="16">
        <v>241</v>
      </c>
      <c r="B243" s="52">
        <v>45609</v>
      </c>
      <c r="C243" s="53" t="str">
        <f t="shared" si="104"/>
        <v>1403/08/23</v>
      </c>
      <c r="D243" s="54">
        <v>1</v>
      </c>
      <c r="E243" s="54">
        <v>0.96843736951568049</v>
      </c>
      <c r="F243" s="11" t="e">
        <f t="shared" si="105"/>
        <v>#N/A</v>
      </c>
      <c r="G243" s="38" t="str">
        <f t="shared" si="106"/>
        <v>تاریخ: 1403/08/23
درصد پیشرفت برنامه ای: 100%
درصد پیشرفت واقعی: 96.84%</v>
      </c>
      <c r="H243" s="55">
        <v>1</v>
      </c>
      <c r="I243" s="56">
        <f t="shared" si="113"/>
        <v>0.96300000000000063</v>
      </c>
      <c r="J243" s="56">
        <v>1.0000000000000004</v>
      </c>
      <c r="K243" s="56">
        <f t="shared" si="114"/>
        <v>1.0000000000000004</v>
      </c>
      <c r="L243" s="56">
        <f t="shared" si="95"/>
        <v>1.0000000000000004</v>
      </c>
      <c r="M243" s="56">
        <f t="shared" si="95"/>
        <v>1.0000000000000004</v>
      </c>
      <c r="N243" s="57">
        <f t="shared" si="115"/>
        <v>1.0000000000000004</v>
      </c>
      <c r="O243" s="16">
        <f t="shared" si="112"/>
        <v>19</v>
      </c>
      <c r="P243" s="17">
        <v>19</v>
      </c>
      <c r="Q243" s="17">
        <v>17</v>
      </c>
      <c r="R243" s="17">
        <v>17</v>
      </c>
      <c r="S243" s="17">
        <v>19</v>
      </c>
      <c r="T243" s="17">
        <v>20</v>
      </c>
      <c r="U243" s="58">
        <v>21</v>
      </c>
      <c r="V243" s="16">
        <f t="shared" si="107"/>
        <v>22</v>
      </c>
      <c r="W243" s="17">
        <f t="shared" si="108"/>
        <v>23</v>
      </c>
      <c r="X243" s="17">
        <f t="shared" si="108"/>
        <v>21</v>
      </c>
      <c r="Y243" s="17">
        <f t="shared" si="109"/>
        <v>18</v>
      </c>
      <c r="Z243" s="17">
        <f t="shared" si="96"/>
        <v>22</v>
      </c>
      <c r="AA243" s="17">
        <f t="shared" si="110"/>
        <v>21</v>
      </c>
      <c r="AB243" s="58">
        <f t="shared" si="111"/>
        <v>26</v>
      </c>
      <c r="AC243" s="67"/>
      <c r="AD243" s="67"/>
      <c r="AE243" s="67"/>
      <c r="AF243" s="67"/>
      <c r="AG243" s="67"/>
      <c r="AH243" s="67"/>
      <c r="AI243" s="73"/>
      <c r="AJ243" s="74"/>
      <c r="AK243" s="74"/>
      <c r="AL243" s="62">
        <v>0.7</v>
      </c>
      <c r="AM243" s="63">
        <v>0.68</v>
      </c>
      <c r="AN243" s="63">
        <v>0.5</v>
      </c>
      <c r="AO243" s="63">
        <v>0.9</v>
      </c>
      <c r="AP243" s="64">
        <v>0.55000000000000004</v>
      </c>
      <c r="AQ243" s="62">
        <f t="shared" si="97"/>
        <v>1</v>
      </c>
      <c r="AR243" s="65">
        <v>1</v>
      </c>
      <c r="AS243" s="62">
        <f t="shared" si="98"/>
        <v>0.96300000000000063</v>
      </c>
      <c r="AT243" s="65">
        <v>1</v>
      </c>
      <c r="AU243" s="62">
        <f t="shared" si="99"/>
        <v>1.0000000000000004</v>
      </c>
      <c r="AV243" s="65">
        <v>1.0000000000000004</v>
      </c>
      <c r="AW243" s="62">
        <f t="shared" si="100"/>
        <v>1.0000000000000004</v>
      </c>
      <c r="AX243" s="65">
        <v>1</v>
      </c>
      <c r="AY243" s="62">
        <f t="shared" si="101"/>
        <v>1.0000000000000004</v>
      </c>
      <c r="AZ243" s="65">
        <v>1.0000000000000004</v>
      </c>
      <c r="BA243" s="62">
        <f t="shared" si="102"/>
        <v>1.0000000000000004</v>
      </c>
      <c r="BB243" s="65">
        <v>1</v>
      </c>
      <c r="BC243" s="62">
        <f t="shared" si="103"/>
        <v>1.0000000000000004</v>
      </c>
      <c r="BD243" s="65">
        <v>1</v>
      </c>
      <c r="BE243" s="74"/>
      <c r="BF243" s="7"/>
      <c r="BG243" s="74"/>
      <c r="BH243" s="7"/>
      <c r="BI243" s="7"/>
      <c r="BJ243" s="7"/>
      <c r="BK243" s="7"/>
      <c r="BL243" s="7"/>
      <c r="BM243" s="7"/>
      <c r="BN243" s="7"/>
      <c r="BO243" s="7"/>
      <c r="BP243" s="7"/>
      <c r="BQ243" s="7"/>
    </row>
    <row r="244" spans="1:69" ht="19.8" thickBot="1" x14ac:dyDescent="0.35">
      <c r="A244" s="16">
        <v>242</v>
      </c>
      <c r="B244" s="52">
        <v>45616</v>
      </c>
      <c r="C244" s="53" t="str">
        <f t="shared" si="104"/>
        <v>1403/08/30</v>
      </c>
      <c r="D244" s="54">
        <v>1</v>
      </c>
      <c r="E244" s="54">
        <v>0.97163321283508219</v>
      </c>
      <c r="F244" s="11" t="e">
        <f t="shared" si="105"/>
        <v>#N/A</v>
      </c>
      <c r="G244" s="38" t="str">
        <f t="shared" si="106"/>
        <v>تاریخ: 1403/08/30
درصد پیشرفت برنامه ای: 100%
درصد پیشرفت واقعی: 97.16%</v>
      </c>
      <c r="H244" s="55">
        <v>1</v>
      </c>
      <c r="I244" s="56">
        <f t="shared" ref="I244:I247" si="116">I243+0.8%</f>
        <v>0.97100000000000064</v>
      </c>
      <c r="J244" s="56">
        <v>1.0000000000000004</v>
      </c>
      <c r="K244" s="56">
        <f t="shared" si="114"/>
        <v>1.0000000000000004</v>
      </c>
      <c r="L244" s="56">
        <f t="shared" si="95"/>
        <v>1.0000000000000004</v>
      </c>
      <c r="M244" s="56">
        <f t="shared" si="95"/>
        <v>1.0000000000000004</v>
      </c>
      <c r="N244" s="57">
        <f t="shared" si="115"/>
        <v>1.0000000000000004</v>
      </c>
      <c r="O244" s="16">
        <f t="shared" si="112"/>
        <v>21</v>
      </c>
      <c r="P244" s="17">
        <v>15</v>
      </c>
      <c r="Q244" s="17">
        <v>15</v>
      </c>
      <c r="R244" s="17">
        <v>18</v>
      </c>
      <c r="S244" s="17">
        <v>14</v>
      </c>
      <c r="T244" s="17">
        <v>15</v>
      </c>
      <c r="U244" s="58">
        <v>13</v>
      </c>
      <c r="V244" s="16">
        <f t="shared" si="107"/>
        <v>24</v>
      </c>
      <c r="W244" s="17">
        <f t="shared" si="108"/>
        <v>19</v>
      </c>
      <c r="X244" s="17">
        <f t="shared" si="108"/>
        <v>19</v>
      </c>
      <c r="Y244" s="17">
        <f t="shared" si="109"/>
        <v>19</v>
      </c>
      <c r="Z244" s="17">
        <f t="shared" si="96"/>
        <v>17</v>
      </c>
      <c r="AA244" s="17">
        <f t="shared" si="110"/>
        <v>16</v>
      </c>
      <c r="AB244" s="58">
        <f t="shared" si="111"/>
        <v>18</v>
      </c>
      <c r="AC244" s="67"/>
      <c r="AD244" s="67"/>
      <c r="AE244" s="67"/>
      <c r="AF244" s="67"/>
      <c r="AG244" s="67"/>
      <c r="AH244" s="67"/>
      <c r="AI244" s="73"/>
      <c r="AJ244" s="74"/>
      <c r="AK244" s="74"/>
      <c r="AL244" s="62">
        <v>0.6</v>
      </c>
      <c r="AM244" s="63">
        <v>0.5</v>
      </c>
      <c r="AN244" s="63">
        <v>0.66</v>
      </c>
      <c r="AO244" s="63">
        <v>0.5</v>
      </c>
      <c r="AP244" s="64">
        <v>0.9</v>
      </c>
      <c r="AQ244" s="62">
        <f t="shared" si="97"/>
        <v>1</v>
      </c>
      <c r="AR244" s="65">
        <v>1</v>
      </c>
      <c r="AS244" s="62">
        <f t="shared" si="98"/>
        <v>0.97100000000000064</v>
      </c>
      <c r="AT244" s="65">
        <v>1</v>
      </c>
      <c r="AU244" s="62">
        <f t="shared" si="99"/>
        <v>1.0000000000000004</v>
      </c>
      <c r="AV244" s="65">
        <v>1.0000000000000004</v>
      </c>
      <c r="AW244" s="62">
        <f t="shared" si="100"/>
        <v>1.0000000000000004</v>
      </c>
      <c r="AX244" s="65">
        <v>1</v>
      </c>
      <c r="AY244" s="62">
        <f t="shared" si="101"/>
        <v>1.0000000000000004</v>
      </c>
      <c r="AZ244" s="65">
        <v>1.0000000000000004</v>
      </c>
      <c r="BA244" s="62">
        <f t="shared" si="102"/>
        <v>1.0000000000000004</v>
      </c>
      <c r="BB244" s="65">
        <v>1</v>
      </c>
      <c r="BC244" s="62">
        <f t="shared" si="103"/>
        <v>1.0000000000000004</v>
      </c>
      <c r="BD244" s="65">
        <v>1</v>
      </c>
      <c r="BE244" s="74"/>
      <c r="BF244" s="7"/>
      <c r="BG244" s="74"/>
      <c r="BH244" s="7"/>
      <c r="BI244" s="7"/>
      <c r="BJ244" s="7"/>
      <c r="BK244" s="7"/>
      <c r="BL244" s="7"/>
      <c r="BM244" s="7"/>
      <c r="BN244" s="7"/>
      <c r="BO244" s="7"/>
      <c r="BP244" s="7"/>
      <c r="BQ244" s="7"/>
    </row>
    <row r="245" spans="1:69" ht="19.8" thickBot="1" x14ac:dyDescent="0.35">
      <c r="A245" s="16">
        <v>243</v>
      </c>
      <c r="B245" s="52">
        <v>45623</v>
      </c>
      <c r="C245" s="53" t="str">
        <f t="shared" si="104"/>
        <v>1403/09/07</v>
      </c>
      <c r="D245" s="54">
        <v>1</v>
      </c>
      <c r="E245" s="54">
        <v>0.97483960243743795</v>
      </c>
      <c r="F245" s="11" t="e">
        <f t="shared" si="105"/>
        <v>#N/A</v>
      </c>
      <c r="G245" s="38" t="str">
        <f t="shared" si="106"/>
        <v>تاریخ: 1403/09/07
درصد پیشرفت برنامه ای: 100%
درصد پیشرفت واقعی: 97.48%</v>
      </c>
      <c r="H245" s="55">
        <v>1</v>
      </c>
      <c r="I245" s="56">
        <f t="shared" si="116"/>
        <v>0.97900000000000065</v>
      </c>
      <c r="J245" s="56">
        <v>1.0000000000000004</v>
      </c>
      <c r="K245" s="56">
        <f t="shared" si="114"/>
        <v>1.0000000000000004</v>
      </c>
      <c r="L245" s="56">
        <f t="shared" si="95"/>
        <v>1.0000000000000004</v>
      </c>
      <c r="M245" s="56">
        <f t="shared" si="95"/>
        <v>1.0000000000000004</v>
      </c>
      <c r="N245" s="57">
        <f t="shared" si="115"/>
        <v>1.0000000000000004</v>
      </c>
      <c r="O245" s="16">
        <f t="shared" si="112"/>
        <v>13</v>
      </c>
      <c r="P245" s="17">
        <v>12</v>
      </c>
      <c r="Q245" s="17">
        <v>13</v>
      </c>
      <c r="R245" s="17">
        <v>14</v>
      </c>
      <c r="S245" s="17">
        <v>12</v>
      </c>
      <c r="T245" s="17">
        <v>12</v>
      </c>
      <c r="U245" s="58">
        <v>11</v>
      </c>
      <c r="V245" s="16">
        <f t="shared" si="107"/>
        <v>16</v>
      </c>
      <c r="W245" s="17">
        <f t="shared" si="108"/>
        <v>16</v>
      </c>
      <c r="X245" s="17">
        <f t="shared" si="108"/>
        <v>17</v>
      </c>
      <c r="Y245" s="17">
        <f t="shared" si="109"/>
        <v>15</v>
      </c>
      <c r="Z245" s="17">
        <f t="shared" si="96"/>
        <v>15</v>
      </c>
      <c r="AA245" s="17">
        <f t="shared" si="110"/>
        <v>13</v>
      </c>
      <c r="AB245" s="58">
        <f t="shared" si="111"/>
        <v>16</v>
      </c>
      <c r="AC245" s="67"/>
      <c r="AD245" s="67"/>
      <c r="AE245" s="67"/>
      <c r="AF245" s="67"/>
      <c r="AG245" s="67"/>
      <c r="AH245" s="67"/>
      <c r="AI245" s="73"/>
      <c r="AJ245" s="74"/>
      <c r="AK245" s="74"/>
      <c r="AL245" s="62">
        <v>0.55000000000000004</v>
      </c>
      <c r="AM245" s="63">
        <v>0.62</v>
      </c>
      <c r="AN245" s="63">
        <v>0.78</v>
      </c>
      <c r="AO245" s="63">
        <v>0.42</v>
      </c>
      <c r="AP245" s="64">
        <v>0.8</v>
      </c>
      <c r="AQ245" s="62">
        <f t="shared" si="97"/>
        <v>1</v>
      </c>
      <c r="AR245" s="65">
        <v>1</v>
      </c>
      <c r="AS245" s="62">
        <f t="shared" si="98"/>
        <v>0.97900000000000065</v>
      </c>
      <c r="AT245" s="65">
        <v>1</v>
      </c>
      <c r="AU245" s="62">
        <f t="shared" si="99"/>
        <v>1.0000000000000004</v>
      </c>
      <c r="AV245" s="65">
        <v>1.0000000000000004</v>
      </c>
      <c r="AW245" s="62">
        <f t="shared" si="100"/>
        <v>1.0000000000000004</v>
      </c>
      <c r="AX245" s="65">
        <v>1</v>
      </c>
      <c r="AY245" s="62">
        <f t="shared" si="101"/>
        <v>1.0000000000000004</v>
      </c>
      <c r="AZ245" s="65">
        <v>1.0000000000000004</v>
      </c>
      <c r="BA245" s="62">
        <f t="shared" si="102"/>
        <v>1.0000000000000004</v>
      </c>
      <c r="BB245" s="65">
        <v>1</v>
      </c>
      <c r="BC245" s="62">
        <f t="shared" si="103"/>
        <v>1.0000000000000004</v>
      </c>
      <c r="BD245" s="65">
        <v>1</v>
      </c>
      <c r="BE245" s="74"/>
      <c r="BF245" s="7"/>
      <c r="BG245" s="74"/>
      <c r="BH245" s="7"/>
      <c r="BI245" s="7"/>
      <c r="BJ245" s="7"/>
      <c r="BK245" s="7"/>
      <c r="BL245" s="7"/>
      <c r="BM245" s="7"/>
      <c r="BN245" s="7"/>
      <c r="BO245" s="7"/>
      <c r="BP245" s="7"/>
      <c r="BQ245" s="7"/>
    </row>
    <row r="246" spans="1:69" ht="19.8" thickBot="1" x14ac:dyDescent="0.35">
      <c r="A246" s="16">
        <v>244</v>
      </c>
      <c r="B246" s="52">
        <v>45630</v>
      </c>
      <c r="C246" s="53" t="str">
        <f t="shared" si="104"/>
        <v>1403/09/14</v>
      </c>
      <c r="D246" s="54">
        <v>1</v>
      </c>
      <c r="E246" s="54">
        <v>0.97805657312548144</v>
      </c>
      <c r="F246" s="11" t="e">
        <f t="shared" si="105"/>
        <v>#N/A</v>
      </c>
      <c r="G246" s="38" t="str">
        <f t="shared" si="106"/>
        <v>تاریخ: 1403/09/14
درصد پیشرفت برنامه ای: 100%
درصد پیشرفت واقعی: 97.81%</v>
      </c>
      <c r="H246" s="55">
        <v>1</v>
      </c>
      <c r="I246" s="56">
        <f t="shared" si="116"/>
        <v>0.98700000000000065</v>
      </c>
      <c r="J246" s="56">
        <v>1.0000000000000004</v>
      </c>
      <c r="K246" s="56">
        <f t="shared" si="114"/>
        <v>1.0000000000000004</v>
      </c>
      <c r="L246" s="56">
        <f t="shared" si="95"/>
        <v>1.0000000000000004</v>
      </c>
      <c r="M246" s="56">
        <f t="shared" si="95"/>
        <v>1.0000000000000004</v>
      </c>
      <c r="N246" s="57">
        <f t="shared" si="115"/>
        <v>1.0000000000000004</v>
      </c>
      <c r="O246" s="16">
        <f t="shared" si="112"/>
        <v>11</v>
      </c>
      <c r="P246" s="17">
        <v>10</v>
      </c>
      <c r="Q246" s="17">
        <v>10</v>
      </c>
      <c r="R246" s="17">
        <v>12</v>
      </c>
      <c r="S246" s="17">
        <v>11</v>
      </c>
      <c r="T246" s="17">
        <v>10</v>
      </c>
      <c r="U246" s="58">
        <v>9</v>
      </c>
      <c r="V246" s="16">
        <f t="shared" si="107"/>
        <v>14</v>
      </c>
      <c r="W246" s="17">
        <f t="shared" si="108"/>
        <v>14</v>
      </c>
      <c r="X246" s="17">
        <f t="shared" si="108"/>
        <v>14</v>
      </c>
      <c r="Y246" s="17">
        <f t="shared" si="109"/>
        <v>13</v>
      </c>
      <c r="Z246" s="17">
        <f t="shared" si="96"/>
        <v>14</v>
      </c>
      <c r="AA246" s="17">
        <f t="shared" si="110"/>
        <v>11</v>
      </c>
      <c r="AB246" s="58">
        <f t="shared" si="111"/>
        <v>14</v>
      </c>
      <c r="AC246" s="67"/>
      <c r="AD246" s="67"/>
      <c r="AE246" s="67"/>
      <c r="AF246" s="67"/>
      <c r="AG246" s="67"/>
      <c r="AH246" s="67"/>
      <c r="AI246" s="73"/>
      <c r="AJ246" s="74"/>
      <c r="AK246" s="74"/>
      <c r="AL246" s="62">
        <v>0.6</v>
      </c>
      <c r="AM246" s="63">
        <v>0.9</v>
      </c>
      <c r="AN246" s="63">
        <v>0.5</v>
      </c>
      <c r="AO246" s="63">
        <v>0.5</v>
      </c>
      <c r="AP246" s="64">
        <v>0.62</v>
      </c>
      <c r="AQ246" s="62">
        <f t="shared" si="97"/>
        <v>1</v>
      </c>
      <c r="AR246" s="65">
        <v>1</v>
      </c>
      <c r="AS246" s="62">
        <f t="shared" si="98"/>
        <v>0.98700000000000065</v>
      </c>
      <c r="AT246" s="65">
        <v>1</v>
      </c>
      <c r="AU246" s="62">
        <f t="shared" si="99"/>
        <v>1.0000000000000004</v>
      </c>
      <c r="AV246" s="65">
        <v>1.0000000000000004</v>
      </c>
      <c r="AW246" s="62">
        <f t="shared" si="100"/>
        <v>1.0000000000000004</v>
      </c>
      <c r="AX246" s="65">
        <v>1</v>
      </c>
      <c r="AY246" s="62">
        <f t="shared" si="101"/>
        <v>1.0000000000000004</v>
      </c>
      <c r="AZ246" s="65">
        <v>1.0000000000000004</v>
      </c>
      <c r="BA246" s="62">
        <f t="shared" si="102"/>
        <v>1.0000000000000004</v>
      </c>
      <c r="BB246" s="65">
        <v>1</v>
      </c>
      <c r="BC246" s="62">
        <f t="shared" si="103"/>
        <v>1.0000000000000004</v>
      </c>
      <c r="BD246" s="65">
        <v>1</v>
      </c>
      <c r="BE246" s="74"/>
      <c r="BF246" s="7"/>
      <c r="BG246" s="74"/>
      <c r="BH246" s="7"/>
      <c r="BI246" s="7"/>
      <c r="BJ246" s="7"/>
      <c r="BK246" s="7"/>
      <c r="BL246" s="7"/>
      <c r="BM246" s="7"/>
      <c r="BN246" s="7"/>
      <c r="BO246" s="7"/>
      <c r="BP246" s="7"/>
      <c r="BQ246" s="7"/>
    </row>
    <row r="247" spans="1:69" ht="19.8" thickBot="1" x14ac:dyDescent="0.35">
      <c r="A247" s="16">
        <v>245</v>
      </c>
      <c r="B247" s="52">
        <v>45637</v>
      </c>
      <c r="C247" s="53" t="str">
        <f t="shared" si="104"/>
        <v>1403/09/21</v>
      </c>
      <c r="D247" s="54">
        <v>1</v>
      </c>
      <c r="E247" s="54">
        <v>0.98128415981679551</v>
      </c>
      <c r="F247" s="11" t="e">
        <f t="shared" si="105"/>
        <v>#N/A</v>
      </c>
      <c r="G247" s="38" t="str">
        <f t="shared" si="106"/>
        <v>تاریخ: 1403/09/21
درصد پیشرفت برنامه ای: 100%
درصد پیشرفت واقعی: 98.13%</v>
      </c>
      <c r="H247" s="55">
        <v>1</v>
      </c>
      <c r="I247" s="56">
        <f t="shared" si="116"/>
        <v>0.99500000000000066</v>
      </c>
      <c r="J247" s="56">
        <v>1.0000000000000004</v>
      </c>
      <c r="K247" s="56">
        <f t="shared" si="114"/>
        <v>1.0000000000000004</v>
      </c>
      <c r="L247" s="56">
        <f t="shared" si="95"/>
        <v>1.0000000000000004</v>
      </c>
      <c r="M247" s="56">
        <f t="shared" si="95"/>
        <v>1.0000000000000004</v>
      </c>
      <c r="N247" s="57">
        <f t="shared" si="115"/>
        <v>1.0000000000000004</v>
      </c>
      <c r="O247" s="16">
        <f t="shared" si="112"/>
        <v>9</v>
      </c>
      <c r="P247" s="17">
        <v>9</v>
      </c>
      <c r="Q247" s="17">
        <v>9</v>
      </c>
      <c r="R247" s="17">
        <v>8</v>
      </c>
      <c r="S247" s="17">
        <v>10</v>
      </c>
      <c r="T247" s="17">
        <v>11</v>
      </c>
      <c r="U247" s="58">
        <v>10</v>
      </c>
      <c r="V247" s="16">
        <f t="shared" si="107"/>
        <v>12</v>
      </c>
      <c r="W247" s="17">
        <f t="shared" si="108"/>
        <v>13</v>
      </c>
      <c r="X247" s="17">
        <f t="shared" si="108"/>
        <v>13</v>
      </c>
      <c r="Y247" s="17">
        <f t="shared" si="109"/>
        <v>9</v>
      </c>
      <c r="Z247" s="17">
        <f t="shared" si="96"/>
        <v>13</v>
      </c>
      <c r="AA247" s="17">
        <f t="shared" si="110"/>
        <v>12</v>
      </c>
      <c r="AB247" s="58">
        <f t="shared" si="111"/>
        <v>15</v>
      </c>
      <c r="AC247" s="67"/>
      <c r="AD247" s="67"/>
      <c r="AE247" s="67"/>
      <c r="AF247" s="67"/>
      <c r="AG247" s="67"/>
      <c r="AH247" s="67"/>
      <c r="AI247" s="73"/>
      <c r="AJ247" s="74"/>
      <c r="AK247" s="74"/>
      <c r="AL247" s="62">
        <v>0.66</v>
      </c>
      <c r="AM247" s="63">
        <v>0.7</v>
      </c>
      <c r="AN247" s="63">
        <v>0.8</v>
      </c>
      <c r="AO247" s="63">
        <v>0.55000000000000004</v>
      </c>
      <c r="AP247" s="64">
        <v>0.5</v>
      </c>
      <c r="AQ247" s="62">
        <f t="shared" si="97"/>
        <v>1</v>
      </c>
      <c r="AR247" s="65">
        <v>1</v>
      </c>
      <c r="AS247" s="62">
        <f t="shared" si="98"/>
        <v>0.99500000000000066</v>
      </c>
      <c r="AT247" s="65">
        <v>1</v>
      </c>
      <c r="AU247" s="62">
        <f t="shared" si="99"/>
        <v>1.0000000000000004</v>
      </c>
      <c r="AV247" s="65">
        <v>1.0000000000000004</v>
      </c>
      <c r="AW247" s="62">
        <f t="shared" si="100"/>
        <v>1.0000000000000004</v>
      </c>
      <c r="AX247" s="65">
        <v>1</v>
      </c>
      <c r="AY247" s="62">
        <f t="shared" si="101"/>
        <v>1.0000000000000004</v>
      </c>
      <c r="AZ247" s="65">
        <v>1.0000000000000004</v>
      </c>
      <c r="BA247" s="62">
        <f t="shared" si="102"/>
        <v>1.0000000000000004</v>
      </c>
      <c r="BB247" s="65">
        <v>1</v>
      </c>
      <c r="BC247" s="62">
        <f t="shared" si="103"/>
        <v>1.0000000000000004</v>
      </c>
      <c r="BD247" s="65">
        <v>1</v>
      </c>
      <c r="BE247" s="74"/>
      <c r="BF247" s="7"/>
      <c r="BG247" s="74"/>
      <c r="BH247" s="7"/>
      <c r="BI247" s="7"/>
      <c r="BJ247" s="7"/>
      <c r="BK247" s="7"/>
      <c r="BL247" s="7"/>
      <c r="BM247" s="7"/>
      <c r="BN247" s="7"/>
      <c r="BO247" s="7"/>
      <c r="BP247" s="7"/>
      <c r="BQ247" s="7"/>
    </row>
    <row r="248" spans="1:69" ht="19.8" thickBot="1" x14ac:dyDescent="0.35">
      <c r="A248" s="16">
        <v>246</v>
      </c>
      <c r="B248" s="52">
        <v>45644</v>
      </c>
      <c r="C248" s="53" t="str">
        <f t="shared" si="104"/>
        <v>1403/09/28</v>
      </c>
      <c r="D248" s="54">
        <v>1</v>
      </c>
      <c r="E248" s="54">
        <v>0.98452239754419091</v>
      </c>
      <c r="F248" s="11" t="e">
        <f t="shared" si="105"/>
        <v>#N/A</v>
      </c>
      <c r="G248" s="38" t="str">
        <f t="shared" si="106"/>
        <v>تاریخ: 1403/09/28
درصد پیشرفت برنامه ای: 100%
درصد پیشرفت واقعی: 98.45%</v>
      </c>
      <c r="H248" s="55">
        <v>1</v>
      </c>
      <c r="I248" s="56">
        <v>1</v>
      </c>
      <c r="J248" s="56">
        <v>1.0000000000000004</v>
      </c>
      <c r="K248" s="56">
        <f t="shared" si="114"/>
        <v>1.0000000000000004</v>
      </c>
      <c r="L248" s="56">
        <f t="shared" si="95"/>
        <v>1.0000000000000004</v>
      </c>
      <c r="M248" s="56">
        <f t="shared" si="95"/>
        <v>1.0000000000000004</v>
      </c>
      <c r="N248" s="57">
        <f t="shared" si="115"/>
        <v>1.0000000000000004</v>
      </c>
      <c r="O248" s="16">
        <f t="shared" si="112"/>
        <v>10</v>
      </c>
      <c r="P248" s="17">
        <v>10</v>
      </c>
      <c r="Q248" s="17">
        <v>9</v>
      </c>
      <c r="R248" s="17">
        <v>8</v>
      </c>
      <c r="S248" s="17">
        <v>7</v>
      </c>
      <c r="T248" s="17">
        <v>5</v>
      </c>
      <c r="U248" s="58">
        <v>4</v>
      </c>
      <c r="V248" s="16">
        <f t="shared" si="107"/>
        <v>13</v>
      </c>
      <c r="W248" s="17">
        <f t="shared" si="108"/>
        <v>14</v>
      </c>
      <c r="X248" s="17">
        <f t="shared" si="108"/>
        <v>13</v>
      </c>
      <c r="Y248" s="17">
        <f t="shared" si="109"/>
        <v>9</v>
      </c>
      <c r="Z248" s="17">
        <f t="shared" si="96"/>
        <v>10</v>
      </c>
      <c r="AA248" s="17">
        <f t="shared" si="110"/>
        <v>6</v>
      </c>
      <c r="AB248" s="58">
        <f t="shared" si="111"/>
        <v>9</v>
      </c>
      <c r="AC248" s="67"/>
      <c r="AD248" s="67"/>
      <c r="AE248" s="67"/>
      <c r="AF248" s="67"/>
      <c r="AG248" s="67"/>
      <c r="AH248" s="67"/>
      <c r="AI248" s="73"/>
      <c r="AJ248" s="74"/>
      <c r="AK248" s="74"/>
      <c r="AL248" s="62">
        <v>0.55000000000000004</v>
      </c>
      <c r="AM248" s="63">
        <v>0.4</v>
      </c>
      <c r="AN248" s="63">
        <v>0.4</v>
      </c>
      <c r="AO248" s="63">
        <v>0.9</v>
      </c>
      <c r="AP248" s="64">
        <v>0.8</v>
      </c>
      <c r="AQ248" s="62">
        <f t="shared" si="97"/>
        <v>1</v>
      </c>
      <c r="AR248" s="65">
        <v>1</v>
      </c>
      <c r="AS248" s="62">
        <f t="shared" si="98"/>
        <v>1</v>
      </c>
      <c r="AT248" s="65">
        <v>1</v>
      </c>
      <c r="AU248" s="62">
        <f t="shared" si="99"/>
        <v>1.0000000000000004</v>
      </c>
      <c r="AV248" s="65">
        <v>1.0000000000000004</v>
      </c>
      <c r="AW248" s="62">
        <f t="shared" si="100"/>
        <v>1.0000000000000004</v>
      </c>
      <c r="AX248" s="65">
        <v>1</v>
      </c>
      <c r="AY248" s="62">
        <f t="shared" si="101"/>
        <v>1.0000000000000004</v>
      </c>
      <c r="AZ248" s="65">
        <v>1.0000000000000004</v>
      </c>
      <c r="BA248" s="62">
        <f t="shared" si="102"/>
        <v>1.0000000000000004</v>
      </c>
      <c r="BB248" s="65">
        <v>1</v>
      </c>
      <c r="BC248" s="62">
        <f t="shared" si="103"/>
        <v>1.0000000000000004</v>
      </c>
      <c r="BD248" s="65">
        <v>1</v>
      </c>
      <c r="BE248" s="74"/>
      <c r="BF248" s="7"/>
      <c r="BG248" s="74"/>
      <c r="BH248" s="7"/>
      <c r="BI248" s="7"/>
      <c r="BJ248" s="7"/>
      <c r="BK248" s="7"/>
      <c r="BL248" s="7"/>
      <c r="BM248" s="7"/>
      <c r="BN248" s="7"/>
      <c r="BO248" s="7"/>
      <c r="BP248" s="7"/>
      <c r="BQ248" s="7"/>
    </row>
    <row r="249" spans="1:69" ht="19.8" thickBot="1" x14ac:dyDescent="0.35">
      <c r="A249" s="16">
        <v>247</v>
      </c>
      <c r="B249" s="52">
        <v>45651</v>
      </c>
      <c r="C249" s="53" t="str">
        <f t="shared" si="104"/>
        <v>1403/10/05</v>
      </c>
      <c r="D249" s="54">
        <v>1</v>
      </c>
      <c r="E249" s="54">
        <v>0.9877713214560867</v>
      </c>
      <c r="F249" s="11" t="e">
        <f t="shared" si="105"/>
        <v>#N/A</v>
      </c>
      <c r="G249" s="38" t="str">
        <f t="shared" si="106"/>
        <v>تاریخ: 1403/10/05
درصد پیشرفت برنامه ای: 100%
درصد پیشرفت واقعی: 98.78%</v>
      </c>
      <c r="H249" s="55">
        <v>1</v>
      </c>
      <c r="I249" s="56">
        <v>1</v>
      </c>
      <c r="J249" s="56">
        <v>1.0000000000000004</v>
      </c>
      <c r="K249" s="56">
        <f t="shared" si="114"/>
        <v>1.0000000000000004</v>
      </c>
      <c r="L249" s="56">
        <f t="shared" si="95"/>
        <v>1.0000000000000004</v>
      </c>
      <c r="M249" s="56">
        <f t="shared" si="95"/>
        <v>1.0000000000000004</v>
      </c>
      <c r="N249" s="57">
        <f t="shared" si="115"/>
        <v>1.0000000000000004</v>
      </c>
      <c r="O249" s="16">
        <f t="shared" si="112"/>
        <v>4</v>
      </c>
      <c r="P249" s="17">
        <v>4</v>
      </c>
      <c r="Q249" s="17">
        <v>5</v>
      </c>
      <c r="R249" s="17">
        <v>5</v>
      </c>
      <c r="S249" s="17">
        <v>6</v>
      </c>
      <c r="T249" s="17">
        <v>5</v>
      </c>
      <c r="U249" s="58">
        <v>6</v>
      </c>
      <c r="V249" s="16">
        <f t="shared" si="107"/>
        <v>7</v>
      </c>
      <c r="W249" s="17">
        <f t="shared" si="108"/>
        <v>8</v>
      </c>
      <c r="X249" s="17">
        <f t="shared" si="108"/>
        <v>9</v>
      </c>
      <c r="Y249" s="17">
        <f t="shared" si="109"/>
        <v>6</v>
      </c>
      <c r="Z249" s="17">
        <f t="shared" si="96"/>
        <v>9</v>
      </c>
      <c r="AA249" s="17">
        <f t="shared" si="110"/>
        <v>6</v>
      </c>
      <c r="AB249" s="58">
        <f t="shared" si="111"/>
        <v>11</v>
      </c>
      <c r="AC249" s="67"/>
      <c r="AD249" s="67"/>
      <c r="AE249" s="67"/>
      <c r="AF249" s="67"/>
      <c r="AG249" s="67"/>
      <c r="AH249" s="67"/>
      <c r="AI249" s="73"/>
      <c r="AJ249" s="74"/>
      <c r="AK249" s="74"/>
      <c r="AL249" s="62">
        <v>0.7</v>
      </c>
      <c r="AM249" s="63">
        <v>0.55000000000000004</v>
      </c>
      <c r="AN249" s="63">
        <v>0.1</v>
      </c>
      <c r="AO249" s="63">
        <v>0.4</v>
      </c>
      <c r="AP249" s="64">
        <v>0.9</v>
      </c>
      <c r="AQ249" s="62">
        <f t="shared" si="97"/>
        <v>1</v>
      </c>
      <c r="AR249" s="65">
        <v>1</v>
      </c>
      <c r="AS249" s="62">
        <f t="shared" si="98"/>
        <v>1</v>
      </c>
      <c r="AT249" s="65">
        <v>1</v>
      </c>
      <c r="AU249" s="62">
        <f t="shared" si="99"/>
        <v>1.0000000000000004</v>
      </c>
      <c r="AV249" s="65">
        <v>1.0000000000000004</v>
      </c>
      <c r="AW249" s="62">
        <f t="shared" si="100"/>
        <v>1.0000000000000004</v>
      </c>
      <c r="AX249" s="65">
        <v>1</v>
      </c>
      <c r="AY249" s="62">
        <f t="shared" si="101"/>
        <v>1.0000000000000004</v>
      </c>
      <c r="AZ249" s="65">
        <v>1.0000000000000004</v>
      </c>
      <c r="BA249" s="62">
        <f t="shared" si="102"/>
        <v>1.0000000000000004</v>
      </c>
      <c r="BB249" s="65">
        <v>1</v>
      </c>
      <c r="BC249" s="62">
        <f t="shared" si="103"/>
        <v>1.0000000000000004</v>
      </c>
      <c r="BD249" s="65">
        <v>1</v>
      </c>
      <c r="BE249" s="74"/>
      <c r="BF249" s="7"/>
      <c r="BG249" s="74"/>
      <c r="BH249" s="7"/>
      <c r="BI249" s="7"/>
      <c r="BJ249" s="7"/>
      <c r="BK249" s="7"/>
      <c r="BL249" s="7"/>
      <c r="BM249" s="7"/>
      <c r="BN249" s="7"/>
      <c r="BO249" s="7"/>
      <c r="BP249" s="7"/>
      <c r="BQ249" s="7"/>
    </row>
    <row r="250" spans="1:69" ht="19.8" thickBot="1" x14ac:dyDescent="0.35">
      <c r="A250" s="16">
        <v>248</v>
      </c>
      <c r="B250" s="52">
        <v>45658</v>
      </c>
      <c r="C250" s="53" t="str">
        <f t="shared" si="104"/>
        <v>1403/10/12</v>
      </c>
      <c r="D250" s="54">
        <v>1</v>
      </c>
      <c r="E250" s="54">
        <v>0.9877713214560867</v>
      </c>
      <c r="F250" s="11" t="e">
        <f t="shared" si="105"/>
        <v>#N/A</v>
      </c>
      <c r="G250" s="38" t="str">
        <f t="shared" si="106"/>
        <v>تاریخ: 1403/10/12
درصد پیشرفت برنامه ای: 100%
درصد پیشرفت واقعی: 98.78%</v>
      </c>
      <c r="H250" s="55">
        <v>1</v>
      </c>
      <c r="I250" s="56">
        <v>1</v>
      </c>
      <c r="J250" s="56">
        <v>1.0000000000000004</v>
      </c>
      <c r="K250" s="56">
        <f t="shared" si="114"/>
        <v>1.0000000000000004</v>
      </c>
      <c r="L250" s="56">
        <f t="shared" si="95"/>
        <v>1.0000000000000004</v>
      </c>
      <c r="M250" s="56">
        <f t="shared" si="95"/>
        <v>1.0000000000000004</v>
      </c>
      <c r="N250" s="57">
        <f t="shared" si="115"/>
        <v>1.0000000000000004</v>
      </c>
      <c r="O250" s="16">
        <f t="shared" si="112"/>
        <v>6</v>
      </c>
      <c r="P250" s="17">
        <v>6</v>
      </c>
      <c r="Q250" s="17">
        <v>5</v>
      </c>
      <c r="R250" s="17">
        <v>4</v>
      </c>
      <c r="S250" s="17">
        <v>6</v>
      </c>
      <c r="T250" s="17">
        <v>5</v>
      </c>
      <c r="U250" s="58">
        <v>4</v>
      </c>
      <c r="V250" s="16">
        <f t="shared" si="107"/>
        <v>9</v>
      </c>
      <c r="W250" s="17">
        <f t="shared" si="108"/>
        <v>10</v>
      </c>
      <c r="X250" s="17">
        <f t="shared" si="108"/>
        <v>9</v>
      </c>
      <c r="Y250" s="17">
        <f t="shared" si="109"/>
        <v>5</v>
      </c>
      <c r="Z250" s="17">
        <f t="shared" si="96"/>
        <v>9</v>
      </c>
      <c r="AA250" s="17">
        <f t="shared" si="110"/>
        <v>6</v>
      </c>
      <c r="AB250" s="58">
        <f t="shared" si="111"/>
        <v>9</v>
      </c>
      <c r="AC250" s="67"/>
      <c r="AD250" s="67"/>
      <c r="AE250" s="67"/>
      <c r="AF250" s="67"/>
      <c r="AG250" s="67"/>
      <c r="AH250" s="67"/>
      <c r="AI250" s="73"/>
      <c r="AJ250" s="74"/>
      <c r="AK250" s="74"/>
      <c r="AL250" s="62">
        <v>0.4</v>
      </c>
      <c r="AM250" s="63">
        <v>0.69</v>
      </c>
      <c r="AN250" s="63">
        <v>0.5</v>
      </c>
      <c r="AO250" s="63">
        <v>0.2</v>
      </c>
      <c r="AP250" s="64">
        <v>0.4</v>
      </c>
      <c r="AQ250" s="62">
        <f t="shared" si="97"/>
        <v>1</v>
      </c>
      <c r="AR250" s="65">
        <v>1</v>
      </c>
      <c r="AS250" s="62">
        <f t="shared" si="98"/>
        <v>1</v>
      </c>
      <c r="AT250" s="65">
        <v>1</v>
      </c>
      <c r="AU250" s="62">
        <f t="shared" si="99"/>
        <v>1.0000000000000004</v>
      </c>
      <c r="AV250" s="65">
        <v>1.0000000000000004</v>
      </c>
      <c r="AW250" s="62">
        <f t="shared" si="100"/>
        <v>1.0000000000000004</v>
      </c>
      <c r="AX250" s="65">
        <v>1</v>
      </c>
      <c r="AY250" s="62">
        <f t="shared" si="101"/>
        <v>1.0000000000000004</v>
      </c>
      <c r="AZ250" s="65">
        <v>1.0000000000000004</v>
      </c>
      <c r="BA250" s="62">
        <f t="shared" si="102"/>
        <v>1.0000000000000004</v>
      </c>
      <c r="BB250" s="65">
        <v>1</v>
      </c>
      <c r="BC250" s="62">
        <f t="shared" si="103"/>
        <v>1.0000000000000004</v>
      </c>
      <c r="BD250" s="65">
        <v>1</v>
      </c>
      <c r="BE250" s="74"/>
      <c r="BF250" s="7"/>
      <c r="BG250" s="74"/>
      <c r="BH250" s="7"/>
      <c r="BI250" s="7"/>
      <c r="BJ250" s="7"/>
      <c r="BK250" s="7"/>
      <c r="BL250" s="7"/>
      <c r="BM250" s="7"/>
      <c r="BN250" s="7"/>
      <c r="BO250" s="7"/>
      <c r="BP250" s="7"/>
      <c r="BQ250" s="7"/>
    </row>
    <row r="251" spans="1:69" ht="19.8" thickBot="1" x14ac:dyDescent="0.35">
      <c r="A251" s="16">
        <v>249</v>
      </c>
      <c r="B251" s="52">
        <v>45665</v>
      </c>
      <c r="C251" s="53" t="str">
        <f t="shared" si="104"/>
        <v>1403/10/19</v>
      </c>
      <c r="D251" s="54">
        <v>1</v>
      </c>
      <c r="E251" s="54">
        <v>0.9877713214560867</v>
      </c>
      <c r="F251" s="11" t="e">
        <f t="shared" si="105"/>
        <v>#N/A</v>
      </c>
      <c r="G251" s="38" t="str">
        <f t="shared" si="106"/>
        <v>تاریخ: 1403/10/19
درصد پیشرفت برنامه ای: 100%
درصد پیشرفت واقعی: 98.78%</v>
      </c>
      <c r="H251" s="55">
        <v>1</v>
      </c>
      <c r="I251" s="56">
        <v>1</v>
      </c>
      <c r="J251" s="56">
        <v>1.0000000000000004</v>
      </c>
      <c r="K251" s="56">
        <f t="shared" si="114"/>
        <v>1.0000000000000004</v>
      </c>
      <c r="L251" s="56">
        <f t="shared" ref="L251:M262" si="117">K227</f>
        <v>1.0000000000000004</v>
      </c>
      <c r="M251" s="56">
        <f t="shared" si="117"/>
        <v>1.0000000000000004</v>
      </c>
      <c r="N251" s="57">
        <f t="shared" si="115"/>
        <v>1.0000000000000004</v>
      </c>
      <c r="O251" s="16">
        <f t="shared" si="112"/>
        <v>4</v>
      </c>
      <c r="P251" s="17">
        <v>4</v>
      </c>
      <c r="Q251" s="17">
        <v>5</v>
      </c>
      <c r="R251" s="17">
        <v>5</v>
      </c>
      <c r="S251" s="17">
        <v>6</v>
      </c>
      <c r="T251" s="17">
        <v>5</v>
      </c>
      <c r="U251" s="58">
        <v>6</v>
      </c>
      <c r="V251" s="16">
        <f t="shared" si="107"/>
        <v>7</v>
      </c>
      <c r="W251" s="17">
        <f t="shared" si="108"/>
        <v>8</v>
      </c>
      <c r="X251" s="17">
        <f t="shared" si="108"/>
        <v>9</v>
      </c>
      <c r="Y251" s="17">
        <f t="shared" si="109"/>
        <v>6</v>
      </c>
      <c r="Z251" s="17">
        <f t="shared" si="96"/>
        <v>9</v>
      </c>
      <c r="AA251" s="17">
        <f t="shared" si="110"/>
        <v>6</v>
      </c>
      <c r="AB251" s="58">
        <f t="shared" si="111"/>
        <v>11</v>
      </c>
      <c r="AC251" s="67"/>
      <c r="AD251" s="67"/>
      <c r="AE251" s="67"/>
      <c r="AF251" s="67"/>
      <c r="AG251" s="67"/>
      <c r="AH251" s="67"/>
      <c r="AI251" s="73"/>
      <c r="AJ251" s="74"/>
      <c r="AK251" s="74"/>
      <c r="AL251" s="62">
        <v>0.35</v>
      </c>
      <c r="AM251" s="63">
        <v>0.4</v>
      </c>
      <c r="AN251" s="63">
        <v>0.9</v>
      </c>
      <c r="AO251" s="63">
        <v>0.8</v>
      </c>
      <c r="AP251" s="64">
        <v>0.2</v>
      </c>
      <c r="AQ251" s="62">
        <f t="shared" si="97"/>
        <v>1</v>
      </c>
      <c r="AR251" s="65">
        <v>1</v>
      </c>
      <c r="AS251" s="62">
        <f t="shared" si="98"/>
        <v>1</v>
      </c>
      <c r="AT251" s="65">
        <v>1</v>
      </c>
      <c r="AU251" s="62">
        <f t="shared" si="99"/>
        <v>1.0000000000000004</v>
      </c>
      <c r="AV251" s="65">
        <v>1.0000000000000004</v>
      </c>
      <c r="AW251" s="62">
        <f t="shared" si="100"/>
        <v>1.0000000000000004</v>
      </c>
      <c r="AX251" s="65">
        <v>1</v>
      </c>
      <c r="AY251" s="62">
        <f t="shared" si="101"/>
        <v>1.0000000000000004</v>
      </c>
      <c r="AZ251" s="65">
        <v>1.0000000000000004</v>
      </c>
      <c r="BA251" s="62">
        <f t="shared" si="102"/>
        <v>1.0000000000000004</v>
      </c>
      <c r="BB251" s="65">
        <v>1</v>
      </c>
      <c r="BC251" s="62">
        <f t="shared" si="103"/>
        <v>1.0000000000000004</v>
      </c>
      <c r="BD251" s="65">
        <v>1</v>
      </c>
      <c r="BE251" s="74"/>
      <c r="BF251" s="7"/>
      <c r="BG251" s="74"/>
      <c r="BH251" s="7"/>
      <c r="BI251" s="7"/>
      <c r="BJ251" s="7"/>
      <c r="BK251" s="7"/>
      <c r="BL251" s="7"/>
      <c r="BM251" s="7"/>
      <c r="BN251" s="7"/>
      <c r="BO251" s="7"/>
      <c r="BP251" s="7"/>
      <c r="BQ251" s="7"/>
    </row>
    <row r="252" spans="1:69" ht="19.8" thickBot="1" x14ac:dyDescent="0.35">
      <c r="A252" s="16">
        <v>250</v>
      </c>
      <c r="B252" s="52">
        <v>45672</v>
      </c>
      <c r="C252" s="53" t="str">
        <f t="shared" si="104"/>
        <v>1403/10/26</v>
      </c>
      <c r="D252" s="54">
        <v>1</v>
      </c>
      <c r="E252" s="54">
        <v>0.9877713214560867</v>
      </c>
      <c r="F252" s="11" t="e">
        <f t="shared" si="105"/>
        <v>#N/A</v>
      </c>
      <c r="G252" s="38" t="str">
        <f t="shared" si="106"/>
        <v>تاریخ: 1403/10/26
درصد پیشرفت برنامه ای: 100%
درصد پیشرفت واقعی: 98.78%</v>
      </c>
      <c r="H252" s="55">
        <v>1</v>
      </c>
      <c r="I252" s="56">
        <v>1</v>
      </c>
      <c r="J252" s="56">
        <v>1.0000000000000004</v>
      </c>
      <c r="K252" s="56">
        <f t="shared" si="114"/>
        <v>1.0000000000000004</v>
      </c>
      <c r="L252" s="56">
        <f t="shared" si="117"/>
        <v>1.0000000000000004</v>
      </c>
      <c r="M252" s="56">
        <f t="shared" si="117"/>
        <v>1.0000000000000004</v>
      </c>
      <c r="N252" s="57">
        <f t="shared" si="115"/>
        <v>1.0000000000000004</v>
      </c>
      <c r="O252" s="16">
        <f t="shared" si="112"/>
        <v>6</v>
      </c>
      <c r="P252" s="17">
        <v>6</v>
      </c>
      <c r="Q252" s="17">
        <v>5</v>
      </c>
      <c r="R252" s="17">
        <v>4</v>
      </c>
      <c r="S252" s="17">
        <v>6</v>
      </c>
      <c r="T252" s="17">
        <v>5</v>
      </c>
      <c r="U252" s="58">
        <v>4</v>
      </c>
      <c r="V252" s="16">
        <f t="shared" si="107"/>
        <v>9</v>
      </c>
      <c r="W252" s="17">
        <f t="shared" si="108"/>
        <v>10</v>
      </c>
      <c r="X252" s="17">
        <f t="shared" si="108"/>
        <v>9</v>
      </c>
      <c r="Y252" s="17">
        <f t="shared" si="109"/>
        <v>5</v>
      </c>
      <c r="Z252" s="17">
        <f t="shared" si="96"/>
        <v>9</v>
      </c>
      <c r="AA252" s="17">
        <f t="shared" si="110"/>
        <v>6</v>
      </c>
      <c r="AB252" s="58">
        <f t="shared" si="111"/>
        <v>9</v>
      </c>
      <c r="AC252" s="67"/>
      <c r="AD252" s="67"/>
      <c r="AE252" s="67"/>
      <c r="AF252" s="67"/>
      <c r="AG252" s="67"/>
      <c r="AH252" s="67"/>
      <c r="AI252" s="73"/>
      <c r="AJ252" s="74"/>
      <c r="AK252" s="74"/>
      <c r="AL252" s="62">
        <v>0.85</v>
      </c>
      <c r="AM252" s="63">
        <v>0.8</v>
      </c>
      <c r="AN252" s="63">
        <v>0.5</v>
      </c>
      <c r="AO252" s="63">
        <v>0.6</v>
      </c>
      <c r="AP252" s="64">
        <v>0.6</v>
      </c>
      <c r="AQ252" s="62">
        <f t="shared" si="97"/>
        <v>1</v>
      </c>
      <c r="AR252" s="65">
        <v>1</v>
      </c>
      <c r="AS252" s="62">
        <f t="shared" si="98"/>
        <v>1</v>
      </c>
      <c r="AT252" s="65">
        <v>1</v>
      </c>
      <c r="AU252" s="62">
        <f t="shared" si="99"/>
        <v>1.0000000000000004</v>
      </c>
      <c r="AV252" s="65">
        <v>1.0000000000000004</v>
      </c>
      <c r="AW252" s="62">
        <f t="shared" si="100"/>
        <v>1.0000000000000004</v>
      </c>
      <c r="AX252" s="65">
        <v>1</v>
      </c>
      <c r="AY252" s="62">
        <f t="shared" si="101"/>
        <v>1.0000000000000004</v>
      </c>
      <c r="AZ252" s="65">
        <v>1.0000000000000004</v>
      </c>
      <c r="BA252" s="62">
        <f t="shared" si="102"/>
        <v>1.0000000000000004</v>
      </c>
      <c r="BB252" s="65">
        <v>1</v>
      </c>
      <c r="BC252" s="62">
        <f t="shared" si="103"/>
        <v>1.0000000000000004</v>
      </c>
      <c r="BD252" s="65">
        <v>1</v>
      </c>
      <c r="BE252" s="74"/>
      <c r="BF252" s="7"/>
      <c r="BG252" s="74"/>
      <c r="BH252" s="7"/>
      <c r="BI252" s="7"/>
      <c r="BJ252" s="7"/>
      <c r="BK252" s="7"/>
      <c r="BL252" s="7"/>
      <c r="BM252" s="7"/>
      <c r="BN252" s="7"/>
      <c r="BO252" s="7"/>
      <c r="BP252" s="7"/>
      <c r="BQ252" s="7"/>
    </row>
    <row r="253" spans="1:69" ht="19.8" thickBot="1" x14ac:dyDescent="0.35">
      <c r="A253" s="16">
        <v>251</v>
      </c>
      <c r="B253" s="52">
        <v>45679</v>
      </c>
      <c r="C253" s="53" t="str">
        <f t="shared" si="104"/>
        <v>1403/11/03</v>
      </c>
      <c r="D253" s="54">
        <v>1</v>
      </c>
      <c r="E253" s="54">
        <v>0.9877713214560867</v>
      </c>
      <c r="F253" s="11" t="e">
        <f t="shared" si="105"/>
        <v>#N/A</v>
      </c>
      <c r="G253" s="38" t="str">
        <f t="shared" si="106"/>
        <v>تاریخ: 1403/11/03
درصد پیشرفت برنامه ای: 100%
درصد پیشرفت واقعی: 98.78%</v>
      </c>
      <c r="H253" s="55">
        <v>1</v>
      </c>
      <c r="I253" s="56">
        <v>1</v>
      </c>
      <c r="J253" s="56">
        <v>1.0000000000000004</v>
      </c>
      <c r="K253" s="56">
        <f t="shared" si="114"/>
        <v>1.0000000000000004</v>
      </c>
      <c r="L253" s="56">
        <f t="shared" si="117"/>
        <v>1.0000000000000004</v>
      </c>
      <c r="M253" s="56">
        <f t="shared" si="117"/>
        <v>1.0000000000000004</v>
      </c>
      <c r="N253" s="57">
        <f t="shared" si="115"/>
        <v>1.0000000000000004</v>
      </c>
      <c r="O253" s="16">
        <f t="shared" si="112"/>
        <v>4</v>
      </c>
      <c r="P253" s="17">
        <v>4</v>
      </c>
      <c r="Q253" s="17">
        <v>5</v>
      </c>
      <c r="R253" s="17">
        <v>5</v>
      </c>
      <c r="S253" s="17">
        <v>6</v>
      </c>
      <c r="T253" s="17">
        <v>5</v>
      </c>
      <c r="U253" s="58">
        <v>6</v>
      </c>
      <c r="V253" s="16">
        <f t="shared" si="107"/>
        <v>7</v>
      </c>
      <c r="W253" s="17">
        <f t="shared" si="108"/>
        <v>8</v>
      </c>
      <c r="X253" s="17">
        <f t="shared" si="108"/>
        <v>9</v>
      </c>
      <c r="Y253" s="17">
        <f t="shared" si="109"/>
        <v>6</v>
      </c>
      <c r="Z253" s="17">
        <f t="shared" si="96"/>
        <v>9</v>
      </c>
      <c r="AA253" s="17">
        <f t="shared" si="110"/>
        <v>6</v>
      </c>
      <c r="AB253" s="58">
        <f t="shared" si="111"/>
        <v>11</v>
      </c>
      <c r="AC253" s="67"/>
      <c r="AD253" s="67"/>
      <c r="AE253" s="67"/>
      <c r="AF253" s="67"/>
      <c r="AG253" s="67"/>
      <c r="AH253" s="67"/>
      <c r="AI253" s="73"/>
      <c r="AJ253" s="74"/>
      <c r="AK253" s="74"/>
      <c r="AL253" s="62">
        <v>0.9</v>
      </c>
      <c r="AM253" s="63">
        <v>0.95</v>
      </c>
      <c r="AN253" s="63">
        <v>0.8</v>
      </c>
      <c r="AO253" s="63">
        <v>0.7</v>
      </c>
      <c r="AP253" s="64">
        <v>0.1</v>
      </c>
      <c r="AQ253" s="62">
        <f t="shared" si="97"/>
        <v>1</v>
      </c>
      <c r="AR253" s="65">
        <v>1</v>
      </c>
      <c r="AS253" s="62">
        <f t="shared" si="98"/>
        <v>1</v>
      </c>
      <c r="AT253" s="65">
        <v>1</v>
      </c>
      <c r="AU253" s="62">
        <f t="shared" si="99"/>
        <v>1.0000000000000004</v>
      </c>
      <c r="AV253" s="65">
        <v>1.0000000000000004</v>
      </c>
      <c r="AW253" s="62">
        <f t="shared" si="100"/>
        <v>1.0000000000000004</v>
      </c>
      <c r="AX253" s="65">
        <v>1</v>
      </c>
      <c r="AY253" s="62">
        <f t="shared" si="101"/>
        <v>1.0000000000000004</v>
      </c>
      <c r="AZ253" s="65">
        <v>1.0000000000000004</v>
      </c>
      <c r="BA253" s="62">
        <f t="shared" si="102"/>
        <v>1.0000000000000004</v>
      </c>
      <c r="BB253" s="65">
        <v>1</v>
      </c>
      <c r="BC253" s="62">
        <f t="shared" si="103"/>
        <v>1.0000000000000004</v>
      </c>
      <c r="BD253" s="65">
        <v>1</v>
      </c>
      <c r="BE253" s="74"/>
      <c r="BF253" s="7"/>
      <c r="BG253" s="74"/>
      <c r="BH253" s="7"/>
      <c r="BI253" s="7"/>
      <c r="BJ253" s="7"/>
      <c r="BK253" s="7"/>
      <c r="BL253" s="7"/>
      <c r="BM253" s="7"/>
      <c r="BN253" s="7"/>
      <c r="BO253" s="7"/>
      <c r="BP253" s="7"/>
      <c r="BQ253" s="7"/>
    </row>
    <row r="254" spans="1:69" ht="19.8" thickBot="1" x14ac:dyDescent="0.35">
      <c r="A254" s="16">
        <v>252</v>
      </c>
      <c r="B254" s="52">
        <v>45686</v>
      </c>
      <c r="C254" s="53" t="str">
        <f t="shared" si="104"/>
        <v>1403/11/10</v>
      </c>
      <c r="D254" s="54">
        <v>1</v>
      </c>
      <c r="E254" s="54">
        <v>0.9877713214560867</v>
      </c>
      <c r="F254" s="11" t="e">
        <f t="shared" si="105"/>
        <v>#N/A</v>
      </c>
      <c r="G254" s="38" t="str">
        <f t="shared" si="106"/>
        <v>تاریخ: 1403/11/10
درصد پیشرفت برنامه ای: 100%
درصد پیشرفت واقعی: 98.78%</v>
      </c>
      <c r="H254" s="55">
        <v>1</v>
      </c>
      <c r="I254" s="56">
        <v>1</v>
      </c>
      <c r="J254" s="56">
        <v>1.0000000000000004</v>
      </c>
      <c r="K254" s="56">
        <f t="shared" si="114"/>
        <v>1.0000000000000004</v>
      </c>
      <c r="L254" s="56">
        <f t="shared" si="117"/>
        <v>1.0000000000000004</v>
      </c>
      <c r="M254" s="56">
        <f t="shared" si="117"/>
        <v>1.0000000000000004</v>
      </c>
      <c r="N254" s="57">
        <f t="shared" si="115"/>
        <v>1.0000000000000004</v>
      </c>
      <c r="O254" s="16">
        <f t="shared" si="112"/>
        <v>6</v>
      </c>
      <c r="P254" s="17">
        <v>6</v>
      </c>
      <c r="Q254" s="17">
        <v>5</v>
      </c>
      <c r="R254" s="17">
        <v>4</v>
      </c>
      <c r="S254" s="17">
        <v>6</v>
      </c>
      <c r="T254" s="17">
        <v>5</v>
      </c>
      <c r="U254" s="58">
        <v>4</v>
      </c>
      <c r="V254" s="16">
        <f t="shared" si="107"/>
        <v>9</v>
      </c>
      <c r="W254" s="17">
        <f t="shared" si="108"/>
        <v>10</v>
      </c>
      <c r="X254" s="17">
        <f t="shared" si="108"/>
        <v>9</v>
      </c>
      <c r="Y254" s="17">
        <f t="shared" si="109"/>
        <v>5</v>
      </c>
      <c r="Z254" s="17">
        <f t="shared" si="96"/>
        <v>9</v>
      </c>
      <c r="AA254" s="17">
        <f t="shared" si="110"/>
        <v>6</v>
      </c>
      <c r="AB254" s="58">
        <f t="shared" si="111"/>
        <v>9</v>
      </c>
      <c r="AC254" s="67"/>
      <c r="AD254" s="67"/>
      <c r="AE254" s="67"/>
      <c r="AF254" s="67"/>
      <c r="AG254" s="67"/>
      <c r="AH254" s="67"/>
      <c r="AI254" s="73"/>
      <c r="AJ254" s="74"/>
      <c r="AK254" s="74"/>
      <c r="AL254" s="62">
        <v>0.7</v>
      </c>
      <c r="AM254" s="63">
        <v>0.68</v>
      </c>
      <c r="AN254" s="63">
        <v>0.5</v>
      </c>
      <c r="AO254" s="63">
        <v>0.9</v>
      </c>
      <c r="AP254" s="64">
        <v>0.55000000000000004</v>
      </c>
      <c r="AQ254" s="62">
        <f t="shared" si="97"/>
        <v>1</v>
      </c>
      <c r="AR254" s="65">
        <v>1</v>
      </c>
      <c r="AS254" s="62">
        <f t="shared" si="98"/>
        <v>1</v>
      </c>
      <c r="AT254" s="65">
        <v>1</v>
      </c>
      <c r="AU254" s="62">
        <f t="shared" si="99"/>
        <v>1.0000000000000004</v>
      </c>
      <c r="AV254" s="65">
        <v>1.0000000000000004</v>
      </c>
      <c r="AW254" s="62">
        <f t="shared" si="100"/>
        <v>1.0000000000000004</v>
      </c>
      <c r="AX254" s="65">
        <v>1</v>
      </c>
      <c r="AY254" s="62">
        <f t="shared" si="101"/>
        <v>1.0000000000000004</v>
      </c>
      <c r="AZ254" s="65">
        <v>1.0000000000000004</v>
      </c>
      <c r="BA254" s="62">
        <f t="shared" si="102"/>
        <v>1.0000000000000004</v>
      </c>
      <c r="BB254" s="65">
        <v>1</v>
      </c>
      <c r="BC254" s="62">
        <f t="shared" si="103"/>
        <v>1.0000000000000004</v>
      </c>
      <c r="BD254" s="65">
        <v>1</v>
      </c>
      <c r="BE254" s="74"/>
      <c r="BF254" s="7"/>
      <c r="BG254" s="74"/>
      <c r="BH254" s="7"/>
      <c r="BI254" s="7"/>
      <c r="BJ254" s="7"/>
      <c r="BK254" s="7"/>
      <c r="BL254" s="7"/>
      <c r="BM254" s="7"/>
      <c r="BN254" s="7"/>
      <c r="BO254" s="7"/>
      <c r="BP254" s="7"/>
      <c r="BQ254" s="7"/>
    </row>
    <row r="255" spans="1:69" ht="19.8" thickBot="1" x14ac:dyDescent="0.35">
      <c r="A255" s="16">
        <v>253</v>
      </c>
      <c r="B255" s="52">
        <v>45693</v>
      </c>
      <c r="C255" s="53" t="str">
        <f t="shared" si="104"/>
        <v>1403/11/17</v>
      </c>
      <c r="D255" s="54">
        <v>1</v>
      </c>
      <c r="E255" s="54">
        <v>0.9877713214560867</v>
      </c>
      <c r="F255" s="11" t="e">
        <f t="shared" si="105"/>
        <v>#N/A</v>
      </c>
      <c r="G255" s="38" t="str">
        <f t="shared" si="106"/>
        <v>تاریخ: 1403/11/17
درصد پیشرفت برنامه ای: 100%
درصد پیشرفت واقعی: 98.78%</v>
      </c>
      <c r="H255" s="55">
        <v>1</v>
      </c>
      <c r="I255" s="56">
        <v>1</v>
      </c>
      <c r="J255" s="56">
        <v>1.0000000000000004</v>
      </c>
      <c r="K255" s="56">
        <f t="shared" si="114"/>
        <v>1.0000000000000004</v>
      </c>
      <c r="L255" s="56">
        <f t="shared" si="117"/>
        <v>1.0000000000000004</v>
      </c>
      <c r="M255" s="56">
        <f t="shared" si="117"/>
        <v>1.0000000000000004</v>
      </c>
      <c r="N255" s="57">
        <f t="shared" si="115"/>
        <v>1.0000000000000004</v>
      </c>
      <c r="O255" s="16">
        <f t="shared" si="112"/>
        <v>4</v>
      </c>
      <c r="P255" s="17">
        <v>10</v>
      </c>
      <c r="Q255" s="17">
        <v>9</v>
      </c>
      <c r="R255" s="17">
        <v>8</v>
      </c>
      <c r="S255" s="17">
        <v>7</v>
      </c>
      <c r="T255" s="17">
        <v>5</v>
      </c>
      <c r="U255" s="58">
        <v>4</v>
      </c>
      <c r="V255" s="16">
        <f t="shared" si="107"/>
        <v>7</v>
      </c>
      <c r="W255" s="17">
        <f t="shared" si="108"/>
        <v>14</v>
      </c>
      <c r="X255" s="17">
        <f t="shared" si="108"/>
        <v>13</v>
      </c>
      <c r="Y255" s="17">
        <f t="shared" si="109"/>
        <v>9</v>
      </c>
      <c r="Z255" s="17">
        <f t="shared" si="96"/>
        <v>10</v>
      </c>
      <c r="AA255" s="17">
        <f t="shared" si="110"/>
        <v>6</v>
      </c>
      <c r="AB255" s="58">
        <f t="shared" si="111"/>
        <v>9</v>
      </c>
      <c r="AC255" s="67"/>
      <c r="AD255" s="67"/>
      <c r="AE255" s="67"/>
      <c r="AF255" s="67"/>
      <c r="AG255" s="67"/>
      <c r="AH255" s="67"/>
      <c r="AI255" s="73"/>
      <c r="AJ255" s="74"/>
      <c r="AK255" s="74"/>
      <c r="AL255" s="62">
        <v>0.6</v>
      </c>
      <c r="AM255" s="63">
        <v>0.5</v>
      </c>
      <c r="AN255" s="63">
        <v>0.66</v>
      </c>
      <c r="AO255" s="63">
        <v>0.5</v>
      </c>
      <c r="AP255" s="64">
        <v>0.9</v>
      </c>
      <c r="AQ255" s="62">
        <f t="shared" si="97"/>
        <v>1</v>
      </c>
      <c r="AR255" s="65">
        <v>1</v>
      </c>
      <c r="AS255" s="62">
        <f t="shared" si="98"/>
        <v>1</v>
      </c>
      <c r="AT255" s="65">
        <v>1</v>
      </c>
      <c r="AU255" s="62">
        <f t="shared" si="99"/>
        <v>1.0000000000000004</v>
      </c>
      <c r="AV255" s="65">
        <v>1.0000000000000004</v>
      </c>
      <c r="AW255" s="62">
        <f t="shared" si="100"/>
        <v>1.0000000000000004</v>
      </c>
      <c r="AX255" s="65">
        <v>1</v>
      </c>
      <c r="AY255" s="62">
        <f t="shared" si="101"/>
        <v>1.0000000000000004</v>
      </c>
      <c r="AZ255" s="65">
        <v>1.0000000000000004</v>
      </c>
      <c r="BA255" s="62">
        <f t="shared" si="102"/>
        <v>1.0000000000000004</v>
      </c>
      <c r="BB255" s="65">
        <v>1</v>
      </c>
      <c r="BC255" s="62">
        <f t="shared" si="103"/>
        <v>1.0000000000000004</v>
      </c>
      <c r="BD255" s="65">
        <v>1</v>
      </c>
      <c r="BE255" s="74"/>
      <c r="BF255" s="7"/>
      <c r="BG255" s="74"/>
      <c r="BH255" s="7"/>
      <c r="BI255" s="7"/>
      <c r="BJ255" s="7"/>
      <c r="BK255" s="7"/>
      <c r="BL255" s="7"/>
      <c r="BM255" s="7"/>
      <c r="BN255" s="7"/>
      <c r="BO255" s="7"/>
      <c r="BP255" s="7"/>
      <c r="BQ255" s="7"/>
    </row>
    <row r="256" spans="1:69" ht="19.8" thickBot="1" x14ac:dyDescent="0.35">
      <c r="A256" s="16">
        <v>254</v>
      </c>
      <c r="B256" s="52">
        <v>45700</v>
      </c>
      <c r="C256" s="53" t="str">
        <f t="shared" si="104"/>
        <v>1403/11/24</v>
      </c>
      <c r="D256" s="54">
        <v>1</v>
      </c>
      <c r="E256" s="54">
        <v>0.9877713214560867</v>
      </c>
      <c r="F256" s="11" t="e">
        <f t="shared" si="105"/>
        <v>#N/A</v>
      </c>
      <c r="G256" s="38" t="str">
        <f t="shared" si="106"/>
        <v>تاریخ: 1403/11/24
درصد پیشرفت برنامه ای: 100%
درصد پیشرفت واقعی: 98.78%</v>
      </c>
      <c r="H256" s="55">
        <v>1</v>
      </c>
      <c r="I256" s="56">
        <v>1</v>
      </c>
      <c r="J256" s="56">
        <v>1.0000000000000004</v>
      </c>
      <c r="K256" s="56">
        <f t="shared" si="114"/>
        <v>1.0000000000000004</v>
      </c>
      <c r="L256" s="56">
        <f t="shared" si="117"/>
        <v>1.0000000000000004</v>
      </c>
      <c r="M256" s="56">
        <f t="shared" si="117"/>
        <v>1.0000000000000004</v>
      </c>
      <c r="N256" s="57">
        <f t="shared" si="115"/>
        <v>1.0000000000000004</v>
      </c>
      <c r="O256" s="16">
        <f t="shared" si="112"/>
        <v>4</v>
      </c>
      <c r="P256" s="17">
        <v>10</v>
      </c>
      <c r="Q256" s="17">
        <v>9</v>
      </c>
      <c r="R256" s="17">
        <v>10</v>
      </c>
      <c r="S256" s="17">
        <v>11</v>
      </c>
      <c r="T256" s="17">
        <v>10</v>
      </c>
      <c r="U256" s="58">
        <v>11</v>
      </c>
      <c r="V256" s="16">
        <f t="shared" si="107"/>
        <v>7</v>
      </c>
      <c r="W256" s="17">
        <f t="shared" si="108"/>
        <v>14</v>
      </c>
      <c r="X256" s="17">
        <f t="shared" si="108"/>
        <v>13</v>
      </c>
      <c r="Y256" s="17">
        <f t="shared" si="109"/>
        <v>11</v>
      </c>
      <c r="Z256" s="17">
        <f t="shared" si="96"/>
        <v>14</v>
      </c>
      <c r="AA256" s="17">
        <f t="shared" si="110"/>
        <v>11</v>
      </c>
      <c r="AB256" s="58">
        <f t="shared" si="111"/>
        <v>16</v>
      </c>
      <c r="AC256" s="67"/>
      <c r="AD256" s="67"/>
      <c r="AE256" s="67"/>
      <c r="AF256" s="67"/>
      <c r="AG256" s="67"/>
      <c r="AH256" s="67"/>
      <c r="AI256" s="73"/>
      <c r="AJ256" s="74"/>
      <c r="AK256" s="74"/>
      <c r="AL256" s="62">
        <v>0.55000000000000004</v>
      </c>
      <c r="AM256" s="63">
        <v>0.62</v>
      </c>
      <c r="AN256" s="63">
        <v>0.78</v>
      </c>
      <c r="AO256" s="63">
        <v>0.42</v>
      </c>
      <c r="AP256" s="64">
        <v>0.8</v>
      </c>
      <c r="AQ256" s="62">
        <f t="shared" si="97"/>
        <v>1</v>
      </c>
      <c r="AR256" s="65">
        <v>1</v>
      </c>
      <c r="AS256" s="62">
        <f t="shared" si="98"/>
        <v>1</v>
      </c>
      <c r="AT256" s="65">
        <v>1</v>
      </c>
      <c r="AU256" s="62">
        <f t="shared" si="99"/>
        <v>1.0000000000000004</v>
      </c>
      <c r="AV256" s="65">
        <v>1.0000000000000004</v>
      </c>
      <c r="AW256" s="62">
        <f t="shared" si="100"/>
        <v>1.0000000000000004</v>
      </c>
      <c r="AX256" s="65">
        <v>1</v>
      </c>
      <c r="AY256" s="62">
        <f t="shared" si="101"/>
        <v>1.0000000000000004</v>
      </c>
      <c r="AZ256" s="65">
        <v>1.0000000000000004</v>
      </c>
      <c r="BA256" s="62">
        <f t="shared" si="102"/>
        <v>1.0000000000000004</v>
      </c>
      <c r="BB256" s="65">
        <v>1</v>
      </c>
      <c r="BC256" s="62">
        <f t="shared" si="103"/>
        <v>1.0000000000000004</v>
      </c>
      <c r="BD256" s="65">
        <v>1</v>
      </c>
      <c r="BE256" s="74"/>
      <c r="BF256" s="7"/>
      <c r="BG256" s="74"/>
      <c r="BH256" s="7"/>
      <c r="BI256" s="7"/>
      <c r="BJ256" s="7"/>
      <c r="BK256" s="7"/>
      <c r="BL256" s="7"/>
      <c r="BM256" s="7"/>
      <c r="BN256" s="7"/>
      <c r="BO256" s="7"/>
      <c r="BP256" s="7"/>
      <c r="BQ256" s="7"/>
    </row>
    <row r="257" spans="1:69" ht="19.8" thickBot="1" x14ac:dyDescent="0.35">
      <c r="A257" s="16">
        <v>255</v>
      </c>
      <c r="B257" s="52">
        <v>45707</v>
      </c>
      <c r="C257" s="53" t="str">
        <f t="shared" si="104"/>
        <v>1403/12/01</v>
      </c>
      <c r="D257" s="54">
        <v>1</v>
      </c>
      <c r="E257" s="54">
        <v>0.9877713214560867</v>
      </c>
      <c r="F257" s="11" t="e">
        <f t="shared" si="105"/>
        <v>#N/A</v>
      </c>
      <c r="G257" s="38" t="str">
        <f t="shared" si="106"/>
        <v>تاریخ: 1403/12/01
درصد پیشرفت برنامه ای: 100%
درصد پیشرفت واقعی: 98.78%</v>
      </c>
      <c r="H257" s="55">
        <v>1</v>
      </c>
      <c r="I257" s="56">
        <v>1</v>
      </c>
      <c r="J257" s="56">
        <v>1.0000000000000004</v>
      </c>
      <c r="K257" s="56">
        <f t="shared" si="114"/>
        <v>1.0000000000000004</v>
      </c>
      <c r="L257" s="56">
        <f t="shared" si="117"/>
        <v>1.0000000000000004</v>
      </c>
      <c r="M257" s="56">
        <f t="shared" si="117"/>
        <v>1.0000000000000004</v>
      </c>
      <c r="N257" s="57">
        <f t="shared" si="115"/>
        <v>1.0000000000000004</v>
      </c>
      <c r="O257" s="16">
        <f t="shared" si="112"/>
        <v>11</v>
      </c>
      <c r="P257" s="17">
        <v>12</v>
      </c>
      <c r="Q257" s="17">
        <v>11</v>
      </c>
      <c r="R257" s="17">
        <v>13</v>
      </c>
      <c r="S257" s="17">
        <v>11</v>
      </c>
      <c r="T257" s="17">
        <v>12</v>
      </c>
      <c r="U257" s="58">
        <v>13</v>
      </c>
      <c r="V257" s="16">
        <f t="shared" si="107"/>
        <v>14</v>
      </c>
      <c r="W257" s="17">
        <f t="shared" si="108"/>
        <v>16</v>
      </c>
      <c r="X257" s="17">
        <f t="shared" si="108"/>
        <v>15</v>
      </c>
      <c r="Y257" s="17">
        <f t="shared" si="109"/>
        <v>14</v>
      </c>
      <c r="Z257" s="17">
        <f t="shared" si="96"/>
        <v>14</v>
      </c>
      <c r="AA257" s="17">
        <f t="shared" si="110"/>
        <v>13</v>
      </c>
      <c r="AB257" s="58">
        <f t="shared" si="111"/>
        <v>18</v>
      </c>
      <c r="AC257" s="67"/>
      <c r="AD257" s="67"/>
      <c r="AE257" s="67"/>
      <c r="AF257" s="67"/>
      <c r="AG257" s="67"/>
      <c r="AH257" s="67"/>
      <c r="AI257" s="73"/>
      <c r="AJ257" s="74"/>
      <c r="AK257" s="74"/>
      <c r="AL257" s="62">
        <v>0.6</v>
      </c>
      <c r="AM257" s="63">
        <v>0.9</v>
      </c>
      <c r="AN257" s="63">
        <v>0.5</v>
      </c>
      <c r="AO257" s="63">
        <v>0.5</v>
      </c>
      <c r="AP257" s="64">
        <v>0.62</v>
      </c>
      <c r="AQ257" s="62">
        <f t="shared" si="97"/>
        <v>1</v>
      </c>
      <c r="AR257" s="65">
        <v>1</v>
      </c>
      <c r="AS257" s="62">
        <f t="shared" si="98"/>
        <v>1</v>
      </c>
      <c r="AT257" s="65">
        <v>1</v>
      </c>
      <c r="AU257" s="62">
        <f t="shared" si="99"/>
        <v>1.0000000000000004</v>
      </c>
      <c r="AV257" s="65">
        <v>1.0000000000000004</v>
      </c>
      <c r="AW257" s="62">
        <f t="shared" si="100"/>
        <v>1.0000000000000004</v>
      </c>
      <c r="AX257" s="65">
        <v>1</v>
      </c>
      <c r="AY257" s="62">
        <f t="shared" si="101"/>
        <v>1.0000000000000004</v>
      </c>
      <c r="AZ257" s="65">
        <v>1.0000000000000004</v>
      </c>
      <c r="BA257" s="62">
        <f t="shared" si="102"/>
        <v>1.0000000000000004</v>
      </c>
      <c r="BB257" s="65">
        <v>1</v>
      </c>
      <c r="BC257" s="62">
        <f t="shared" si="103"/>
        <v>1.0000000000000004</v>
      </c>
      <c r="BD257" s="65">
        <v>1</v>
      </c>
      <c r="BE257" s="74"/>
      <c r="BF257" s="7"/>
      <c r="BG257" s="74"/>
      <c r="BH257" s="7"/>
      <c r="BI257" s="7"/>
      <c r="BJ257" s="7"/>
      <c r="BK257" s="7"/>
      <c r="BL257" s="7"/>
      <c r="BM257" s="7"/>
      <c r="BN257" s="7"/>
      <c r="BO257" s="7"/>
      <c r="BP257" s="7"/>
      <c r="BQ257" s="7"/>
    </row>
    <row r="258" spans="1:69" ht="19.8" thickBot="1" x14ac:dyDescent="0.35">
      <c r="A258" s="16">
        <v>256</v>
      </c>
      <c r="B258" s="52">
        <v>45714</v>
      </c>
      <c r="C258" s="53" t="str">
        <f t="shared" si="104"/>
        <v>1403/12/08</v>
      </c>
      <c r="D258" s="54">
        <v>1</v>
      </c>
      <c r="E258" s="54">
        <v>0.9877713214560867</v>
      </c>
      <c r="F258" s="11" t="e">
        <f t="shared" si="105"/>
        <v>#N/A</v>
      </c>
      <c r="G258" s="38" t="str">
        <f t="shared" si="106"/>
        <v>تاریخ: 1403/12/08
درصد پیشرفت برنامه ای: 100%
درصد پیشرفت واقعی: 98.78%</v>
      </c>
      <c r="H258" s="55">
        <v>1</v>
      </c>
      <c r="I258" s="56">
        <v>1</v>
      </c>
      <c r="J258" s="56">
        <v>1.0000000000000004</v>
      </c>
      <c r="K258" s="56">
        <f t="shared" si="114"/>
        <v>1.0000000000000004</v>
      </c>
      <c r="L258" s="56">
        <f t="shared" si="117"/>
        <v>1.0000000000000004</v>
      </c>
      <c r="M258" s="56">
        <f t="shared" si="117"/>
        <v>1.0000000000000004</v>
      </c>
      <c r="N258" s="57">
        <f t="shared" si="115"/>
        <v>1.0000000000000004</v>
      </c>
      <c r="O258" s="16">
        <f t="shared" si="112"/>
        <v>13</v>
      </c>
      <c r="P258" s="17">
        <v>10</v>
      </c>
      <c r="Q258" s="17">
        <v>9</v>
      </c>
      <c r="R258" s="17">
        <v>8</v>
      </c>
      <c r="S258" s="17">
        <v>7</v>
      </c>
      <c r="T258" s="17">
        <v>5</v>
      </c>
      <c r="U258" s="58">
        <v>4</v>
      </c>
      <c r="V258" s="16">
        <f t="shared" si="107"/>
        <v>16</v>
      </c>
      <c r="W258" s="17">
        <f t="shared" si="108"/>
        <v>14</v>
      </c>
      <c r="X258" s="17">
        <f t="shared" si="108"/>
        <v>13</v>
      </c>
      <c r="Y258" s="17">
        <f t="shared" si="109"/>
        <v>9</v>
      </c>
      <c r="Z258" s="17">
        <f t="shared" si="96"/>
        <v>10</v>
      </c>
      <c r="AA258" s="17">
        <f t="shared" si="110"/>
        <v>6</v>
      </c>
      <c r="AB258" s="58">
        <f t="shared" si="111"/>
        <v>9</v>
      </c>
      <c r="AC258" s="67"/>
      <c r="AD258" s="67"/>
      <c r="AE258" s="67"/>
      <c r="AF258" s="67"/>
      <c r="AG258" s="67"/>
      <c r="AH258" s="67"/>
      <c r="AI258" s="73"/>
      <c r="AJ258" s="74"/>
      <c r="AK258" s="74"/>
      <c r="AL258" s="62">
        <v>0.66</v>
      </c>
      <c r="AM258" s="63">
        <v>0.7</v>
      </c>
      <c r="AN258" s="63">
        <v>0.8</v>
      </c>
      <c r="AO258" s="63">
        <v>0.55000000000000004</v>
      </c>
      <c r="AP258" s="64">
        <v>0.5</v>
      </c>
      <c r="AQ258" s="62">
        <f t="shared" si="97"/>
        <v>1</v>
      </c>
      <c r="AR258" s="65">
        <v>1</v>
      </c>
      <c r="AS258" s="62">
        <f t="shared" si="98"/>
        <v>1</v>
      </c>
      <c r="AT258" s="65">
        <v>1</v>
      </c>
      <c r="AU258" s="62">
        <f t="shared" si="99"/>
        <v>1.0000000000000004</v>
      </c>
      <c r="AV258" s="65">
        <v>1.0000000000000004</v>
      </c>
      <c r="AW258" s="62">
        <f t="shared" si="100"/>
        <v>1.0000000000000004</v>
      </c>
      <c r="AX258" s="65">
        <v>1</v>
      </c>
      <c r="AY258" s="62">
        <f t="shared" si="101"/>
        <v>1.0000000000000004</v>
      </c>
      <c r="AZ258" s="65">
        <v>1.0000000000000004</v>
      </c>
      <c r="BA258" s="62">
        <f t="shared" si="102"/>
        <v>1.0000000000000004</v>
      </c>
      <c r="BB258" s="65">
        <v>1</v>
      </c>
      <c r="BC258" s="62">
        <f t="shared" si="103"/>
        <v>1.0000000000000004</v>
      </c>
      <c r="BD258" s="65">
        <v>1</v>
      </c>
      <c r="BE258" s="74"/>
      <c r="BF258" s="7"/>
      <c r="BG258" s="74"/>
      <c r="BH258" s="7"/>
      <c r="BI258" s="7"/>
      <c r="BJ258" s="7"/>
      <c r="BK258" s="7"/>
      <c r="BL258" s="7"/>
      <c r="BM258" s="7"/>
      <c r="BN258" s="7"/>
      <c r="BO258" s="7"/>
      <c r="BP258" s="7"/>
      <c r="BQ258" s="7"/>
    </row>
    <row r="259" spans="1:69" ht="19.8" thickBot="1" x14ac:dyDescent="0.35">
      <c r="A259" s="16">
        <v>257</v>
      </c>
      <c r="B259" s="52">
        <v>45721</v>
      </c>
      <c r="C259" s="53" t="str">
        <f t="shared" si="104"/>
        <v>1403/12/15</v>
      </c>
      <c r="D259" s="54">
        <v>1</v>
      </c>
      <c r="E259" s="54">
        <v>0.99103096681689185</v>
      </c>
      <c r="F259" s="11" t="e">
        <f t="shared" si="105"/>
        <v>#N/A</v>
      </c>
      <c r="G259" s="38" t="str">
        <f t="shared" si="106"/>
        <v>تاریخ: 1403/12/15
درصد پیشرفت برنامه ای: 100%
درصد پیشرفت واقعی: 99.1%</v>
      </c>
      <c r="H259" s="55">
        <v>1</v>
      </c>
      <c r="I259" s="56">
        <v>1</v>
      </c>
      <c r="J259" s="56">
        <v>1.0000000000000004</v>
      </c>
      <c r="K259" s="56">
        <f t="shared" si="114"/>
        <v>1.0000000000000004</v>
      </c>
      <c r="L259" s="56">
        <f t="shared" si="117"/>
        <v>1.0000000000000004</v>
      </c>
      <c r="M259" s="56">
        <f t="shared" si="117"/>
        <v>1.0000000000000004</v>
      </c>
      <c r="N259" s="57">
        <f t="shared" si="115"/>
        <v>1.0000000000000004</v>
      </c>
      <c r="O259" s="16">
        <f t="shared" si="112"/>
        <v>4</v>
      </c>
      <c r="P259" s="17">
        <v>10</v>
      </c>
      <c r="Q259" s="17">
        <v>9</v>
      </c>
      <c r="R259" s="17">
        <v>10</v>
      </c>
      <c r="S259" s="17">
        <v>11</v>
      </c>
      <c r="T259" s="17">
        <v>10</v>
      </c>
      <c r="U259" s="58">
        <v>11</v>
      </c>
      <c r="V259" s="16">
        <f t="shared" si="107"/>
        <v>7</v>
      </c>
      <c r="W259" s="17">
        <f t="shared" si="108"/>
        <v>14</v>
      </c>
      <c r="X259" s="17">
        <f t="shared" si="108"/>
        <v>13</v>
      </c>
      <c r="Y259" s="17">
        <f t="shared" si="109"/>
        <v>11</v>
      </c>
      <c r="Z259" s="17">
        <f t="shared" ref="Z259:Z262" si="118">S259+3</f>
        <v>14</v>
      </c>
      <c r="AA259" s="17">
        <f t="shared" si="110"/>
        <v>11</v>
      </c>
      <c r="AB259" s="58">
        <f t="shared" si="111"/>
        <v>16</v>
      </c>
      <c r="AC259" s="67"/>
      <c r="AD259" s="67"/>
      <c r="AE259" s="67"/>
      <c r="AF259" s="67"/>
      <c r="AG259" s="67"/>
      <c r="AH259" s="67"/>
      <c r="AI259" s="73"/>
      <c r="AJ259" s="74"/>
      <c r="AK259" s="74"/>
      <c r="AL259" s="62">
        <v>0.55000000000000004</v>
      </c>
      <c r="AM259" s="63">
        <v>0.4</v>
      </c>
      <c r="AN259" s="63">
        <v>0.4</v>
      </c>
      <c r="AO259" s="63">
        <v>0.9</v>
      </c>
      <c r="AP259" s="64">
        <v>0.8</v>
      </c>
      <c r="AQ259" s="62">
        <f t="shared" si="97"/>
        <v>1</v>
      </c>
      <c r="AR259" s="65">
        <v>1</v>
      </c>
      <c r="AS259" s="62">
        <f t="shared" si="98"/>
        <v>1</v>
      </c>
      <c r="AT259" s="65">
        <v>1</v>
      </c>
      <c r="AU259" s="62">
        <f t="shared" si="99"/>
        <v>1.0000000000000004</v>
      </c>
      <c r="AV259" s="65">
        <v>1.0000000000000004</v>
      </c>
      <c r="AW259" s="62">
        <f t="shared" si="100"/>
        <v>1.0000000000000004</v>
      </c>
      <c r="AX259" s="65">
        <v>1</v>
      </c>
      <c r="AY259" s="62">
        <f t="shared" si="101"/>
        <v>1.0000000000000004</v>
      </c>
      <c r="AZ259" s="65">
        <v>1.0000000000000004</v>
      </c>
      <c r="BA259" s="62">
        <f t="shared" si="102"/>
        <v>1.0000000000000004</v>
      </c>
      <c r="BB259" s="65">
        <v>1</v>
      </c>
      <c r="BC259" s="62">
        <f t="shared" si="103"/>
        <v>1.0000000000000004</v>
      </c>
      <c r="BD259" s="65">
        <v>1</v>
      </c>
      <c r="BE259" s="74"/>
      <c r="BF259" s="7"/>
      <c r="BG259" s="74"/>
      <c r="BH259" s="7"/>
      <c r="BI259" s="7"/>
      <c r="BJ259" s="7"/>
      <c r="BK259" s="7"/>
      <c r="BL259" s="7"/>
      <c r="BM259" s="7"/>
      <c r="BN259" s="7"/>
      <c r="BO259" s="7"/>
      <c r="BP259" s="7"/>
      <c r="BQ259" s="7"/>
    </row>
    <row r="260" spans="1:69" ht="19.8" thickBot="1" x14ac:dyDescent="0.35">
      <c r="A260" s="16">
        <v>258</v>
      </c>
      <c r="B260" s="52">
        <v>45728</v>
      </c>
      <c r="C260" s="53" t="str">
        <f t="shared" ref="C260:C262" si="119">TEXT(B260,"[$-fa-IR,16]yyyy/mm/dd")</f>
        <v>1403/12/22</v>
      </c>
      <c r="D260" s="54">
        <v>1</v>
      </c>
      <c r="E260" s="54">
        <v>0.99430136900738764</v>
      </c>
      <c r="F260" s="11" t="e">
        <f t="shared" ref="F260:F262" si="120">IF($F$2=A260,E260,NA())</f>
        <v>#N/A</v>
      </c>
      <c r="G260" s="38" t="str">
        <f t="shared" ref="G260:G262" si="121">"تاریخ: "&amp;C260&amp;CHAR(10)&amp;"درصد پیشرفت برنامه ای: "&amp;ROUND(D260*100,2)&amp;"%"&amp;CHAR(10)&amp;"درصد پیشرفت واقعی: "&amp;ROUND(E260*100,2)&amp;"%"</f>
        <v>تاریخ: 1403/12/22
درصد پیشرفت برنامه ای: 100%
درصد پیشرفت واقعی: 99.43%</v>
      </c>
      <c r="H260" s="55">
        <v>1</v>
      </c>
      <c r="I260" s="56">
        <v>1</v>
      </c>
      <c r="J260" s="56">
        <v>1.0000000000000004</v>
      </c>
      <c r="K260" s="56">
        <f t="shared" si="114"/>
        <v>1.0000000000000004</v>
      </c>
      <c r="L260" s="56">
        <f t="shared" si="117"/>
        <v>1.0000000000000004</v>
      </c>
      <c r="M260" s="56">
        <f t="shared" si="117"/>
        <v>1.0000000000000004</v>
      </c>
      <c r="N260" s="57">
        <f t="shared" si="115"/>
        <v>1.0000000000000004</v>
      </c>
      <c r="O260" s="16">
        <f t="shared" si="112"/>
        <v>11</v>
      </c>
      <c r="P260" s="17">
        <v>12</v>
      </c>
      <c r="Q260" s="17">
        <v>11</v>
      </c>
      <c r="R260" s="17">
        <v>13</v>
      </c>
      <c r="S260" s="17">
        <v>11</v>
      </c>
      <c r="T260" s="17">
        <v>12</v>
      </c>
      <c r="U260" s="58">
        <v>13</v>
      </c>
      <c r="V260" s="16">
        <f t="shared" ref="V260:V262" si="122">O260+3</f>
        <v>14</v>
      </c>
      <c r="W260" s="17">
        <f t="shared" ref="W260:X262" si="123">P260+4</f>
        <v>16</v>
      </c>
      <c r="X260" s="17">
        <f t="shared" si="123"/>
        <v>15</v>
      </c>
      <c r="Y260" s="17">
        <f t="shared" ref="Y260:Y262" si="124">R260+1</f>
        <v>14</v>
      </c>
      <c r="Z260" s="17">
        <f t="shared" si="118"/>
        <v>14</v>
      </c>
      <c r="AA260" s="17">
        <f t="shared" ref="AA260:AA262" si="125">T260+1</f>
        <v>13</v>
      </c>
      <c r="AB260" s="58">
        <f t="shared" ref="AB260:AB262" si="126">U260+5</f>
        <v>18</v>
      </c>
      <c r="AC260" s="67"/>
      <c r="AD260" s="67"/>
      <c r="AE260" s="67"/>
      <c r="AF260" s="67"/>
      <c r="AG260" s="67"/>
      <c r="AH260" s="67"/>
      <c r="AI260" s="73"/>
      <c r="AJ260" s="74"/>
      <c r="AK260" s="74"/>
      <c r="AL260" s="62">
        <v>0.7</v>
      </c>
      <c r="AM260" s="63">
        <v>0.55000000000000004</v>
      </c>
      <c r="AN260" s="63">
        <v>0.1</v>
      </c>
      <c r="AO260" s="63">
        <v>0.4</v>
      </c>
      <c r="AP260" s="64">
        <v>0.9</v>
      </c>
      <c r="AQ260" s="62">
        <f t="shared" si="97"/>
        <v>1</v>
      </c>
      <c r="AR260" s="65">
        <v>1</v>
      </c>
      <c r="AS260" s="62">
        <f t="shared" si="98"/>
        <v>1</v>
      </c>
      <c r="AT260" s="65">
        <v>1</v>
      </c>
      <c r="AU260" s="62">
        <f t="shared" si="99"/>
        <v>1.0000000000000004</v>
      </c>
      <c r="AV260" s="65">
        <v>1.0000000000000004</v>
      </c>
      <c r="AW260" s="62">
        <f t="shared" si="100"/>
        <v>1.0000000000000004</v>
      </c>
      <c r="AX260" s="65">
        <v>1</v>
      </c>
      <c r="AY260" s="62">
        <f t="shared" si="101"/>
        <v>1.0000000000000004</v>
      </c>
      <c r="AZ260" s="65">
        <v>1.0000000000000004</v>
      </c>
      <c r="BA260" s="62">
        <f t="shared" si="102"/>
        <v>1.0000000000000004</v>
      </c>
      <c r="BB260" s="65">
        <v>1</v>
      </c>
      <c r="BC260" s="62">
        <f t="shared" si="103"/>
        <v>1.0000000000000004</v>
      </c>
      <c r="BD260" s="65">
        <v>1</v>
      </c>
      <c r="BE260" s="74"/>
      <c r="BF260" s="7"/>
      <c r="BG260" s="74"/>
      <c r="BH260" s="7"/>
      <c r="BI260" s="7"/>
      <c r="BJ260" s="7"/>
      <c r="BK260" s="7"/>
      <c r="BL260" s="7"/>
      <c r="BM260" s="7"/>
      <c r="BN260" s="7"/>
      <c r="BO260" s="7"/>
      <c r="BP260" s="7"/>
      <c r="BQ260" s="7"/>
    </row>
    <row r="261" spans="1:69" ht="19.8" thickBot="1" x14ac:dyDescent="0.35">
      <c r="A261" s="16">
        <v>259</v>
      </c>
      <c r="B261" s="52">
        <v>45735</v>
      </c>
      <c r="C261" s="53" t="str">
        <f t="shared" si="119"/>
        <v>1403/12/29</v>
      </c>
      <c r="D261" s="54">
        <v>1</v>
      </c>
      <c r="E261" s="54">
        <v>0.99758256352511199</v>
      </c>
      <c r="F261" s="11" t="e">
        <f t="shared" si="120"/>
        <v>#N/A</v>
      </c>
      <c r="G261" s="38" t="str">
        <f t="shared" si="121"/>
        <v>تاریخ: 1403/12/29
درصد پیشرفت برنامه ای: 100%
درصد پیشرفت واقعی: 99.76%</v>
      </c>
      <c r="H261" s="55">
        <v>1</v>
      </c>
      <c r="I261" s="56">
        <v>1</v>
      </c>
      <c r="J261" s="56">
        <v>1.0000000000000004</v>
      </c>
      <c r="K261" s="56">
        <f t="shared" si="114"/>
        <v>1.0000000000000004</v>
      </c>
      <c r="L261" s="56">
        <f t="shared" si="117"/>
        <v>1.0000000000000004</v>
      </c>
      <c r="M261" s="56">
        <f t="shared" si="117"/>
        <v>1.0000000000000004</v>
      </c>
      <c r="N261" s="57">
        <f t="shared" si="115"/>
        <v>1.0000000000000004</v>
      </c>
      <c r="O261" s="16">
        <f t="shared" ref="O261:O262" si="127">U260</f>
        <v>13</v>
      </c>
      <c r="P261" s="17">
        <v>10</v>
      </c>
      <c r="Q261" s="17">
        <v>9</v>
      </c>
      <c r="R261" s="17">
        <v>8</v>
      </c>
      <c r="S261" s="17">
        <v>7</v>
      </c>
      <c r="T261" s="17">
        <v>5</v>
      </c>
      <c r="U261" s="58">
        <v>4</v>
      </c>
      <c r="V261" s="16">
        <f t="shared" si="122"/>
        <v>16</v>
      </c>
      <c r="W261" s="17">
        <f t="shared" si="123"/>
        <v>14</v>
      </c>
      <c r="X261" s="17">
        <f t="shared" si="123"/>
        <v>13</v>
      </c>
      <c r="Y261" s="17">
        <f t="shared" si="124"/>
        <v>9</v>
      </c>
      <c r="Z261" s="17">
        <f t="shared" si="118"/>
        <v>10</v>
      </c>
      <c r="AA261" s="17">
        <f t="shared" si="125"/>
        <v>6</v>
      </c>
      <c r="AB261" s="58">
        <f t="shared" si="126"/>
        <v>9</v>
      </c>
      <c r="AC261" s="67"/>
      <c r="AD261" s="67"/>
      <c r="AE261" s="67"/>
      <c r="AF261" s="67"/>
      <c r="AG261" s="67"/>
      <c r="AH261" s="67"/>
      <c r="AI261" s="73"/>
      <c r="AJ261" s="74"/>
      <c r="AK261" s="74"/>
      <c r="AL261" s="62">
        <v>0.4</v>
      </c>
      <c r="AM261" s="63">
        <v>0.69</v>
      </c>
      <c r="AN261" s="63">
        <v>0.5</v>
      </c>
      <c r="AO261" s="63">
        <v>0.2</v>
      </c>
      <c r="AP261" s="64">
        <v>0.4</v>
      </c>
      <c r="AQ261" s="62">
        <f t="shared" si="97"/>
        <v>1</v>
      </c>
      <c r="AR261" s="65">
        <v>1</v>
      </c>
      <c r="AS261" s="62">
        <f t="shared" si="98"/>
        <v>1</v>
      </c>
      <c r="AT261" s="65">
        <v>1</v>
      </c>
      <c r="AU261" s="62">
        <f t="shared" si="99"/>
        <v>1.0000000000000004</v>
      </c>
      <c r="AV261" s="65">
        <v>1.0000000000000004</v>
      </c>
      <c r="AW261" s="62">
        <f t="shared" si="100"/>
        <v>1.0000000000000004</v>
      </c>
      <c r="AX261" s="65">
        <v>1</v>
      </c>
      <c r="AY261" s="62">
        <f t="shared" si="101"/>
        <v>1.0000000000000004</v>
      </c>
      <c r="AZ261" s="65">
        <v>1.0000000000000004</v>
      </c>
      <c r="BA261" s="62">
        <f t="shared" si="102"/>
        <v>1.0000000000000004</v>
      </c>
      <c r="BB261" s="65">
        <v>1</v>
      </c>
      <c r="BC261" s="62">
        <f t="shared" si="103"/>
        <v>1.0000000000000004</v>
      </c>
      <c r="BD261" s="65">
        <v>1</v>
      </c>
      <c r="BE261" s="74"/>
      <c r="BF261" s="7"/>
      <c r="BG261" s="74"/>
      <c r="BH261" s="7"/>
      <c r="BI261" s="7"/>
      <c r="BJ261" s="7"/>
      <c r="BK261" s="7"/>
      <c r="BL261" s="7"/>
      <c r="BM261" s="7"/>
      <c r="BN261" s="7"/>
      <c r="BO261" s="7"/>
      <c r="BP261" s="7"/>
      <c r="BQ261" s="7"/>
    </row>
    <row r="262" spans="1:69" ht="19.8" thickBot="1" x14ac:dyDescent="0.35">
      <c r="A262" s="8">
        <v>260</v>
      </c>
      <c r="B262" s="9">
        <v>45742</v>
      </c>
      <c r="C262" s="10" t="str">
        <f t="shared" si="119"/>
        <v>1404/01/06</v>
      </c>
      <c r="D262" s="11">
        <v>1</v>
      </c>
      <c r="E262" s="11">
        <v>1</v>
      </c>
      <c r="F262" s="11" t="e">
        <f t="shared" si="120"/>
        <v>#N/A</v>
      </c>
      <c r="G262" s="38" t="str">
        <f t="shared" si="121"/>
        <v>تاریخ: 1404/01/06
درصد پیشرفت برنامه ای: 100%
درصد پیشرفت واقعی: 100%</v>
      </c>
      <c r="H262" s="13">
        <v>1</v>
      </c>
      <c r="I262" s="14">
        <v>1</v>
      </c>
      <c r="J262" s="14">
        <v>1.0000000000000004</v>
      </c>
      <c r="K262" s="14">
        <f t="shared" si="114"/>
        <v>1.0000000000000004</v>
      </c>
      <c r="L262" s="14">
        <f t="shared" si="117"/>
        <v>1.0000000000000004</v>
      </c>
      <c r="M262" s="14">
        <f t="shared" si="117"/>
        <v>1.0000000000000004</v>
      </c>
      <c r="N262" s="93">
        <f t="shared" si="115"/>
        <v>1.0000000000000004</v>
      </c>
      <c r="O262" s="8">
        <f t="shared" si="127"/>
        <v>4</v>
      </c>
      <c r="P262" s="12">
        <v>10</v>
      </c>
      <c r="Q262" s="12">
        <v>9</v>
      </c>
      <c r="R262" s="12">
        <v>10</v>
      </c>
      <c r="S262" s="12">
        <v>11</v>
      </c>
      <c r="T262" s="12">
        <v>10</v>
      </c>
      <c r="U262" s="94">
        <v>11</v>
      </c>
      <c r="V262" s="8">
        <f t="shared" si="122"/>
        <v>7</v>
      </c>
      <c r="W262" s="12">
        <f t="shared" si="123"/>
        <v>14</v>
      </c>
      <c r="X262" s="12">
        <f t="shared" si="123"/>
        <v>13</v>
      </c>
      <c r="Y262" s="12">
        <f t="shared" si="124"/>
        <v>11</v>
      </c>
      <c r="Z262" s="12">
        <f t="shared" si="118"/>
        <v>14</v>
      </c>
      <c r="AA262" s="12">
        <f t="shared" si="125"/>
        <v>11</v>
      </c>
      <c r="AB262" s="94">
        <f t="shared" si="126"/>
        <v>16</v>
      </c>
      <c r="AC262" s="67"/>
      <c r="AD262" s="67"/>
      <c r="AE262" s="67"/>
      <c r="AF262" s="67"/>
      <c r="AG262" s="67"/>
      <c r="AH262" s="67"/>
      <c r="AI262" s="73"/>
      <c r="AJ262" s="74"/>
      <c r="AK262" s="74"/>
      <c r="AL262" s="95">
        <v>0.35</v>
      </c>
      <c r="AM262" s="71">
        <v>0.4</v>
      </c>
      <c r="AN262" s="71">
        <v>0.9</v>
      </c>
      <c r="AO262" s="71">
        <v>0.8</v>
      </c>
      <c r="AP262" s="96">
        <v>0.2</v>
      </c>
      <c r="AQ262" s="95">
        <f t="shared" si="97"/>
        <v>1</v>
      </c>
      <c r="AR262" s="72">
        <v>1</v>
      </c>
      <c r="AS262" s="95">
        <f t="shared" si="98"/>
        <v>1</v>
      </c>
      <c r="AT262" s="72">
        <v>1</v>
      </c>
      <c r="AU262" s="95">
        <f t="shared" si="99"/>
        <v>1.0000000000000004</v>
      </c>
      <c r="AV262" s="72">
        <v>1.0000000000000004</v>
      </c>
      <c r="AW262" s="95">
        <f t="shared" si="100"/>
        <v>1.0000000000000004</v>
      </c>
      <c r="AX262" s="72">
        <v>1</v>
      </c>
      <c r="AY262" s="95">
        <f t="shared" si="101"/>
        <v>1.0000000000000004</v>
      </c>
      <c r="AZ262" s="72">
        <v>1.0000000000000004</v>
      </c>
      <c r="BA262" s="95">
        <f t="shared" si="102"/>
        <v>1.0000000000000004</v>
      </c>
      <c r="BB262" s="72">
        <v>1</v>
      </c>
      <c r="BC262" s="95">
        <f t="shared" si="103"/>
        <v>1.0000000000000004</v>
      </c>
      <c r="BD262" s="72">
        <v>1</v>
      </c>
      <c r="BE262" s="74"/>
      <c r="BF262" s="7"/>
      <c r="BG262" s="74"/>
      <c r="BH262" s="7"/>
      <c r="BI262" s="7"/>
      <c r="BJ262" s="7"/>
      <c r="BK262" s="7"/>
      <c r="BL262" s="7"/>
      <c r="BM262" s="7"/>
      <c r="BN262" s="7"/>
      <c r="BO262" s="7"/>
      <c r="BP262" s="7"/>
      <c r="BQ262" s="7"/>
    </row>
  </sheetData>
  <mergeCells count="22">
    <mergeCell ref="A1:G1"/>
    <mergeCell ref="M1:M2"/>
    <mergeCell ref="N1:N2"/>
    <mergeCell ref="O1:AB1"/>
    <mergeCell ref="AC1:AE1"/>
    <mergeCell ref="L1:L2"/>
    <mergeCell ref="K1:K2"/>
    <mergeCell ref="J1:J2"/>
    <mergeCell ref="I1:I2"/>
    <mergeCell ref="H1:H2"/>
    <mergeCell ref="AF1:AK1"/>
    <mergeCell ref="BC1:BD1"/>
    <mergeCell ref="BE1:BK1"/>
    <mergeCell ref="O2:U2"/>
    <mergeCell ref="V2:AB2"/>
    <mergeCell ref="AQ1:AR1"/>
    <mergeCell ref="AS1:AT1"/>
    <mergeCell ref="AU1:AV1"/>
    <mergeCell ref="AW1:AX1"/>
    <mergeCell ref="AY1:AZ1"/>
    <mergeCell ref="BA1:BB1"/>
    <mergeCell ref="AL1:AP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49"/>
  <sheetViews>
    <sheetView rightToLeft="1" tabSelected="1" zoomScale="70" zoomScaleNormal="70" workbookViewId="0">
      <selection activeCell="N5" sqref="N5"/>
    </sheetView>
  </sheetViews>
  <sheetFormatPr defaultColWidth="0" defaultRowHeight="14.4" zeroHeight="1" x14ac:dyDescent="0.3"/>
  <cols>
    <col min="1" max="1" width="7.77734375" style="100" customWidth="1"/>
    <col min="2" max="17" width="8.88671875" style="100" customWidth="1"/>
    <col min="18" max="18" width="20" style="100" customWidth="1"/>
    <col min="19" max="24" width="8.88671875" style="100" customWidth="1"/>
    <col min="25" max="28" width="11.21875" style="100" bestFit="1" customWidth="1"/>
    <col min="29" max="29" width="8.88671875" style="100" customWidth="1"/>
    <col min="30" max="16384" width="8.88671875" style="100" hidden="1"/>
  </cols>
  <sheetData>
    <row r="1" spans="1:26" x14ac:dyDescent="0.3">
      <c r="A1" s="100">
        <v>131</v>
      </c>
      <c r="B1" s="100" t="str">
        <f>INDEX(Data!A3:G262,MATCH(Dashboard!A1,Data!A3:A262,0),3)</f>
        <v>1401/07/13</v>
      </c>
    </row>
    <row r="2" spans="1:26" x14ac:dyDescent="0.3"/>
    <row r="3" spans="1:26" x14ac:dyDescent="0.3"/>
    <row r="4" spans="1:26" x14ac:dyDescent="0.3">
      <c r="Q4" s="100" t="s">
        <v>20</v>
      </c>
      <c r="R4" s="100">
        <f>IFERROR(INDEX(Data!AH:AH,MATCH(Data!F2,Data!AF:AF,1),1),"----")</f>
        <v>32</v>
      </c>
      <c r="S4" s="100" t="str">
        <f>"شماره: "&amp;R4</f>
        <v>شماره: 32</v>
      </c>
    </row>
    <row r="5" spans="1:26" x14ac:dyDescent="0.3">
      <c r="Q5" s="100" t="s">
        <v>22</v>
      </c>
      <c r="R5" s="131">
        <f>IFERROR(INDEX(Data!AI:AI,MATCH(Dashboard!$R$4,Data!$AH:$AH,0),1),"----")</f>
        <v>1003991000000</v>
      </c>
    </row>
    <row r="6" spans="1:26" x14ac:dyDescent="0.3">
      <c r="Q6" s="100" t="s">
        <v>23</v>
      </c>
      <c r="R6" s="131">
        <f>IFERROR(INDEX(Data!AJ:AJ,MATCH(Dashboard!$R$4,Data!$AH:$AH,0),1),"----")</f>
        <v>1000477000000</v>
      </c>
    </row>
    <row r="7" spans="1:26" x14ac:dyDescent="0.3">
      <c r="Q7" s="100" t="s">
        <v>24</v>
      </c>
      <c r="R7" s="131">
        <f>IFERROR(R5-R6,"----")</f>
        <v>3514000000</v>
      </c>
    </row>
    <row r="8" spans="1:26" x14ac:dyDescent="0.3"/>
    <row r="9" spans="1:26" x14ac:dyDescent="0.3"/>
    <row r="10" spans="1:26" x14ac:dyDescent="0.3"/>
    <row r="11" spans="1:26" x14ac:dyDescent="0.3"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</row>
    <row r="12" spans="1:26" x14ac:dyDescent="0.3"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</row>
    <row r="13" spans="1:26" x14ac:dyDescent="0.3"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</row>
    <row r="14" spans="1:26" x14ac:dyDescent="0.3"/>
    <row r="15" spans="1:26" x14ac:dyDescent="0.3"/>
    <row r="16" spans="1:26" x14ac:dyDescent="0.3"/>
    <row r="17" spans="1:28" x14ac:dyDescent="0.3"/>
    <row r="18" spans="1:28" x14ac:dyDescent="0.3"/>
    <row r="19" spans="1:28" x14ac:dyDescent="0.3"/>
    <row r="20" spans="1:28" x14ac:dyDescent="0.3"/>
    <row r="21" spans="1:28" x14ac:dyDescent="0.3">
      <c r="Q21" s="100">
        <v>180</v>
      </c>
      <c r="R21" s="102" cm="1">
        <f t="array" ref="R21:V21">INDEX(Data!AL:AP,MATCH(Data!F2,Data!A:A,0),)</f>
        <v>0.7</v>
      </c>
      <c r="S21" s="102">
        <v>0.68</v>
      </c>
      <c r="T21" s="102">
        <v>0.5</v>
      </c>
      <c r="U21" s="102">
        <v>0.9</v>
      </c>
      <c r="V21" s="102">
        <v>0.55000000000000004</v>
      </c>
    </row>
    <row r="22" spans="1:28" x14ac:dyDescent="0.3">
      <c r="Q22" s="100">
        <v>180</v>
      </c>
    </row>
    <row r="23" spans="1:28" x14ac:dyDescent="0.3"/>
    <row r="24" spans="1:28" x14ac:dyDescent="0.3">
      <c r="R24" s="100">
        <f>R21*1.8*100</f>
        <v>126</v>
      </c>
      <c r="S24" s="100">
        <f t="shared" ref="S24:V24" si="0">S21*1.8*100</f>
        <v>122.40000000000002</v>
      </c>
      <c r="T24" s="100">
        <f t="shared" si="0"/>
        <v>90</v>
      </c>
      <c r="U24" s="100">
        <f t="shared" si="0"/>
        <v>162</v>
      </c>
      <c r="V24" s="100">
        <f t="shared" si="0"/>
        <v>99.000000000000014</v>
      </c>
    </row>
    <row r="25" spans="1:28" x14ac:dyDescent="0.3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R25" s="100">
        <v>5</v>
      </c>
      <c r="S25" s="100">
        <v>5</v>
      </c>
      <c r="T25" s="100">
        <v>5</v>
      </c>
      <c r="U25" s="100">
        <v>5</v>
      </c>
      <c r="V25" s="100">
        <v>5</v>
      </c>
    </row>
    <row r="26" spans="1:28" x14ac:dyDescent="0.3">
      <c r="A26" s="102">
        <f>INDEX(Data!$H:$M,MATCH($A$1,Data!$A:$A,0),1)</f>
        <v>1</v>
      </c>
      <c r="B26" s="100">
        <f>A26*2.7*100</f>
        <v>270</v>
      </c>
      <c r="C26" s="102">
        <f>INDEX(Data!$H:$M,MATCH($A$1,Data!$A:$A,0),2)</f>
        <v>0.72000000000000042</v>
      </c>
      <c r="D26" s="100">
        <f>C26*2.7*100</f>
        <v>194.40000000000012</v>
      </c>
      <c r="E26" s="102">
        <f>INDEX(Data!$H:$M,MATCH($A$1,Data!$A:$A,0),3)</f>
        <v>1.0000000000000004</v>
      </c>
      <c r="F26" s="100">
        <f>E26*2.7*100</f>
        <v>270.00000000000017</v>
      </c>
      <c r="G26" s="102">
        <f>INDEX(Data!$H:$M,MATCH($A$1,Data!$A:$A,0),4)</f>
        <v>1.0000000000000004</v>
      </c>
      <c r="H26" s="100">
        <f>G26*2.7*100</f>
        <v>270.00000000000017</v>
      </c>
      <c r="I26" s="102">
        <f>INDEX(Data!$H:$M,MATCH($A$1,Data!$A:$A,0),5)</f>
        <v>1.0000000000000004</v>
      </c>
      <c r="J26" s="100">
        <f>I26*2.7*100</f>
        <v>270.00000000000017</v>
      </c>
      <c r="K26" s="102">
        <f>INDEX(Data!$H:$M,MATCH($A$1,Data!$A:$A,0),6)</f>
        <v>1.0000000000000004</v>
      </c>
      <c r="L26" s="100">
        <f>K26*2.7*100</f>
        <v>270.00000000000017</v>
      </c>
      <c r="M26" s="102">
        <f>INDEX(Data!$H:$N,MATCH($A$1,Data!$A:$A,0),7)</f>
        <v>1.0000000000000004</v>
      </c>
      <c r="N26" s="129">
        <f>M26*2.7*100</f>
        <v>270.00000000000017</v>
      </c>
      <c r="O26" s="102"/>
      <c r="R26" s="100">
        <f>360-R24-R25</f>
        <v>229</v>
      </c>
      <c r="S26" s="100">
        <f t="shared" ref="S26:V26" si="1">360-S24-S25</f>
        <v>232.59999999999997</v>
      </c>
      <c r="T26" s="100">
        <f t="shared" si="1"/>
        <v>265</v>
      </c>
      <c r="U26" s="100">
        <f t="shared" si="1"/>
        <v>193</v>
      </c>
      <c r="V26" s="100">
        <f t="shared" si="1"/>
        <v>256</v>
      </c>
    </row>
    <row r="27" spans="1:28" ht="14.4" customHeight="1" x14ac:dyDescent="0.3">
      <c r="B27" s="100">
        <v>5</v>
      </c>
      <c r="D27" s="100">
        <v>5</v>
      </c>
      <c r="F27" s="100">
        <v>5</v>
      </c>
      <c r="H27" s="100">
        <v>5</v>
      </c>
      <c r="J27" s="100">
        <v>5</v>
      </c>
      <c r="L27" s="100">
        <v>5</v>
      </c>
      <c r="N27" s="129">
        <v>5</v>
      </c>
    </row>
    <row r="28" spans="1:28" ht="15" customHeight="1" x14ac:dyDescent="0.3">
      <c r="B28" s="100">
        <f t="shared" ref="B28:F28" si="2">270-(B26+B27)</f>
        <v>-5</v>
      </c>
      <c r="D28" s="100">
        <f t="shared" si="2"/>
        <v>70.599999999999881</v>
      </c>
      <c r="F28" s="100">
        <f t="shared" si="2"/>
        <v>-5.0000000000001705</v>
      </c>
      <c r="H28" s="100">
        <f>270-(H26+H27)</f>
        <v>-5.0000000000001705</v>
      </c>
      <c r="J28" s="100">
        <f t="shared" ref="J28:L28" si="3">270-(J26+J27)</f>
        <v>-5.0000000000001705</v>
      </c>
      <c r="L28" s="100">
        <f t="shared" si="3"/>
        <v>-5.0000000000001705</v>
      </c>
      <c r="N28" s="129">
        <f t="shared" ref="N28" si="4">270-(N26+N27)</f>
        <v>-5.0000000000001705</v>
      </c>
      <c r="O28" s="101"/>
    </row>
    <row r="29" spans="1:28" x14ac:dyDescent="0.3">
      <c r="B29" s="100">
        <v>90</v>
      </c>
      <c r="D29" s="100">
        <v>90</v>
      </c>
      <c r="F29" s="100">
        <v>90</v>
      </c>
      <c r="H29" s="100">
        <v>90</v>
      </c>
      <c r="J29" s="100">
        <v>90</v>
      </c>
      <c r="L29" s="100">
        <v>90</v>
      </c>
      <c r="N29" s="129">
        <v>90</v>
      </c>
    </row>
    <row r="30" spans="1:28" x14ac:dyDescent="0.3">
      <c r="N30" s="102"/>
    </row>
    <row r="31" spans="1:28" x14ac:dyDescent="0.3">
      <c r="N31" s="102"/>
      <c r="R31" s="100" t="s">
        <v>16</v>
      </c>
      <c r="T31" s="100" t="s">
        <v>15</v>
      </c>
    </row>
    <row r="32" spans="1:28" ht="15" customHeight="1" thickBot="1" x14ac:dyDescent="0.35">
      <c r="N32" s="102"/>
      <c r="Q32" s="133" t="s">
        <v>1</v>
      </c>
      <c r="R32" s="132">
        <f>INDEX(Data!$AQ:$BD,MATCH(Data!$F$2,Data!$A:$A,0),2)*100</f>
        <v>100</v>
      </c>
      <c r="S32" s="132"/>
      <c r="T32" s="132">
        <f>INDEX(Data!$AQ:$BD,MATCH(Data!$F$2,Data!$A:$A,0),1)*100</f>
        <v>100</v>
      </c>
      <c r="Y32" s="20" t="s">
        <v>30</v>
      </c>
      <c r="Z32" s="20" t="s">
        <v>31</v>
      </c>
      <c r="AA32" s="20" t="s">
        <v>32</v>
      </c>
      <c r="AB32" s="32" t="s">
        <v>33</v>
      </c>
    </row>
    <row r="33" spans="14:29" ht="15" customHeight="1" x14ac:dyDescent="0.3">
      <c r="N33" s="102"/>
      <c r="Q33" s="133"/>
      <c r="R33" s="132"/>
      <c r="S33" s="132"/>
      <c r="T33" s="132"/>
      <c r="V33" s="132"/>
      <c r="X33" s="101" t="s">
        <v>100</v>
      </c>
      <c r="Y33" s="101" t="e">
        <f>IF(Y36&lt;=Y35,NA(),Y36)</f>
        <v>#N/A</v>
      </c>
      <c r="Z33" s="101">
        <f t="shared" ref="Z33:AB33" si="5">IF(Z36&lt;=Z35,NA(),Z36)</f>
        <v>0.77</v>
      </c>
      <c r="AA33" s="101" t="e">
        <f t="shared" si="5"/>
        <v>#N/A</v>
      </c>
      <c r="AB33" s="101" t="e">
        <f t="shared" si="5"/>
        <v>#N/A</v>
      </c>
    </row>
    <row r="34" spans="14:29" ht="14.4" customHeight="1" x14ac:dyDescent="0.3">
      <c r="Q34" s="133" t="s">
        <v>2</v>
      </c>
      <c r="R34" s="132">
        <f>INDEX(Data!$AQ:$BD,MATCH(Data!$F$2,Data!$A:$A,0),4)*100</f>
        <v>82.200000000000045</v>
      </c>
      <c r="S34" s="132"/>
      <c r="T34" s="132">
        <f>INDEX(Data!$AQ:$BD,MATCH(Data!$F$2,Data!$A:$A,0),3)*100</f>
        <v>72.000000000000043</v>
      </c>
      <c r="V34" s="132"/>
      <c r="X34" s="101" t="s">
        <v>101</v>
      </c>
      <c r="Y34" s="101">
        <f>IF(Y36&lt;=Y35,Y36,NA())</f>
        <v>0.2</v>
      </c>
      <c r="Z34" s="101" t="e">
        <f t="shared" ref="Z34:AB34" si="6">IF(Z36&lt;=Z35,Z36,NA())</f>
        <v>#N/A</v>
      </c>
      <c r="AA34" s="101">
        <f t="shared" si="6"/>
        <v>0.4</v>
      </c>
      <c r="AB34" s="101">
        <f t="shared" si="6"/>
        <v>0.45</v>
      </c>
      <c r="AC34" s="102"/>
    </row>
    <row r="35" spans="14:29" ht="14.4" customHeight="1" x14ac:dyDescent="0.3">
      <c r="Q35" s="133"/>
      <c r="R35" s="132"/>
      <c r="S35" s="132"/>
      <c r="T35" s="132"/>
      <c r="V35" s="132"/>
      <c r="X35" s="101" t="s">
        <v>102</v>
      </c>
      <c r="Y35" s="101">
        <v>0.5</v>
      </c>
      <c r="Z35" s="101">
        <v>0.5</v>
      </c>
      <c r="AA35" s="101">
        <v>0.5</v>
      </c>
      <c r="AB35" s="101">
        <v>0.5</v>
      </c>
    </row>
    <row r="36" spans="14:29" ht="14.4" customHeight="1" x14ac:dyDescent="0.3">
      <c r="Q36" s="133" t="s">
        <v>3</v>
      </c>
      <c r="R36" s="132">
        <f>INDEX(Data!$AQ:$BD,MATCH(Data!$F$2,Data!$A:$A,0),6)*100</f>
        <v>100.00000000000004</v>
      </c>
      <c r="S36" s="132"/>
      <c r="T36" s="132">
        <f>INDEX(Data!$AQ:$BD,MATCH(Data!$F$2,Data!$A:$A,0),5)*100</f>
        <v>100.00000000000004</v>
      </c>
      <c r="V36" s="132"/>
      <c r="Y36" s="101">
        <f>INDEX(Data!$BE:$BK,MATCH(Data!$F$2,Data!$BG:$BG,11),4)</f>
        <v>0.2</v>
      </c>
      <c r="Z36" s="101">
        <f>INDEX(Data!$BE:$BK,MATCH(Data!$F$2,Data!$BG:$BG,11),5)</f>
        <v>0.77</v>
      </c>
      <c r="AA36" s="101">
        <f>INDEX(Data!$BE:$BK,MATCH(Data!$F$2,Data!$BG:$BG,11),6)</f>
        <v>0.4</v>
      </c>
      <c r="AB36" s="101">
        <f>INDEX(Data!$BE:$BK,MATCH(Data!$F$2,Data!$BG:$BG,11),7)</f>
        <v>0.45</v>
      </c>
    </row>
    <row r="37" spans="14:29" ht="14.4" customHeight="1" x14ac:dyDescent="0.3">
      <c r="Q37" s="133"/>
      <c r="R37" s="132"/>
      <c r="S37" s="132"/>
      <c r="T37" s="132"/>
      <c r="V37" s="132"/>
    </row>
    <row r="38" spans="14:29" ht="14.4" customHeight="1" x14ac:dyDescent="0.3">
      <c r="Q38" s="133" t="s">
        <v>4</v>
      </c>
      <c r="R38" s="132">
        <f>INDEX(Data!$AQ:$BD,MATCH(Data!$F$2,Data!$A:$A,0),8)*100</f>
        <v>100</v>
      </c>
      <c r="S38" s="132"/>
      <c r="T38" s="132">
        <f>INDEX(Data!$AQ:$BD,MATCH(Data!$F$2,Data!$A:$A,0),7)*100</f>
        <v>100.00000000000004</v>
      </c>
      <c r="V38" s="132"/>
    </row>
    <row r="39" spans="14:29" ht="14.4" customHeight="1" x14ac:dyDescent="0.3">
      <c r="Q39" s="133"/>
      <c r="R39" s="132"/>
      <c r="S39" s="132"/>
      <c r="T39" s="132"/>
      <c r="V39" s="132"/>
    </row>
    <row r="40" spans="14:29" ht="14.4" customHeight="1" x14ac:dyDescent="0.3">
      <c r="Q40" s="133" t="s">
        <v>5</v>
      </c>
      <c r="R40" s="132">
        <f>INDEX(Data!$AQ:$BD,MATCH(Data!$F$2,Data!$A:$A,0),10)*100</f>
        <v>100.00000000000004</v>
      </c>
      <c r="S40" s="132"/>
      <c r="T40" s="132">
        <f>INDEX(Data!$AQ:$BD,MATCH(Data!$F$2,Data!$A:$A,0),9)*100</f>
        <v>100.00000000000004</v>
      </c>
      <c r="V40" s="132"/>
    </row>
    <row r="41" spans="14:29" ht="14.4" customHeight="1" x14ac:dyDescent="0.3">
      <c r="Q41" s="133"/>
      <c r="R41" s="132"/>
      <c r="S41" s="132"/>
      <c r="T41" s="132"/>
      <c r="V41" s="132"/>
    </row>
    <row r="42" spans="14:29" ht="14.4" customHeight="1" x14ac:dyDescent="0.3">
      <c r="Q42" s="133" t="s">
        <v>6</v>
      </c>
      <c r="R42" s="132">
        <f>INDEX(Data!$AQ:$BD,MATCH(Data!$F$2,Data!$A:$A,0),12)*100</f>
        <v>100</v>
      </c>
      <c r="S42" s="132"/>
      <c r="T42" s="132">
        <f>INDEX(Data!$AQ:$BD,MATCH(Data!$F$2,Data!$A:$A,0),11)*100</f>
        <v>100.00000000000004</v>
      </c>
      <c r="V42" s="132"/>
    </row>
    <row r="43" spans="14:29" ht="14.4" customHeight="1" x14ac:dyDescent="0.3">
      <c r="Q43" s="133"/>
      <c r="R43" s="132"/>
      <c r="S43" s="132"/>
      <c r="T43" s="132"/>
      <c r="V43" s="132"/>
    </row>
    <row r="44" spans="14:29" ht="14.4" customHeight="1" x14ac:dyDescent="0.3">
      <c r="Q44" s="133" t="s">
        <v>7</v>
      </c>
      <c r="R44" s="132">
        <f>INDEX(Data!$AQ:$BD,MATCH(Data!$F$2,Data!$A:$A,0),14)*100</f>
        <v>100</v>
      </c>
      <c r="S44" s="132"/>
      <c r="T44" s="132">
        <f>INDEX(Data!$AQ:$BD,MATCH(Data!$F$2,Data!$A:$A,0),13)*100</f>
        <v>100.00000000000004</v>
      </c>
      <c r="V44" s="132"/>
    </row>
    <row r="45" spans="14:29" ht="14.4" customHeight="1" x14ac:dyDescent="0.3">
      <c r="V45" s="132"/>
    </row>
    <row r="46" spans="14:29" ht="14.4" customHeight="1" x14ac:dyDescent="0.3">
      <c r="R46" s="133"/>
      <c r="S46" s="132"/>
      <c r="T46" s="132"/>
      <c r="U46" s="132"/>
      <c r="V46" s="132"/>
    </row>
    <row r="47" spans="14:29" x14ac:dyDescent="0.3"/>
    <row r="48" spans="14:29" x14ac:dyDescent="0.3"/>
    <row r="49" s="100" customFormat="1" x14ac:dyDescent="0.3"/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33" r:id="rId3" name="ScrollBar1">
          <controlPr defaultSize="0" autoLine="0" autoPict="0" linkedCell="A1" r:id="rId4">
            <anchor moveWithCells="1">
              <from>
                <xdr:col>0</xdr:col>
                <xdr:colOff>7620</xdr:colOff>
                <xdr:row>0</xdr:row>
                <xdr:rowOff>7620</xdr:rowOff>
              </from>
              <to>
                <xdr:col>15</xdr:col>
                <xdr:colOff>266700</xdr:colOff>
                <xdr:row>1</xdr:row>
                <xdr:rowOff>76200</xdr:rowOff>
              </to>
            </anchor>
          </controlPr>
        </control>
      </mc:Choice>
      <mc:Fallback>
        <control shapeId="1033" r:id="rId3" name="ScrollBar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Armin Kaviani</dc:creator>
  <cp:lastModifiedBy>Armin Kaviani</cp:lastModifiedBy>
  <dcterms:created xsi:type="dcterms:W3CDTF">2015-06-05T18:17:20Z</dcterms:created>
  <dcterms:modified xsi:type="dcterms:W3CDTF">2026-05-22T13:19:19Z</dcterms:modified>
</cp:coreProperties>
</file>