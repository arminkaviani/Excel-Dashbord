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Armin\OneDrive\Desktop\PROJECTS\"/>
    </mc:Choice>
  </mc:AlternateContent>
  <xr:revisionPtr revIDLastSave="0" documentId="13_ncr:1_{95277F63-8604-4ABB-822D-C6B646E5CB12}" xr6:coauthVersionLast="47" xr6:coauthVersionMax="47" xr10:uidLastSave="{00000000-0000-0000-0000-000000000000}"/>
  <bookViews>
    <workbookView xWindow="-108" yWindow="-108" windowWidth="23256" windowHeight="12456" activeTab="1" xr2:uid="{00000000-000D-0000-FFFF-FFFF00000000}"/>
  </bookViews>
  <sheets>
    <sheet name="Sheet1" sheetId="6" r:id="rId1"/>
    <sheet name="target" sheetId="1" r:id="rId2"/>
    <sheet name="data" sheetId="4" r:id="rId3"/>
    <sheet name="pivot" sheetId="5" r:id="rId4"/>
  </sheets>
  <externalReferences>
    <externalReference r:id="rId5"/>
    <externalReference r:id="rId6"/>
  </externalReferences>
  <definedNames>
    <definedName name="_xlcn.WorksheetConnection_داشبوردحرفهایبااکسلمدیریتفروش.xlsxTable1" hidden="1">Table1[]</definedName>
    <definedName name="Slicer_سال">#N/A</definedName>
    <definedName name="Slicer_فصل">#N/A</definedName>
  </definedNames>
  <calcPr calcId="191029"/>
  <pivotCaches>
    <pivotCache cacheId="0" r:id="rId7"/>
    <pivotCache cacheId="1"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داشبورد حرفه ای با اکسل-مدیریت فروش.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3" i="5" l="1"/>
  <c r="B4" i="4" l="1"/>
  <c r="J4" i="4"/>
  <c r="B5" i="4"/>
  <c r="B6" i="4"/>
  <c r="B7" i="4"/>
  <c r="B8" i="4"/>
  <c r="B9" i="4"/>
  <c r="B10" i="4"/>
  <c r="B11" i="4"/>
  <c r="B12" i="4"/>
  <c r="B13" i="4"/>
  <c r="B14" i="4"/>
  <c r="B15" i="4"/>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60" i="4"/>
  <c r="B61" i="4"/>
  <c r="B62" i="4"/>
  <c r="B63" i="4"/>
  <c r="B64" i="4"/>
  <c r="B65" i="4"/>
  <c r="B66" i="4"/>
  <c r="B67" i="4"/>
  <c r="B68" i="4"/>
  <c r="B69" i="4"/>
  <c r="B70" i="4"/>
  <c r="B71" i="4"/>
  <c r="B72" i="4"/>
  <c r="B73" i="4"/>
  <c r="B74" i="4"/>
  <c r="B75" i="4"/>
  <c r="B76" i="4"/>
  <c r="B77" i="4"/>
  <c r="B78" i="4"/>
  <c r="B79" i="4"/>
  <c r="B80" i="4"/>
  <c r="B81" i="4"/>
  <c r="B82" i="4"/>
  <c r="B83" i="4"/>
  <c r="B84" i="4"/>
  <c r="B85" i="4"/>
  <c r="B86" i="4"/>
  <c r="B87" i="4"/>
  <c r="B88" i="4"/>
  <c r="B89" i="4"/>
  <c r="B90" i="4"/>
  <c r="B91" i="4"/>
  <c r="B92" i="4"/>
  <c r="B93" i="4"/>
  <c r="B94" i="4"/>
  <c r="B95" i="4"/>
  <c r="B96" i="4"/>
  <c r="B97" i="4"/>
  <c r="B98" i="4"/>
  <c r="B99" i="4"/>
  <c r="B100" i="4"/>
  <c r="B101" i="4"/>
  <c r="B102" i="4"/>
  <c r="B103" i="4"/>
  <c r="B104" i="4"/>
  <c r="B105" i="4"/>
  <c r="B106" i="4"/>
  <c r="B107" i="4"/>
  <c r="B108" i="4"/>
  <c r="B109" i="4"/>
  <c r="B110" i="4"/>
  <c r="B111" i="4"/>
  <c r="B112" i="4"/>
  <c r="B113" i="4"/>
  <c r="B114" i="4"/>
  <c r="B115" i="4"/>
  <c r="B116" i="4"/>
  <c r="B117" i="4"/>
  <c r="B118" i="4"/>
  <c r="B119" i="4"/>
  <c r="B120" i="4"/>
  <c r="B121" i="4"/>
  <c r="B122" i="4"/>
  <c r="B123" i="4"/>
  <c r="B124" i="4"/>
  <c r="B125" i="4"/>
  <c r="B126" i="4"/>
  <c r="B127" i="4"/>
  <c r="B128" i="4"/>
  <c r="B129" i="4"/>
  <c r="B130" i="4"/>
  <c r="B131" i="4"/>
  <c r="B132" i="4"/>
  <c r="B133" i="4"/>
  <c r="B134" i="4"/>
  <c r="B135" i="4"/>
  <c r="B136" i="4"/>
  <c r="B137" i="4"/>
  <c r="B138" i="4"/>
  <c r="B139" i="4"/>
  <c r="B140" i="4"/>
  <c r="B141" i="4"/>
  <c r="B142" i="4"/>
  <c r="B143" i="4"/>
  <c r="B144" i="4"/>
  <c r="B145" i="4"/>
  <c r="B146" i="4"/>
  <c r="B147" i="4"/>
  <c r="B148" i="4"/>
  <c r="B149" i="4"/>
  <c r="B150" i="4"/>
  <c r="B151" i="4"/>
  <c r="B152" i="4"/>
  <c r="B153" i="4"/>
  <c r="B154" i="4"/>
  <c r="B155" i="4"/>
  <c r="B156" i="4"/>
  <c r="B157" i="4"/>
  <c r="B158" i="4"/>
  <c r="B159" i="4"/>
  <c r="B160" i="4"/>
  <c r="B161" i="4"/>
  <c r="B162" i="4"/>
  <c r="B163" i="4"/>
  <c r="B164" i="4"/>
  <c r="B165" i="4"/>
  <c r="B166" i="4"/>
  <c r="B167" i="4"/>
  <c r="B168" i="4"/>
  <c r="B169" i="4"/>
  <c r="B170" i="4"/>
  <c r="B171" i="4"/>
  <c r="B172" i="4"/>
  <c r="B173" i="4"/>
  <c r="B174" i="4"/>
  <c r="B175" i="4"/>
  <c r="B176" i="4"/>
  <c r="B177" i="4"/>
  <c r="B178" i="4"/>
  <c r="B179" i="4"/>
  <c r="B180" i="4"/>
  <c r="B181" i="4"/>
  <c r="B182" i="4"/>
  <c r="B183" i="4"/>
  <c r="B184" i="4"/>
  <c r="B185" i="4"/>
  <c r="B186" i="4"/>
  <c r="B187" i="4"/>
  <c r="B188" i="4"/>
  <c r="B189" i="4"/>
  <c r="B190" i="4"/>
  <c r="B191" i="4"/>
  <c r="B192" i="4"/>
  <c r="B193" i="4"/>
  <c r="B194" i="4"/>
  <c r="B195" i="4"/>
  <c r="B196" i="4"/>
  <c r="B197" i="4"/>
  <c r="B198" i="4"/>
  <c r="B199" i="4"/>
  <c r="B200" i="4"/>
  <c r="B201" i="4"/>
  <c r="B202" i="4"/>
  <c r="B203" i="4"/>
  <c r="B204" i="4"/>
  <c r="B205" i="4"/>
  <c r="B206" i="4"/>
  <c r="B207" i="4"/>
  <c r="B208" i="4"/>
  <c r="B209" i="4"/>
  <c r="B210" i="4"/>
  <c r="B211" i="4"/>
  <c r="B212" i="4"/>
  <c r="B213" i="4"/>
  <c r="B214" i="4"/>
  <c r="B215" i="4"/>
  <c r="B216" i="4"/>
  <c r="B217" i="4"/>
  <c r="B218" i="4"/>
  <c r="B219" i="4"/>
  <c r="B220" i="4"/>
  <c r="B221" i="4"/>
  <c r="B222" i="4"/>
  <c r="B223" i="4"/>
  <c r="B224" i="4"/>
  <c r="B225" i="4"/>
  <c r="B226" i="4"/>
  <c r="B227" i="4"/>
  <c r="B228" i="4"/>
  <c r="B229" i="4"/>
  <c r="B230" i="4"/>
  <c r="B231" i="4"/>
  <c r="B232" i="4"/>
  <c r="B233" i="4"/>
  <c r="B234" i="4"/>
  <c r="B235" i="4"/>
  <c r="B236" i="4"/>
  <c r="B237" i="4"/>
  <c r="B238" i="4"/>
  <c r="B239" i="4"/>
  <c r="B240" i="4"/>
  <c r="B241" i="4"/>
  <c r="B242" i="4"/>
  <c r="B243" i="4"/>
  <c r="B244" i="4"/>
  <c r="B245" i="4"/>
  <c r="B246" i="4"/>
  <c r="B247" i="4"/>
  <c r="B248" i="4"/>
  <c r="B249" i="4"/>
  <c r="B250" i="4"/>
  <c r="B251" i="4"/>
  <c r="B252" i="4"/>
  <c r="B253" i="4"/>
  <c r="B254" i="4"/>
  <c r="B255" i="4"/>
  <c r="B256" i="4"/>
  <c r="B257" i="4"/>
  <c r="B258" i="4"/>
  <c r="B259" i="4"/>
  <c r="B260" i="4"/>
  <c r="B261" i="4"/>
  <c r="B262" i="4"/>
  <c r="B263" i="4"/>
  <c r="B264" i="4"/>
  <c r="B265" i="4"/>
  <c r="B266" i="4"/>
  <c r="B267" i="4"/>
  <c r="B268" i="4"/>
  <c r="B269" i="4"/>
  <c r="B270" i="4"/>
  <c r="B271" i="4"/>
  <c r="B272" i="4"/>
  <c r="B273" i="4"/>
  <c r="B274" i="4"/>
  <c r="B275" i="4"/>
  <c r="B276" i="4"/>
  <c r="B277" i="4"/>
  <c r="B278" i="4"/>
  <c r="B279" i="4"/>
  <c r="B280" i="4"/>
  <c r="B281" i="4"/>
  <c r="B282" i="4"/>
  <c r="B283" i="4"/>
  <c r="B284" i="4"/>
  <c r="B285" i="4"/>
  <c r="B286" i="4"/>
  <c r="B287" i="4"/>
  <c r="B288" i="4"/>
  <c r="B289" i="4"/>
  <c r="B290" i="4"/>
  <c r="B291" i="4"/>
  <c r="B292" i="4"/>
  <c r="B293" i="4"/>
  <c r="B294" i="4"/>
  <c r="B295" i="4"/>
  <c r="B296" i="4"/>
  <c r="B297" i="4"/>
  <c r="B298" i="4"/>
  <c r="B299" i="4"/>
  <c r="B300" i="4"/>
  <c r="B301" i="4"/>
  <c r="B302" i="4"/>
  <c r="B303" i="4"/>
  <c r="B304" i="4"/>
  <c r="B305" i="4"/>
  <c r="B306" i="4"/>
  <c r="B307" i="4"/>
  <c r="B308" i="4"/>
  <c r="B309" i="4"/>
  <c r="B310" i="4"/>
  <c r="B311" i="4"/>
  <c r="B312" i="4"/>
  <c r="B313" i="4"/>
  <c r="B314" i="4"/>
  <c r="B315" i="4"/>
  <c r="B316" i="4"/>
  <c r="B317" i="4"/>
  <c r="B318" i="4"/>
  <c r="B319" i="4"/>
  <c r="B320" i="4"/>
  <c r="B321" i="4"/>
  <c r="B322" i="4"/>
  <c r="B323" i="4"/>
  <c r="B324" i="4"/>
  <c r="B325" i="4"/>
  <c r="B326" i="4"/>
  <c r="B327" i="4"/>
  <c r="B328" i="4"/>
  <c r="B329" i="4"/>
  <c r="B330" i="4"/>
  <c r="B331" i="4"/>
  <c r="B332" i="4"/>
  <c r="B333" i="4"/>
  <c r="B334" i="4"/>
  <c r="B335" i="4"/>
  <c r="B336" i="4"/>
  <c r="B337" i="4"/>
  <c r="B338" i="4"/>
  <c r="B339" i="4"/>
  <c r="B340" i="4"/>
  <c r="B341" i="4"/>
  <c r="B342" i="4"/>
  <c r="B343" i="4"/>
  <c r="B344" i="4"/>
  <c r="B345" i="4"/>
  <c r="B346" i="4"/>
  <c r="B347" i="4"/>
  <c r="B348" i="4"/>
  <c r="B349" i="4"/>
  <c r="B350" i="4"/>
  <c r="B351" i="4"/>
  <c r="B352" i="4"/>
  <c r="B353" i="4"/>
  <c r="B354" i="4"/>
  <c r="B355" i="4"/>
  <c r="B356" i="4"/>
  <c r="B357" i="4"/>
  <c r="B358" i="4"/>
  <c r="B359" i="4"/>
  <c r="B360" i="4"/>
  <c r="B361" i="4"/>
  <c r="B362" i="4"/>
  <c r="B363" i="4"/>
  <c r="B364" i="4"/>
  <c r="B365" i="4"/>
  <c r="B366" i="4"/>
  <c r="B367" i="4"/>
  <c r="B368" i="4"/>
  <c r="B369" i="4"/>
  <c r="B370" i="4"/>
  <c r="B371" i="4"/>
  <c r="B372" i="4"/>
  <c r="B373" i="4"/>
  <c r="B374" i="4"/>
  <c r="B375" i="4"/>
  <c r="B376" i="4"/>
  <c r="B377" i="4"/>
  <c r="B378" i="4"/>
  <c r="B379" i="4"/>
  <c r="B380" i="4"/>
  <c r="B381" i="4"/>
  <c r="B382" i="4"/>
  <c r="B383" i="4"/>
  <c r="B384" i="4"/>
  <c r="B385" i="4"/>
  <c r="B386" i="4"/>
  <c r="B387" i="4"/>
  <c r="B388" i="4"/>
  <c r="B389" i="4"/>
  <c r="B390" i="4"/>
  <c r="B391" i="4"/>
  <c r="B392" i="4"/>
  <c r="B393" i="4"/>
  <c r="B394" i="4"/>
  <c r="B395" i="4"/>
  <c r="B396" i="4"/>
  <c r="B397" i="4"/>
  <c r="B398" i="4"/>
  <c r="B399" i="4"/>
  <c r="B400" i="4"/>
  <c r="B401" i="4"/>
  <c r="B402" i="4"/>
  <c r="B403" i="4"/>
  <c r="B404" i="4"/>
  <c r="B405" i="4"/>
  <c r="B406" i="4"/>
  <c r="B407" i="4"/>
  <c r="B408" i="4"/>
  <c r="B409" i="4"/>
  <c r="B410" i="4"/>
  <c r="B411" i="4"/>
  <c r="B412" i="4"/>
  <c r="B413" i="4"/>
  <c r="B414" i="4"/>
  <c r="B415" i="4"/>
  <c r="B416" i="4"/>
  <c r="B417" i="4"/>
  <c r="B418" i="4"/>
  <c r="B419" i="4"/>
  <c r="B420" i="4"/>
  <c r="B421" i="4"/>
  <c r="B422" i="4"/>
  <c r="B423" i="4"/>
  <c r="B424" i="4"/>
  <c r="B425" i="4"/>
  <c r="B426" i="4"/>
  <c r="B427" i="4"/>
  <c r="B428" i="4"/>
  <c r="B429" i="4"/>
  <c r="B430" i="4"/>
  <c r="B431" i="4"/>
  <c r="B432" i="4"/>
  <c r="J5" i="4"/>
  <c r="J6" i="4"/>
  <c r="J7" i="4"/>
  <c r="J8" i="4"/>
  <c r="J9" i="4"/>
  <c r="J10" i="4"/>
  <c r="J11" i="4"/>
  <c r="J12" i="4"/>
  <c r="J13" i="4"/>
  <c r="J14" i="4"/>
  <c r="J15" i="4"/>
  <c r="J16" i="4"/>
  <c r="J17" i="4"/>
  <c r="J18" i="4"/>
  <c r="J19" i="4"/>
  <c r="J20" i="4"/>
  <c r="J21" i="4"/>
  <c r="J22" i="4"/>
  <c r="J23" i="4"/>
  <c r="J24" i="4"/>
  <c r="J25" i="4"/>
  <c r="J26" i="4"/>
  <c r="J27" i="4"/>
  <c r="J28" i="4"/>
  <c r="J29" i="4"/>
  <c r="J30" i="4"/>
  <c r="J31" i="4"/>
  <c r="J32" i="4"/>
  <c r="J33" i="4"/>
  <c r="J34" i="4"/>
  <c r="J35" i="4"/>
  <c r="J36" i="4"/>
  <c r="J37" i="4"/>
  <c r="J38" i="4"/>
  <c r="J39" i="4"/>
  <c r="J40" i="4"/>
  <c r="J41" i="4"/>
  <c r="J42" i="4"/>
  <c r="J43" i="4"/>
  <c r="J44" i="4"/>
  <c r="J45" i="4"/>
  <c r="J46" i="4"/>
  <c r="J47" i="4"/>
  <c r="J48" i="4"/>
  <c r="J49" i="4"/>
  <c r="J50" i="4"/>
  <c r="J51" i="4"/>
  <c r="J52" i="4"/>
  <c r="J53" i="4"/>
  <c r="J54" i="4"/>
  <c r="J55" i="4"/>
  <c r="J56" i="4"/>
  <c r="J57" i="4"/>
  <c r="J58" i="4"/>
  <c r="J59" i="4"/>
  <c r="J60" i="4"/>
  <c r="J61" i="4"/>
  <c r="J62" i="4"/>
  <c r="J63" i="4"/>
  <c r="J64" i="4"/>
  <c r="J65" i="4"/>
  <c r="J66" i="4"/>
  <c r="J67" i="4"/>
  <c r="J68" i="4"/>
  <c r="J69" i="4"/>
  <c r="J70" i="4"/>
  <c r="J71" i="4"/>
  <c r="J72" i="4"/>
  <c r="J73" i="4"/>
  <c r="J74" i="4"/>
  <c r="J75" i="4"/>
  <c r="J76" i="4"/>
  <c r="J77" i="4"/>
  <c r="J78" i="4"/>
  <c r="J79" i="4"/>
  <c r="J80" i="4"/>
  <c r="J81" i="4"/>
  <c r="J82" i="4"/>
  <c r="J83" i="4"/>
  <c r="J84" i="4"/>
  <c r="J85" i="4"/>
  <c r="J86" i="4"/>
  <c r="J87" i="4"/>
  <c r="J88" i="4"/>
  <c r="J89" i="4"/>
  <c r="J90" i="4"/>
  <c r="J91" i="4"/>
  <c r="J92" i="4"/>
  <c r="J93" i="4"/>
  <c r="J94" i="4"/>
  <c r="J95" i="4"/>
  <c r="J96" i="4"/>
  <c r="J97" i="4"/>
  <c r="J98" i="4"/>
  <c r="J99" i="4"/>
  <c r="J100" i="4"/>
  <c r="J101" i="4"/>
  <c r="J102" i="4"/>
  <c r="J103" i="4"/>
  <c r="J104" i="4"/>
  <c r="J105" i="4"/>
  <c r="J106" i="4"/>
  <c r="J107" i="4"/>
  <c r="J108" i="4"/>
  <c r="J109" i="4"/>
  <c r="J110" i="4"/>
  <c r="J111" i="4"/>
  <c r="J112" i="4"/>
  <c r="J113" i="4"/>
  <c r="J114" i="4"/>
  <c r="J115" i="4"/>
  <c r="J116" i="4"/>
  <c r="J117" i="4"/>
  <c r="J118" i="4"/>
  <c r="J119" i="4"/>
  <c r="J120" i="4"/>
  <c r="J121" i="4"/>
  <c r="J122" i="4"/>
  <c r="J123" i="4"/>
  <c r="J124" i="4"/>
  <c r="J125" i="4"/>
  <c r="J126" i="4"/>
  <c r="J127" i="4"/>
  <c r="J128" i="4"/>
  <c r="J129" i="4"/>
  <c r="J130" i="4"/>
  <c r="J131" i="4"/>
  <c r="J132" i="4"/>
  <c r="J133" i="4"/>
  <c r="J134" i="4"/>
  <c r="J135" i="4"/>
  <c r="J136" i="4"/>
  <c r="J137" i="4"/>
  <c r="J138" i="4"/>
  <c r="J139" i="4"/>
  <c r="J140" i="4"/>
  <c r="J141" i="4"/>
  <c r="J142" i="4"/>
  <c r="J143" i="4"/>
  <c r="J144" i="4"/>
  <c r="J145" i="4"/>
  <c r="J146" i="4"/>
  <c r="J147" i="4"/>
  <c r="J148" i="4"/>
  <c r="J149" i="4"/>
  <c r="J150" i="4"/>
  <c r="J151" i="4"/>
  <c r="J152" i="4"/>
  <c r="J153" i="4"/>
  <c r="J154" i="4"/>
  <c r="J155" i="4"/>
  <c r="J156" i="4"/>
  <c r="J157" i="4"/>
  <c r="J158" i="4"/>
  <c r="J159" i="4"/>
  <c r="J160" i="4"/>
  <c r="J161" i="4"/>
  <c r="J162" i="4"/>
  <c r="J163" i="4"/>
  <c r="J164" i="4"/>
  <c r="J165" i="4"/>
  <c r="J166" i="4"/>
  <c r="J167" i="4"/>
  <c r="J168" i="4"/>
  <c r="J169" i="4"/>
  <c r="J170" i="4"/>
  <c r="J171" i="4"/>
  <c r="J172" i="4"/>
  <c r="J173" i="4"/>
  <c r="J174" i="4"/>
  <c r="J175" i="4"/>
  <c r="J176" i="4"/>
  <c r="J177" i="4"/>
  <c r="J178" i="4"/>
  <c r="J179" i="4"/>
  <c r="J180" i="4"/>
  <c r="J181" i="4"/>
  <c r="J182" i="4"/>
  <c r="J183" i="4"/>
  <c r="J184" i="4"/>
  <c r="J185" i="4"/>
  <c r="J186" i="4"/>
  <c r="J187" i="4"/>
  <c r="J188" i="4"/>
  <c r="J189" i="4"/>
  <c r="J190" i="4"/>
  <c r="J191" i="4"/>
  <c r="J192" i="4"/>
  <c r="J193" i="4"/>
  <c r="J194" i="4"/>
  <c r="J195" i="4"/>
  <c r="J196" i="4"/>
  <c r="J197" i="4"/>
  <c r="J198" i="4"/>
  <c r="J199" i="4"/>
  <c r="J200" i="4"/>
  <c r="J201" i="4"/>
  <c r="J202" i="4"/>
  <c r="J203" i="4"/>
  <c r="J204" i="4"/>
  <c r="J205" i="4"/>
  <c r="J206" i="4"/>
  <c r="J207" i="4"/>
  <c r="J208" i="4"/>
  <c r="J209" i="4"/>
  <c r="J210" i="4"/>
  <c r="J211" i="4"/>
  <c r="J212" i="4"/>
  <c r="J213" i="4"/>
  <c r="J214" i="4"/>
  <c r="J215" i="4"/>
  <c r="J216" i="4"/>
  <c r="J217" i="4"/>
  <c r="J218" i="4"/>
  <c r="J219" i="4"/>
  <c r="J220" i="4"/>
  <c r="J221" i="4"/>
  <c r="J222" i="4"/>
  <c r="J223" i="4"/>
  <c r="J224" i="4"/>
  <c r="J225" i="4"/>
  <c r="J226" i="4"/>
  <c r="J227" i="4"/>
  <c r="J228" i="4"/>
  <c r="J229" i="4"/>
  <c r="J230" i="4"/>
  <c r="J231" i="4"/>
  <c r="J232" i="4"/>
  <c r="J233" i="4"/>
  <c r="J234" i="4"/>
  <c r="J235" i="4"/>
  <c r="J236" i="4"/>
  <c r="J237" i="4"/>
  <c r="J238" i="4"/>
  <c r="J239" i="4"/>
  <c r="J240" i="4"/>
  <c r="J241" i="4"/>
  <c r="J242" i="4"/>
  <c r="J243" i="4"/>
  <c r="J244" i="4"/>
  <c r="J245" i="4"/>
  <c r="J246" i="4"/>
  <c r="J247" i="4"/>
  <c r="J248" i="4"/>
  <c r="J249" i="4"/>
  <c r="J250" i="4"/>
  <c r="J251" i="4"/>
  <c r="J252" i="4"/>
  <c r="J253" i="4"/>
  <c r="J254" i="4"/>
  <c r="J255" i="4"/>
  <c r="J256" i="4"/>
  <c r="J257" i="4"/>
  <c r="J258" i="4"/>
  <c r="J259" i="4"/>
  <c r="J260" i="4"/>
  <c r="J261" i="4"/>
  <c r="J262" i="4"/>
  <c r="J263" i="4"/>
  <c r="J264" i="4"/>
  <c r="J265" i="4"/>
  <c r="J266" i="4"/>
  <c r="J267" i="4"/>
  <c r="J268" i="4"/>
  <c r="J269" i="4"/>
  <c r="J270" i="4"/>
  <c r="J271" i="4"/>
  <c r="J272" i="4"/>
  <c r="J273" i="4"/>
  <c r="J274" i="4"/>
  <c r="J275" i="4"/>
  <c r="J276" i="4"/>
  <c r="J277" i="4"/>
  <c r="J278" i="4"/>
  <c r="J279" i="4"/>
  <c r="J280" i="4"/>
  <c r="J281" i="4"/>
  <c r="J282" i="4"/>
  <c r="J283" i="4"/>
  <c r="J284" i="4"/>
  <c r="J285" i="4"/>
  <c r="J286" i="4"/>
  <c r="J287" i="4"/>
  <c r="J288" i="4"/>
  <c r="J289" i="4"/>
  <c r="J290" i="4"/>
  <c r="J291" i="4"/>
  <c r="J292" i="4"/>
  <c r="J293" i="4"/>
  <c r="J294" i="4"/>
  <c r="J295" i="4"/>
  <c r="J296" i="4"/>
  <c r="J297" i="4"/>
  <c r="J298" i="4"/>
  <c r="J299" i="4"/>
  <c r="J300" i="4"/>
  <c r="J301" i="4"/>
  <c r="J302" i="4"/>
  <c r="J303" i="4"/>
  <c r="J304" i="4"/>
  <c r="J305" i="4"/>
  <c r="J306" i="4"/>
  <c r="J307" i="4"/>
  <c r="J308" i="4"/>
  <c r="J309" i="4"/>
  <c r="J310" i="4"/>
  <c r="J311" i="4"/>
  <c r="J312" i="4"/>
  <c r="J313" i="4"/>
  <c r="J314" i="4"/>
  <c r="J315" i="4"/>
  <c r="J316" i="4"/>
  <c r="J317" i="4"/>
  <c r="J318" i="4"/>
  <c r="J319" i="4"/>
  <c r="J320" i="4"/>
  <c r="J321" i="4"/>
  <c r="J322" i="4"/>
  <c r="J323" i="4"/>
  <c r="J324" i="4"/>
  <c r="J325" i="4"/>
  <c r="J326" i="4"/>
  <c r="J327" i="4"/>
  <c r="J328" i="4"/>
  <c r="J329" i="4"/>
  <c r="J330" i="4"/>
  <c r="J331" i="4"/>
  <c r="J332" i="4"/>
  <c r="J333" i="4"/>
  <c r="J334" i="4"/>
  <c r="J335" i="4"/>
  <c r="J336" i="4"/>
  <c r="J337" i="4"/>
  <c r="J338" i="4"/>
  <c r="J339" i="4"/>
  <c r="J340" i="4"/>
  <c r="J341" i="4"/>
  <c r="J342" i="4"/>
  <c r="J343" i="4"/>
  <c r="J344" i="4"/>
  <c r="J345" i="4"/>
  <c r="J346" i="4"/>
  <c r="J347" i="4"/>
  <c r="J348" i="4"/>
  <c r="J349" i="4"/>
  <c r="J350" i="4"/>
  <c r="J351" i="4"/>
  <c r="J352" i="4"/>
  <c r="J353" i="4"/>
  <c r="J354" i="4"/>
  <c r="J355" i="4"/>
  <c r="J356" i="4"/>
  <c r="J357" i="4"/>
  <c r="J358" i="4"/>
  <c r="J359" i="4"/>
  <c r="J360" i="4"/>
  <c r="J361" i="4"/>
  <c r="J362" i="4"/>
  <c r="J363" i="4"/>
  <c r="J364" i="4"/>
  <c r="J365" i="4"/>
  <c r="J366" i="4"/>
  <c r="J367" i="4"/>
  <c r="J368" i="4"/>
  <c r="J369" i="4"/>
  <c r="J370" i="4"/>
  <c r="J371" i="4"/>
  <c r="J372" i="4"/>
  <c r="J373" i="4"/>
  <c r="J374" i="4"/>
  <c r="J375" i="4"/>
  <c r="J376" i="4"/>
  <c r="J377" i="4"/>
  <c r="J378" i="4"/>
  <c r="J379" i="4"/>
  <c r="J380" i="4"/>
  <c r="J381" i="4"/>
  <c r="J382" i="4"/>
  <c r="J383" i="4"/>
  <c r="J384" i="4"/>
  <c r="J385" i="4"/>
  <c r="J386" i="4"/>
  <c r="J387" i="4"/>
  <c r="J388" i="4"/>
  <c r="J389" i="4"/>
  <c r="J390" i="4"/>
  <c r="J391" i="4"/>
  <c r="J392" i="4"/>
  <c r="J393" i="4"/>
  <c r="J394" i="4"/>
  <c r="J395" i="4"/>
  <c r="J396" i="4"/>
  <c r="J397" i="4"/>
  <c r="J398" i="4"/>
  <c r="J399" i="4"/>
  <c r="J400" i="4"/>
  <c r="J401" i="4"/>
  <c r="J402" i="4"/>
  <c r="J403" i="4"/>
  <c r="J404" i="4"/>
  <c r="J405" i="4"/>
  <c r="J406" i="4"/>
  <c r="J407" i="4"/>
  <c r="J408" i="4"/>
  <c r="J409" i="4"/>
  <c r="J410" i="4"/>
  <c r="J411" i="4"/>
  <c r="J412" i="4"/>
  <c r="J413" i="4"/>
  <c r="J414" i="4"/>
  <c r="J415" i="4"/>
  <c r="J416" i="4"/>
  <c r="J417" i="4"/>
  <c r="J418" i="4"/>
  <c r="J419" i="4"/>
  <c r="J420" i="4"/>
  <c r="J421" i="4"/>
  <c r="J422" i="4"/>
  <c r="J423" i="4"/>
  <c r="J424" i="4"/>
  <c r="J425" i="4"/>
  <c r="J426" i="4"/>
  <c r="J427" i="4"/>
  <c r="J428" i="4"/>
  <c r="J429" i="4"/>
  <c r="J430" i="4"/>
  <c r="J431" i="4"/>
  <c r="J432" i="4"/>
  <c r="J3" i="4"/>
  <c r="B3"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EAC4F76-E861-47D2-84CD-3C906B967D7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2524415F-A447-46D9-A701-B48EFCCA39BE}" name="WorksheetConnection_داشبورد حرفه ای با اکسل-مدیریت فروش.xlsx!Table1" type="102" refreshedVersion="8" minRefreshableVersion="5">
    <extLst>
      <ext xmlns:x15="http://schemas.microsoft.com/office/spreadsheetml/2010/11/main" uri="{DE250136-89BD-433C-8126-D09CA5730AF9}">
        <x15:connection id="Table1" autoDelete="1">
          <x15:rangePr sourceName="_xlcn.WorksheetConnection_داشبوردحرفهایبااکسلمدیریتفروش.xlsxTable1"/>
        </x15:connection>
      </ext>
    </extLst>
  </connection>
</connections>
</file>

<file path=xl/sharedStrings.xml><?xml version="1.0" encoding="utf-8"?>
<sst xmlns="http://schemas.openxmlformats.org/spreadsheetml/2006/main" count="2687" uniqueCount="518">
  <si>
    <t>ماه</t>
  </si>
  <si>
    <t>فصل</t>
  </si>
  <si>
    <t>فروردین</t>
  </si>
  <si>
    <t>بهار</t>
  </si>
  <si>
    <t>اردیبهشت</t>
  </si>
  <si>
    <t>خرداد</t>
  </si>
  <si>
    <t>تیر</t>
  </si>
  <si>
    <t>تابستان</t>
  </si>
  <si>
    <t>مرداد</t>
  </si>
  <si>
    <t>شهریور</t>
  </si>
  <si>
    <t>مهر</t>
  </si>
  <si>
    <t>پاییز</t>
  </si>
  <si>
    <t>آبان</t>
  </si>
  <si>
    <t>آذر</t>
  </si>
  <si>
    <t>دی</t>
  </si>
  <si>
    <t>زمستان</t>
  </si>
  <si>
    <t>بهمن</t>
  </si>
  <si>
    <t>اسفند</t>
  </si>
  <si>
    <t>تاریخ</t>
  </si>
  <si>
    <t>سال</t>
  </si>
  <si>
    <t>شهر</t>
  </si>
  <si>
    <t>نام مشتری</t>
  </si>
  <si>
    <t>کالا</t>
  </si>
  <si>
    <t>تعداد</t>
  </si>
  <si>
    <t>قیمت</t>
  </si>
  <si>
    <t>قیمت کل</t>
  </si>
  <si>
    <t>سود از فروش</t>
  </si>
  <si>
    <t>سهم فروشنده</t>
  </si>
  <si>
    <t>1397/02/16</t>
  </si>
  <si>
    <t>تهران</t>
  </si>
  <si>
    <t>ایرج</t>
  </si>
  <si>
    <t>خودکار</t>
  </si>
  <si>
    <t>1397/02/21</t>
  </si>
  <si>
    <t>فرهاد</t>
  </si>
  <si>
    <t>زونکن</t>
  </si>
  <si>
    <t>1397/02/26</t>
  </si>
  <si>
    <t xml:space="preserve">مشهد    </t>
  </si>
  <si>
    <t>علی</t>
  </si>
  <si>
    <t>مداد</t>
  </si>
  <si>
    <t>1397/02/31</t>
  </si>
  <si>
    <t>تبريز</t>
  </si>
  <si>
    <t>مینا</t>
  </si>
  <si>
    <t>دفتر</t>
  </si>
  <si>
    <t>1397/03/05</t>
  </si>
  <si>
    <t>اصفهان</t>
  </si>
  <si>
    <t>حسنا</t>
  </si>
  <si>
    <t>کتاب</t>
  </si>
  <si>
    <t>1397/03/10</t>
  </si>
  <si>
    <t>يزد</t>
  </si>
  <si>
    <t>حسین</t>
  </si>
  <si>
    <t>مدادپاکن</t>
  </si>
  <si>
    <t>1397/03/15</t>
  </si>
  <si>
    <t>شيراز</t>
  </si>
  <si>
    <t>محسن</t>
  </si>
  <si>
    <t>1397/03/20</t>
  </si>
  <si>
    <t>سمنانی</t>
  </si>
  <si>
    <t>موبینا</t>
  </si>
  <si>
    <t>1397/03/25</t>
  </si>
  <si>
    <t>گییلان</t>
  </si>
  <si>
    <t>هانیه</t>
  </si>
  <si>
    <t>1397/03/30</t>
  </si>
  <si>
    <t>مازندران</t>
  </si>
  <si>
    <t>دنیا</t>
  </si>
  <si>
    <t>1397/04/04</t>
  </si>
  <si>
    <t>ارومیه</t>
  </si>
  <si>
    <t>ساغر</t>
  </si>
  <si>
    <t>1397/04/09</t>
  </si>
  <si>
    <t>هدا</t>
  </si>
  <si>
    <t>1397/04/14</t>
  </si>
  <si>
    <t>کرج</t>
  </si>
  <si>
    <t>سبهان</t>
  </si>
  <si>
    <t>1397/04/19</t>
  </si>
  <si>
    <t>مشهد</t>
  </si>
  <si>
    <t>فاطمه</t>
  </si>
  <si>
    <t>1397/04/24</t>
  </si>
  <si>
    <t>تبریز</t>
  </si>
  <si>
    <t>زهرا</t>
  </si>
  <si>
    <t>1397/04/29</t>
  </si>
  <si>
    <t>1397/05/03</t>
  </si>
  <si>
    <t>یزد</t>
  </si>
  <si>
    <t>1397/05/08</t>
  </si>
  <si>
    <t>شیراز</t>
  </si>
  <si>
    <t>1397/05/13</t>
  </si>
  <si>
    <t>سمنان</t>
  </si>
  <si>
    <t>1397/05/18</t>
  </si>
  <si>
    <t>گیلان</t>
  </si>
  <si>
    <t>1397/05/23</t>
  </si>
  <si>
    <t>1397/05/28</t>
  </si>
  <si>
    <t>1397/06/02</t>
  </si>
  <si>
    <t>1397/06/07</t>
  </si>
  <si>
    <t>1397/06/12</t>
  </si>
  <si>
    <t>1397/06/17</t>
  </si>
  <si>
    <t>1397/06/22</t>
  </si>
  <si>
    <t>1397/06/27</t>
  </si>
  <si>
    <t>1397/07/01</t>
  </si>
  <si>
    <t>1397/07/06</t>
  </si>
  <si>
    <t>1397/07/11</t>
  </si>
  <si>
    <t>1397/07/16</t>
  </si>
  <si>
    <t>1397/07/21</t>
  </si>
  <si>
    <t>1397/07/26</t>
  </si>
  <si>
    <t>1397/08/01</t>
  </si>
  <si>
    <t>1397/08/06</t>
  </si>
  <si>
    <t>1397/08/11</t>
  </si>
  <si>
    <t>1397/08/16</t>
  </si>
  <si>
    <t>1397/08/21</t>
  </si>
  <si>
    <t>1397/08/26</t>
  </si>
  <si>
    <t>1397/09/01</t>
  </si>
  <si>
    <t>1397/09/06</t>
  </si>
  <si>
    <t>1397/09/11</t>
  </si>
  <si>
    <t>1397/09/16</t>
  </si>
  <si>
    <t>1397/09/21</t>
  </si>
  <si>
    <t>1397/09/26</t>
  </si>
  <si>
    <t>1397/10/01</t>
  </si>
  <si>
    <t>1397/10/06</t>
  </si>
  <si>
    <t>1397/10/11</t>
  </si>
  <si>
    <t>1397/10/16</t>
  </si>
  <si>
    <t>1397/10/21</t>
  </si>
  <si>
    <t>1397/10/26</t>
  </si>
  <si>
    <t>1397/11/01</t>
  </si>
  <si>
    <t>1397/11/06</t>
  </si>
  <si>
    <t>1397/11/11</t>
  </si>
  <si>
    <t>1397/11/16</t>
  </si>
  <si>
    <t>1397/11/21</t>
  </si>
  <si>
    <t>1397/11/26</t>
  </si>
  <si>
    <t>1397/12/01</t>
  </si>
  <si>
    <t>1397/12/06</t>
  </si>
  <si>
    <t>1397/12/11</t>
  </si>
  <si>
    <t>1397/12/16</t>
  </si>
  <si>
    <t>1397/12/21</t>
  </si>
  <si>
    <t>1397/12/26</t>
  </si>
  <si>
    <t>1398/01/02</t>
  </si>
  <si>
    <t>1398/01/07</t>
  </si>
  <si>
    <t>1398/01/12</t>
  </si>
  <si>
    <t>1398/01/17</t>
  </si>
  <si>
    <t>1398/01/22</t>
  </si>
  <si>
    <t>1398/01/27</t>
  </si>
  <si>
    <t>1398/02/01</t>
  </si>
  <si>
    <t>1398/02/06</t>
  </si>
  <si>
    <t>1398/02/11</t>
  </si>
  <si>
    <t>1398/02/16</t>
  </si>
  <si>
    <t>1398/02/21</t>
  </si>
  <si>
    <t>1398/02/26</t>
  </si>
  <si>
    <t>1398/02/31</t>
  </si>
  <si>
    <t>1398/03/05</t>
  </si>
  <si>
    <t>1398/03/10</t>
  </si>
  <si>
    <t>1398/03/15</t>
  </si>
  <si>
    <t>1398/03/20</t>
  </si>
  <si>
    <t>1398/03/25</t>
  </si>
  <si>
    <t>1398/03/30</t>
  </si>
  <si>
    <t>1398/04/04</t>
  </si>
  <si>
    <t>1398/04/09</t>
  </si>
  <si>
    <t>1398/04/14</t>
  </si>
  <si>
    <t>1398/04/19</t>
  </si>
  <si>
    <t>1398/04/24</t>
  </si>
  <si>
    <t>1398/04/29</t>
  </si>
  <si>
    <t>1398/05/03</t>
  </si>
  <si>
    <t>1398/05/08</t>
  </si>
  <si>
    <t>1398/05/13</t>
  </si>
  <si>
    <t>1398/05/18</t>
  </si>
  <si>
    <t>1398/05/23</t>
  </si>
  <si>
    <t>1398/05/28</t>
  </si>
  <si>
    <t>1398/06/02</t>
  </si>
  <si>
    <t>1398/06/07</t>
  </si>
  <si>
    <t>1398/06/12</t>
  </si>
  <si>
    <t>1398/06/17</t>
  </si>
  <si>
    <t>1398/06/22</t>
  </si>
  <si>
    <t>1398/06/27</t>
  </si>
  <si>
    <t>1398/07/01</t>
  </si>
  <si>
    <t>1398/07/06</t>
  </si>
  <si>
    <t>1398/07/11</t>
  </si>
  <si>
    <t>1398/07/16</t>
  </si>
  <si>
    <t>1398/07/21</t>
  </si>
  <si>
    <t>1398/07/26</t>
  </si>
  <si>
    <t>1398/08/01</t>
  </si>
  <si>
    <t>1398/08/06</t>
  </si>
  <si>
    <t>1398/08/11</t>
  </si>
  <si>
    <t>1398/08/16</t>
  </si>
  <si>
    <t>1398/08/21</t>
  </si>
  <si>
    <t>1398/08/26</t>
  </si>
  <si>
    <t>1398/09/01</t>
  </si>
  <si>
    <t>1398/09/06</t>
  </si>
  <si>
    <t>1398/09/11</t>
  </si>
  <si>
    <t>1398/09/16</t>
  </si>
  <si>
    <t>1398/09/21</t>
  </si>
  <si>
    <t>1398/09/26</t>
  </si>
  <si>
    <t>1398/10/01</t>
  </si>
  <si>
    <t>1398/10/06</t>
  </si>
  <si>
    <t>1398/10/11</t>
  </si>
  <si>
    <t>1398/10/16</t>
  </si>
  <si>
    <t>1398/10/21</t>
  </si>
  <si>
    <t>1398/10/26</t>
  </si>
  <si>
    <t>1398/11/01</t>
  </si>
  <si>
    <t>1398/11/06</t>
  </si>
  <si>
    <t>1398/11/11</t>
  </si>
  <si>
    <t>1398/11/16</t>
  </si>
  <si>
    <t>1398/11/21</t>
  </si>
  <si>
    <t>1398/11/26</t>
  </si>
  <si>
    <t>1398/12/01</t>
  </si>
  <si>
    <t>1398/12/06</t>
  </si>
  <si>
    <t>1398/12/11</t>
  </si>
  <si>
    <t>1398/12/16</t>
  </si>
  <si>
    <t>1398/12/21</t>
  </si>
  <si>
    <t>1398/12/26</t>
  </si>
  <si>
    <t>1399/01/02</t>
  </si>
  <si>
    <t>1399/01/07</t>
  </si>
  <si>
    <t>1399/01/12</t>
  </si>
  <si>
    <t>1399/01/17</t>
  </si>
  <si>
    <t>1399/01/22</t>
  </si>
  <si>
    <t>1399/01/27</t>
  </si>
  <si>
    <t>1399/02/01</t>
  </si>
  <si>
    <t>1399/02/06</t>
  </si>
  <si>
    <t>1399/02/11</t>
  </si>
  <si>
    <t>1399/02/16</t>
  </si>
  <si>
    <t>1399/02/21</t>
  </si>
  <si>
    <t>1399/02/26</t>
  </si>
  <si>
    <t>1399/02/31</t>
  </si>
  <si>
    <t>1399/03/05</t>
  </si>
  <si>
    <t>1399/03/10</t>
  </si>
  <si>
    <t>1399/03/15</t>
  </si>
  <si>
    <t>1399/03/20</t>
  </si>
  <si>
    <t>1399/03/25</t>
  </si>
  <si>
    <t>1399/03/30</t>
  </si>
  <si>
    <t>1399/04/04</t>
  </si>
  <si>
    <t>1399/04/09</t>
  </si>
  <si>
    <t>1399/04/14</t>
  </si>
  <si>
    <t>1399/04/19</t>
  </si>
  <si>
    <t>1399/04/24</t>
  </si>
  <si>
    <t>1399/04/29</t>
  </si>
  <si>
    <t>1399/05/03</t>
  </si>
  <si>
    <t>1399/05/08</t>
  </si>
  <si>
    <t>1399/05/13</t>
  </si>
  <si>
    <t>1399/05/18</t>
  </si>
  <si>
    <t>1399/05/23</t>
  </si>
  <si>
    <t>1399/05/28</t>
  </si>
  <si>
    <t>1399/06/02</t>
  </si>
  <si>
    <t>1399/06/07</t>
  </si>
  <si>
    <t>1399/06/12</t>
  </si>
  <si>
    <t>1399/06/17</t>
  </si>
  <si>
    <t>1399/06/22</t>
  </si>
  <si>
    <t>1399/06/27</t>
  </si>
  <si>
    <t>1399/07/01</t>
  </si>
  <si>
    <t>1399/07/06</t>
  </si>
  <si>
    <t>1399/07/11</t>
  </si>
  <si>
    <t>1399/07/16</t>
  </si>
  <si>
    <t>1399/07/21</t>
  </si>
  <si>
    <t>1399/07/26</t>
  </si>
  <si>
    <t>1399/08/01</t>
  </si>
  <si>
    <t>1399/08/06</t>
  </si>
  <si>
    <t>1399/08/11</t>
  </si>
  <si>
    <t>1399/08/16</t>
  </si>
  <si>
    <t>1399/08/21</t>
  </si>
  <si>
    <t>1399/08/26</t>
  </si>
  <si>
    <t>1399/09/01</t>
  </si>
  <si>
    <t>1399/09/06</t>
  </si>
  <si>
    <t>1399/09/11</t>
  </si>
  <si>
    <t>1399/09/16</t>
  </si>
  <si>
    <t>1399/09/21</t>
  </si>
  <si>
    <t>1399/09/26</t>
  </si>
  <si>
    <t>1399/10/01</t>
  </si>
  <si>
    <t>1399/10/06</t>
  </si>
  <si>
    <t>1399/10/11</t>
  </si>
  <si>
    <t>1399/10/16</t>
  </si>
  <si>
    <t>1399/10/21</t>
  </si>
  <si>
    <t>1399/10/26</t>
  </si>
  <si>
    <t>1399/11/01</t>
  </si>
  <si>
    <t>1399/11/06</t>
  </si>
  <si>
    <t>1399/11/11</t>
  </si>
  <si>
    <t>1399/11/16</t>
  </si>
  <si>
    <t>1399/11/21</t>
  </si>
  <si>
    <t>1399/11/26</t>
  </si>
  <si>
    <t>1399/12/01</t>
  </si>
  <si>
    <t>1399/12/06</t>
  </si>
  <si>
    <t>1399/12/11</t>
  </si>
  <si>
    <t>1399/12/16</t>
  </si>
  <si>
    <t>1399/12/21</t>
  </si>
  <si>
    <t>1399/12/26</t>
  </si>
  <si>
    <t>1400/01/01</t>
  </si>
  <si>
    <t>1400/01/06</t>
  </si>
  <si>
    <t>1400/01/11</t>
  </si>
  <si>
    <t>1400/01/16</t>
  </si>
  <si>
    <t>1400/01/21</t>
  </si>
  <si>
    <t>1400/01/26</t>
  </si>
  <si>
    <t>1400/01/31</t>
  </si>
  <si>
    <t>1400/02/05</t>
  </si>
  <si>
    <t>1400/02/10</t>
  </si>
  <si>
    <t>1400/02/15</t>
  </si>
  <si>
    <t>1400/02/20</t>
  </si>
  <si>
    <t>1400/02/25</t>
  </si>
  <si>
    <t>1400/02/30</t>
  </si>
  <si>
    <t>1400/03/04</t>
  </si>
  <si>
    <t>1400/03/09</t>
  </si>
  <si>
    <t>1400/03/14</t>
  </si>
  <si>
    <t>1400/03/19</t>
  </si>
  <si>
    <t>1400/03/24</t>
  </si>
  <si>
    <t>1400/03/29</t>
  </si>
  <si>
    <t>1400/04/03</t>
  </si>
  <si>
    <t>1400/04/08</t>
  </si>
  <si>
    <t>1400/04/13</t>
  </si>
  <si>
    <t>1400/04/18</t>
  </si>
  <si>
    <t>1400/04/23</t>
  </si>
  <si>
    <t>1400/04/28</t>
  </si>
  <si>
    <t>1400/05/02</t>
  </si>
  <si>
    <t>1400/05/07</t>
  </si>
  <si>
    <t>1400/05/12</t>
  </si>
  <si>
    <t>1400/05/17</t>
  </si>
  <si>
    <t>1400/05/22</t>
  </si>
  <si>
    <t>1400/05/27</t>
  </si>
  <si>
    <t>1400/06/01</t>
  </si>
  <si>
    <t>1400/06/06</t>
  </si>
  <si>
    <t>1400/06/11</t>
  </si>
  <si>
    <t>1400/06/16</t>
  </si>
  <si>
    <t>1400/06/21</t>
  </si>
  <si>
    <t>1400/06/26</t>
  </si>
  <si>
    <t>1400/06/31</t>
  </si>
  <si>
    <t>1400/07/05</t>
  </si>
  <si>
    <t>1400/07/10</t>
  </si>
  <si>
    <t>1400/07/15</t>
  </si>
  <si>
    <t>1400/07/20</t>
  </si>
  <si>
    <t>1400/07/25</t>
  </si>
  <si>
    <t>1400/07/30</t>
  </si>
  <si>
    <t>1400/08/05</t>
  </si>
  <si>
    <t>1400/08/10</t>
  </si>
  <si>
    <t>1400/08/15</t>
  </si>
  <si>
    <t>1400/08/20</t>
  </si>
  <si>
    <t>1400/08/25</t>
  </si>
  <si>
    <t>1400/08/30</t>
  </si>
  <si>
    <t>1400/09/05</t>
  </si>
  <si>
    <t>1400/09/10</t>
  </si>
  <si>
    <t>1400/09/15</t>
  </si>
  <si>
    <t>1400/09/20</t>
  </si>
  <si>
    <t>1400/09/25</t>
  </si>
  <si>
    <t>1400/09/30</t>
  </si>
  <si>
    <t>1400/10/05</t>
  </si>
  <si>
    <t>1400/10/10</t>
  </si>
  <si>
    <t>1400/10/15</t>
  </si>
  <si>
    <t>1400/10/20</t>
  </si>
  <si>
    <t>1400/10/25</t>
  </si>
  <si>
    <t>1400/10/30</t>
  </si>
  <si>
    <t>1400/11/05</t>
  </si>
  <si>
    <t>1400/11/10</t>
  </si>
  <si>
    <t>1400/11/15</t>
  </si>
  <si>
    <t>1400/11/20</t>
  </si>
  <si>
    <t>1400/11/25</t>
  </si>
  <si>
    <t>1400/11/30</t>
  </si>
  <si>
    <t>1400/12/05</t>
  </si>
  <si>
    <t>1400/12/10</t>
  </si>
  <si>
    <t>1400/12/15</t>
  </si>
  <si>
    <t>1400/12/20</t>
  </si>
  <si>
    <t>1400/12/25</t>
  </si>
  <si>
    <t>1401/01/01</t>
  </si>
  <si>
    <t>1401/01/06</t>
  </si>
  <si>
    <t>1401/01/11</t>
  </si>
  <si>
    <t>1401/01/16</t>
  </si>
  <si>
    <t>1401/01/21</t>
  </si>
  <si>
    <t>1401/01/26</t>
  </si>
  <si>
    <t>1401/01/31</t>
  </si>
  <si>
    <t>1401/02/05</t>
  </si>
  <si>
    <t>1401/02/10</t>
  </si>
  <si>
    <t>1401/02/15</t>
  </si>
  <si>
    <t>1401/02/20</t>
  </si>
  <si>
    <t>1401/02/25</t>
  </si>
  <si>
    <t>1401/02/30</t>
  </si>
  <si>
    <t>1401/03/04</t>
  </si>
  <si>
    <t>1401/03/09</t>
  </si>
  <si>
    <t>1401/03/14</t>
  </si>
  <si>
    <t>1401/03/19</t>
  </si>
  <si>
    <t>1401/03/24</t>
  </si>
  <si>
    <t>1401/03/29</t>
  </si>
  <si>
    <t>1401/04/03</t>
  </si>
  <si>
    <t>1401/04/08</t>
  </si>
  <si>
    <t>1401/04/13</t>
  </si>
  <si>
    <t>1401/04/18</t>
  </si>
  <si>
    <t>1401/04/23</t>
  </si>
  <si>
    <t>1401/04/28</t>
  </si>
  <si>
    <t>1401/05/02</t>
  </si>
  <si>
    <t>1401/05/07</t>
  </si>
  <si>
    <t>1401/05/12</t>
  </si>
  <si>
    <t>1401/05/17</t>
  </si>
  <si>
    <t>1401/05/22</t>
  </si>
  <si>
    <t>1401/05/27</t>
  </si>
  <si>
    <t>1401/06/01</t>
  </si>
  <si>
    <t>1401/06/06</t>
  </si>
  <si>
    <t>1401/06/11</t>
  </si>
  <si>
    <t>1401/06/16</t>
  </si>
  <si>
    <t>1401/06/21</t>
  </si>
  <si>
    <t>1401/06/26</t>
  </si>
  <si>
    <t>1401/06/31</t>
  </si>
  <si>
    <t>1401/07/05</t>
  </si>
  <si>
    <t>1401/07/10</t>
  </si>
  <si>
    <t>1401/07/15</t>
  </si>
  <si>
    <t>1401/07/20</t>
  </si>
  <si>
    <t>1401/07/25</t>
  </si>
  <si>
    <t>1401/07/30</t>
  </si>
  <si>
    <t>1401/08/05</t>
  </si>
  <si>
    <t>1401/08/10</t>
  </si>
  <si>
    <t>1401/08/15</t>
  </si>
  <si>
    <t>1401/08/20</t>
  </si>
  <si>
    <t>1401/08/25</t>
  </si>
  <si>
    <t>1401/08/30</t>
  </si>
  <si>
    <t>1401/09/05</t>
  </si>
  <si>
    <t>1401/09/10</t>
  </si>
  <si>
    <t>1401/09/15</t>
  </si>
  <si>
    <t>1401/09/20</t>
  </si>
  <si>
    <t>1401/09/25</t>
  </si>
  <si>
    <t>1401/09/30</t>
  </si>
  <si>
    <t>1401/10/05</t>
  </si>
  <si>
    <t>1401/10/10</t>
  </si>
  <si>
    <t>1401/10/15</t>
  </si>
  <si>
    <t>1401/10/20</t>
  </si>
  <si>
    <t>1401/10/25</t>
  </si>
  <si>
    <t>1401/10/30</t>
  </si>
  <si>
    <t>1401/11/05</t>
  </si>
  <si>
    <t>1401/11/10</t>
  </si>
  <si>
    <t>1401/11/15</t>
  </si>
  <si>
    <t>1401/11/20</t>
  </si>
  <si>
    <t>1401/11/25</t>
  </si>
  <si>
    <t>1401/11/30</t>
  </si>
  <si>
    <t>1401/12/05</t>
  </si>
  <si>
    <t>1401/12/10</t>
  </si>
  <si>
    <t>1401/12/15</t>
  </si>
  <si>
    <t>1401/12/20</t>
  </si>
  <si>
    <t>1401/12/25</t>
  </si>
  <si>
    <t>1402/01/01</t>
  </si>
  <si>
    <t>1402/01/06</t>
  </si>
  <si>
    <t>1402/01/11</t>
  </si>
  <si>
    <t>1402/01/16</t>
  </si>
  <si>
    <t>1402/01/21</t>
  </si>
  <si>
    <t>1402/01/26</t>
  </si>
  <si>
    <t>1402/01/31</t>
  </si>
  <si>
    <t>1402/02/05</t>
  </si>
  <si>
    <t>1402/02/10</t>
  </si>
  <si>
    <t>1402/02/15</t>
  </si>
  <si>
    <t>1402/02/20</t>
  </si>
  <si>
    <t>1402/02/25</t>
  </si>
  <si>
    <t>1402/02/30</t>
  </si>
  <si>
    <t>1402/03/04</t>
  </si>
  <si>
    <t>1402/03/09</t>
  </si>
  <si>
    <t>1402/03/14</t>
  </si>
  <si>
    <t>1402/03/19</t>
  </si>
  <si>
    <t>1402/03/24</t>
  </si>
  <si>
    <t>1402/03/29</t>
  </si>
  <si>
    <t>1402/04/03</t>
  </si>
  <si>
    <t>1402/04/08</t>
  </si>
  <si>
    <t>1402/04/13</t>
  </si>
  <si>
    <t>1402/04/18</t>
  </si>
  <si>
    <t>1402/04/23</t>
  </si>
  <si>
    <t>1402/04/28</t>
  </si>
  <si>
    <t>1402/05/02</t>
  </si>
  <si>
    <t>1402/05/07</t>
  </si>
  <si>
    <t>1402/05/12</t>
  </si>
  <si>
    <t>1402/05/17</t>
  </si>
  <si>
    <t>1402/05/22</t>
  </si>
  <si>
    <t>1402/05/27</t>
  </si>
  <si>
    <t>1402/06/01</t>
  </si>
  <si>
    <t>1402/06/06</t>
  </si>
  <si>
    <t>1402/06/11</t>
  </si>
  <si>
    <t>1402/06/16</t>
  </si>
  <si>
    <t>1402/06/21</t>
  </si>
  <si>
    <t>1402/06/26</t>
  </si>
  <si>
    <t>1402/06/31</t>
  </si>
  <si>
    <t>1402/07/05</t>
  </si>
  <si>
    <t>1402/07/10</t>
  </si>
  <si>
    <t>1402/07/15</t>
  </si>
  <si>
    <t>1402/07/20</t>
  </si>
  <si>
    <t>1402/07/25</t>
  </si>
  <si>
    <t>1402/07/30</t>
  </si>
  <si>
    <t>1402/08/01</t>
  </si>
  <si>
    <t>1402/08/06</t>
  </si>
  <si>
    <t>1402/08/11</t>
  </si>
  <si>
    <t>1402/08/16</t>
  </si>
  <si>
    <t>1402/08/21</t>
  </si>
  <si>
    <t>1402/08/26</t>
  </si>
  <si>
    <t>1402/09/01</t>
  </si>
  <si>
    <t>1402/09/06</t>
  </si>
  <si>
    <t>1402/09/11</t>
  </si>
  <si>
    <t>1402/09/16</t>
  </si>
  <si>
    <t>1402/09/21</t>
  </si>
  <si>
    <t>1402/09/26</t>
  </si>
  <si>
    <t>1402/10/01</t>
  </si>
  <si>
    <t>1402/10/06</t>
  </si>
  <si>
    <t>1402/10/11</t>
  </si>
  <si>
    <t>1402/10/16</t>
  </si>
  <si>
    <t>1402/10/21</t>
  </si>
  <si>
    <t>1402/10/26</t>
  </si>
  <si>
    <t>1402/11/01</t>
  </si>
  <si>
    <t>1402/11/06</t>
  </si>
  <si>
    <t>1402/11/11</t>
  </si>
  <si>
    <t>1402/11/16</t>
  </si>
  <si>
    <t>1402/11/21</t>
  </si>
  <si>
    <t>1402/11/26</t>
  </si>
  <si>
    <t>1402/12/01</t>
  </si>
  <si>
    <t>1402/12/06</t>
  </si>
  <si>
    <t>1402/12/11</t>
  </si>
  <si>
    <t>1402/12/16</t>
  </si>
  <si>
    <t>1402/12/21</t>
  </si>
  <si>
    <t>1402/12/26</t>
  </si>
  <si>
    <t>d</t>
  </si>
  <si>
    <t>Row Labels</t>
  </si>
  <si>
    <t>1397</t>
  </si>
  <si>
    <t>1398</t>
  </si>
  <si>
    <t>1399</t>
  </si>
  <si>
    <t>1400</t>
  </si>
  <si>
    <t>1401</t>
  </si>
  <si>
    <t>1402</t>
  </si>
  <si>
    <t>Grand Total</t>
  </si>
  <si>
    <t>Sum of قیمت کل</t>
  </si>
  <si>
    <t>افزایش قروش</t>
  </si>
  <si>
    <t>▼▲</t>
  </si>
  <si>
    <t>Sum of تعداد</t>
  </si>
  <si>
    <t>Distinct Count of نام مشتری</t>
  </si>
  <si>
    <t>Column Labels</t>
  </si>
  <si>
    <t>Sum of سود از فروش</t>
  </si>
  <si>
    <t>Sum of سهم فروشنده</t>
  </si>
  <si>
    <t>میزان فروش</t>
  </si>
  <si>
    <t xml:space="preserve"> سود از فروش</t>
  </si>
  <si>
    <t xml:space="preserve"> سهم فروشنده</t>
  </si>
  <si>
    <t>Sum of سود به سهم</t>
  </si>
  <si>
    <t>Sum of سود از فروش2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</si>
</sst>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Green]\▲#,###;[Red]\▼#,###"/>
  </numFmts>
  <fonts count="4" x14ac:knownFonts="1">
    <font>
      <sz val="11"/>
      <color theme="1"/>
      <name val="Calibri"/>
      <family val="2"/>
      <scheme val="minor"/>
    </font>
    <font>
      <sz val="11"/>
      <color theme="1"/>
      <name val="Vazirmatn FD"/>
    </font>
    <font>
      <b/>
      <sz val="12"/>
      <color theme="1"/>
      <name val="Vazirmatn FD"/>
    </font>
    <font>
      <sz val="11"/>
      <color theme="1"/>
      <name val="Arial"/>
      <family val="2"/>
    </font>
  </fonts>
  <fills count="4">
    <fill>
      <patternFill patternType="none"/>
    </fill>
    <fill>
      <patternFill patternType="gray125"/>
    </fill>
    <fill>
      <patternFill patternType="solid">
        <fgColor theme="1"/>
        <bgColor indexed="64"/>
      </patternFill>
    </fill>
    <fill>
      <patternFill patternType="solid">
        <fgColor theme="0"/>
        <bgColor indexed="64"/>
      </patternFill>
    </fill>
  </fills>
  <borders count="1">
    <border>
      <left/>
      <right/>
      <top/>
      <bottom/>
      <diagonal/>
    </border>
  </borders>
  <cellStyleXfs count="1">
    <xf numFmtId="0" fontId="0" fillId="0" borderId="0"/>
  </cellStyleXfs>
  <cellXfs count="12">
    <xf numFmtId="0" fontId="0" fillId="0" borderId="0" xfId="0"/>
    <xf numFmtId="0" fontId="0" fillId="2" borderId="0" xfId="0" applyFill="1"/>
    <xf numFmtId="0" fontId="1" fillId="3" borderId="0" xfId="0" applyFont="1" applyFill="1" applyAlignment="1">
      <alignment horizontal="center" vertical="center"/>
    </xf>
    <xf numFmtId="3" fontId="1" fillId="3" borderId="0" xfId="0" applyNumberFormat="1" applyFont="1" applyFill="1" applyAlignment="1">
      <alignment horizontal="center" vertical="center"/>
    </xf>
    <xf numFmtId="0" fontId="2" fillId="3" borderId="0" xfId="0" applyFont="1" applyFill="1" applyAlignment="1">
      <alignment horizontal="center" vertical="center"/>
    </xf>
    <xf numFmtId="3" fontId="2" fillId="3" borderId="0" xfId="0" applyNumberFormat="1" applyFont="1" applyFill="1" applyAlignment="1">
      <alignment horizontal="center" vertical="center"/>
    </xf>
    <xf numFmtId="0" fontId="0" fillId="0" borderId="0" xfId="0" pivotButton="1"/>
    <xf numFmtId="0" fontId="0" fillId="0" borderId="0" xfId="0" applyAlignment="1">
      <alignment horizontal="right"/>
    </xf>
    <xf numFmtId="3" fontId="0" fillId="0" borderId="0" xfId="0" applyNumberFormat="1"/>
    <xf numFmtId="0" fontId="3" fillId="0" borderId="0" xfId="0" applyFont="1"/>
    <xf numFmtId="164" fontId="0" fillId="0" borderId="0" xfId="0" applyNumberFormat="1"/>
    <xf numFmtId="10" fontId="0" fillId="0" borderId="0" xfId="0" applyNumberFormat="1"/>
  </cellXfs>
  <cellStyles count="1">
    <cellStyle name="Normal" xfId="0" builtinId="0"/>
  </cellStyles>
  <dxfs count="19">
    <dxf>
      <numFmt numFmtId="14" formatCode="0.00%"/>
    </dxf>
    <dxf>
      <numFmt numFmtId="14" formatCode="0.00%"/>
    </dxf>
    <dxf>
      <font>
        <b val="0"/>
        <i val="0"/>
        <strike val="0"/>
        <condense val="0"/>
        <extend val="0"/>
        <outline val="0"/>
        <shadow val="0"/>
        <u val="none"/>
        <vertAlign val="baseline"/>
        <sz val="11"/>
        <color theme="1"/>
        <name val="Vazirmatn FD"/>
        <scheme val="none"/>
      </font>
      <numFmt numFmtId="3" formatCode="#,##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Vazirmatn FD"/>
        <scheme val="none"/>
      </font>
      <numFmt numFmtId="3" formatCode="#,##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Vazirmatn FD"/>
        <scheme val="none"/>
      </font>
      <numFmt numFmtId="3" formatCode="#,##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Vazirmatn FD"/>
        <scheme val="none"/>
      </font>
      <numFmt numFmtId="3" formatCode="#,##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Vazirmatn FD"/>
        <scheme val="none"/>
      </font>
      <numFmt numFmtId="3" formatCode="#,##0"/>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Vazirmatn FD"/>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Vazirmatn FD"/>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Vazirmatn FD"/>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Vazirmatn FD"/>
        <scheme val="none"/>
      </font>
      <numFmt numFmtId="0" formatCode="General"/>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Vazirmatn FD"/>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Vazirmatn FD"/>
        <scheme val="none"/>
      </font>
      <numFmt numFmtId="0" formatCode="General"/>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Vazirmatn FD"/>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Vazirmatn FD"/>
        <scheme val="none"/>
      </font>
      <numFmt numFmtId="3" formatCode="#,##0"/>
      <fill>
        <patternFill patternType="solid">
          <fgColor indexed="64"/>
          <bgColor theme="0"/>
        </patternFill>
      </fill>
      <alignment horizontal="center" vertical="center" textRotation="0" wrapText="0" indent="0" justifyLastLine="0" shrinkToFit="0" readingOrder="0"/>
    </dxf>
    <dxf>
      <font>
        <b/>
        <i val="0"/>
        <strike val="0"/>
        <condense val="0"/>
        <extend val="0"/>
        <outline val="0"/>
        <shadow val="0"/>
        <u val="none"/>
        <vertAlign val="baseline"/>
        <sz val="12"/>
        <color theme="1"/>
        <name val="Vazirmatn FD"/>
        <scheme val="none"/>
      </font>
      <numFmt numFmtId="3" formatCode="#,##0"/>
      <fill>
        <patternFill patternType="solid">
          <fgColor indexed="64"/>
          <bgColor theme="0"/>
        </patternFill>
      </fill>
      <alignment horizontal="center" vertical="center" textRotation="0" wrapText="0" indent="0" justifyLastLine="0" shrinkToFit="0" readingOrder="0"/>
    </dxf>
    <dxf>
      <font>
        <color theme="0"/>
        <name val="Vazirmatn FD Black"/>
        <scheme val="none"/>
      </font>
      <fill>
        <patternFill>
          <bgColor theme="1" tint="0.14996795556505021"/>
        </patternFill>
      </fill>
    </dxf>
    <dxf>
      <font>
        <color theme="0"/>
        <name val="Vazirmatn FD Black"/>
        <scheme val="none"/>
      </font>
      <fill>
        <patternFill>
          <bgColor theme="1" tint="0.14996795556505021"/>
        </patternFill>
      </fill>
    </dxf>
    <dxf>
      <font>
        <color theme="0"/>
        <name val="Vazirmatn FD Black"/>
        <scheme val="none"/>
      </font>
      <fill>
        <patternFill>
          <bgColor theme="1" tint="0.14996795556505021"/>
        </patternFill>
      </fill>
    </dxf>
  </dxfs>
  <tableStyles count="3" defaultTableStyle="TableStyleMedium2" defaultPivotStyle="PivotStyleLight16">
    <tableStyle name="Slicer Style 1" pivot="0" table="0" count="4" xr9:uid="{C8F2BAA8-479D-47C0-8211-79D552EA18CF}">
      <tableStyleElement type="wholeTable" dxfId="18"/>
    </tableStyle>
    <tableStyle name="Slicer Style 1 2" pivot="0" table="0" count="4" xr9:uid="{8BBC1279-530F-4526-B404-3B6023554317}">
      <tableStyleElement type="wholeTable" dxfId="17"/>
    </tableStyle>
    <tableStyle name="Slicer Style 1 3" pivot="0" table="0" count="4" xr9:uid="{F3DA475C-F253-48B6-A40B-F5B8B95CA181}">
      <tableStyleElement type="wholeTable" dxfId="16"/>
    </tableStyle>
  </tableStyles>
  <colors>
    <mruColors>
      <color rgb="FFFFDC2D"/>
      <color rgb="FF577158"/>
      <color rgb="FFDEA900"/>
    </mruColors>
  </colors>
  <extLst>
    <ext xmlns:x14="http://schemas.microsoft.com/office/spreadsheetml/2009/9/main" uri="{46F421CA-312F-682f-3DD2-61675219B42D}">
      <x14:dxfs count="9">
        <dxf>
          <fill>
            <patternFill>
              <bgColor rgb="FF002060"/>
            </patternFill>
          </fill>
        </dxf>
        <dxf>
          <fill>
            <patternFill>
              <bgColor rgb="FFC00000"/>
            </patternFill>
          </fill>
        </dxf>
        <dxf>
          <fill>
            <patternFill>
              <bgColor rgb="FF013220"/>
            </patternFill>
          </fill>
        </dxf>
        <dxf>
          <fill>
            <patternFill>
              <bgColor rgb="FF002060"/>
            </patternFill>
          </fill>
        </dxf>
        <dxf>
          <fill>
            <patternFill>
              <bgColor rgb="FFC00000"/>
            </patternFill>
          </fill>
        </dxf>
        <dxf>
          <fill>
            <patternFill>
              <bgColor rgb="FF013220"/>
            </patternFill>
          </fill>
        </dxf>
        <dxf>
          <fill>
            <patternFill>
              <bgColor rgb="FF002060"/>
            </patternFill>
          </fill>
        </dxf>
        <dxf>
          <fill>
            <patternFill>
              <bgColor rgb="FFC00000"/>
            </patternFill>
          </fill>
        </dxf>
        <dxf>
          <fill>
            <patternFill>
              <bgColor rgb="FF013220"/>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8"/>
            <x14:slicerStyleElement type="selectedItemWithData" dxfId="7"/>
            <x14:slicerStyleElement type="hoveredUnselectedItemWithData" dxfId="6"/>
          </x14:slicerStyleElements>
        </x14:slicerStyle>
        <x14:slicerStyle name="Slicer Style 1 2">
          <x14:slicerStyleElements>
            <x14:slicerStyleElement type="unselectedItemWithData" dxfId="5"/>
            <x14:slicerStyleElement type="selectedItemWithData" dxfId="4"/>
            <x14:slicerStyleElement type="hoveredUnselectedItemWithData" dxfId="3"/>
          </x14:slicerStyleElements>
        </x14:slicerStyle>
        <x14:slicerStyle name="Slicer Style 1 3">
          <x14:slicerStyleElements>
            <x14:slicerStyleElement type="unselectedItemWithData" dxfId="2"/>
            <x14:slicerStyleElement type="selectedItemWithData" dxfId="1"/>
            <x14:slicerStyleElement type="hoveredUn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theme" Target="theme/theme1.xml"/><Relationship Id="rId5" Type="http://schemas.openxmlformats.org/officeDocument/2006/relationships/externalLink" Target="externalLinks/externalLink1.xml"/><Relationship Id="rId15" Type="http://schemas.openxmlformats.org/officeDocument/2006/relationships/powerPivotData" Target="model/item.data"/><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3" Type="http://schemas.openxmlformats.org/officeDocument/2006/relationships/image" Target="../media/image1.png"/><Relationship Id="rId2" Type="http://schemas.microsoft.com/office/2011/relationships/chartColorStyle" Target="colors1.xml"/><Relationship Id="rId1" Type="http://schemas.microsoft.com/office/2011/relationships/chartStyle" Target="style1.xml"/><Relationship Id="rId5" Type="http://schemas.openxmlformats.org/officeDocument/2006/relationships/image" Target="../media/image3.png"/><Relationship Id="rId4" Type="http://schemas.openxmlformats.org/officeDocument/2006/relationships/image" Target="../media/image2.png"/></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[داشبورد حرفه ای با اکسل-مدیریت فروش.xlsx]pivot!PivotTable9</c:name>
    <c:fmtId val="6"/>
  </c:pivotSource>
  <c:chart>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blipFill>
            <a:blip xmlns:r="http://schemas.openxmlformats.org/officeDocument/2006/relationships" r:embed="rId3"/>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blipFill>
            <a:blip xmlns:r="http://schemas.openxmlformats.org/officeDocument/2006/relationships" r:embed="rId4"/>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blipFill>
            <a:blip xmlns:r="http://schemas.openxmlformats.org/officeDocument/2006/relationships" r:embed="rId5"/>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circle"/>
          <c:size val="8"/>
          <c:spPr>
            <a:solidFill>
              <a:srgbClr val="FF0000"/>
            </a:solidFill>
            <a:ln w="44450">
              <a:solidFill>
                <a:srgbClr val="FFDC2D"/>
              </a:solidFill>
            </a:ln>
            <a:effectLst/>
          </c:spPr>
        </c:marker>
        <c:dLbl>
          <c:idx val="0"/>
          <c:numFmt formatCode="0%" sourceLinked="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bg1"/>
                  </a:solidFill>
                  <a:latin typeface="Vazirmatn FD" pitchFamily="2" charset="-78"/>
                  <a:ea typeface="+mn-ea"/>
                  <a:cs typeface="Vazirmatn FD" pitchFamily="2" charset="-78"/>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2"/>
        <c:spPr>
          <a:ln w="28575" cap="rnd">
            <a:solidFill>
              <a:schemeClr val="accent4"/>
            </a:solidFill>
            <a:round/>
          </a:ln>
          <a:effectLst/>
        </c:spPr>
        <c:marker>
          <c:symbol val="circle"/>
          <c:size val="8"/>
          <c:spPr>
            <a:solidFill>
              <a:srgbClr val="FF0000"/>
            </a:solidFill>
            <a:ln w="44450">
              <a:solidFill>
                <a:srgbClr val="FFDC2D"/>
              </a:solidFill>
            </a:ln>
            <a:effectLst/>
          </c:spPr>
        </c:marker>
      </c:pivotFmt>
    </c:pivotFmts>
    <c:plotArea>
      <c:layout>
        <c:manualLayout>
          <c:layoutTarget val="inner"/>
          <c:xMode val="edge"/>
          <c:yMode val="edge"/>
          <c:x val="8.4699397560289949E-2"/>
          <c:y val="9.3537414965986401E-2"/>
          <c:w val="0.84630798777780403"/>
          <c:h val="0.69838502330065888"/>
        </c:manualLayout>
      </c:layout>
      <c:barChart>
        <c:barDir val="col"/>
        <c:grouping val="clustered"/>
        <c:varyColors val="0"/>
        <c:ser>
          <c:idx val="0"/>
          <c:order val="0"/>
          <c:tx>
            <c:strRef>
              <c:f>pivot!$F$41</c:f>
              <c:strCache>
                <c:ptCount val="1"/>
                <c:pt idx="0">
                  <c:v>Sum of قیمت کل</c:v>
                </c:pt>
              </c:strCache>
            </c:strRef>
          </c:tx>
          <c:spPr>
            <a:blipFill>
              <a:blip xmlns:r="http://schemas.openxmlformats.org/officeDocument/2006/relationships" r:embed="rId3"/>
              <a:stretch>
                <a:fillRect/>
              </a:stretch>
            </a:blipFill>
            <a:ln>
              <a:noFill/>
            </a:ln>
            <a:effectLst/>
          </c:spPr>
          <c:invertIfNegative val="0"/>
          <c:cat>
            <c:strRef>
              <c:f>pivot!$E$42:$E$54</c:f>
              <c:strCache>
                <c:ptCount val="12"/>
                <c:pt idx="0">
                  <c:v>فروردین</c:v>
                </c:pt>
                <c:pt idx="1">
                  <c:v>اردیبهشت</c:v>
                </c:pt>
                <c:pt idx="2">
                  <c:v>خرداد</c:v>
                </c:pt>
                <c:pt idx="3">
                  <c:v>تیر</c:v>
                </c:pt>
                <c:pt idx="4">
                  <c:v>مرداد</c:v>
                </c:pt>
                <c:pt idx="5">
                  <c:v>شهریور</c:v>
                </c:pt>
                <c:pt idx="6">
                  <c:v>مهر</c:v>
                </c:pt>
                <c:pt idx="7">
                  <c:v>آبان</c:v>
                </c:pt>
                <c:pt idx="8">
                  <c:v>آذر</c:v>
                </c:pt>
                <c:pt idx="9">
                  <c:v>دی</c:v>
                </c:pt>
                <c:pt idx="10">
                  <c:v>بهمن</c:v>
                </c:pt>
                <c:pt idx="11">
                  <c:v>اسفند</c:v>
                </c:pt>
              </c:strCache>
            </c:strRef>
          </c:cat>
          <c:val>
            <c:numRef>
              <c:f>pivot!$F$42:$F$54</c:f>
              <c:numCache>
                <c:formatCode>#,##0</c:formatCode>
                <c:ptCount val="12"/>
                <c:pt idx="0">
                  <c:v>1546166685</c:v>
                </c:pt>
                <c:pt idx="1">
                  <c:v>1897776965</c:v>
                </c:pt>
                <c:pt idx="2">
                  <c:v>1731429770</c:v>
                </c:pt>
                <c:pt idx="3">
                  <c:v>2003302315</c:v>
                </c:pt>
                <c:pt idx="4">
                  <c:v>1240876980</c:v>
                </c:pt>
                <c:pt idx="5">
                  <c:v>1523584545</c:v>
                </c:pt>
                <c:pt idx="6">
                  <c:v>2181772880</c:v>
                </c:pt>
                <c:pt idx="7">
                  <c:v>1599239705</c:v>
                </c:pt>
                <c:pt idx="8">
                  <c:v>1541361955</c:v>
                </c:pt>
                <c:pt idx="9">
                  <c:v>1600519690</c:v>
                </c:pt>
                <c:pt idx="10">
                  <c:v>1775393025</c:v>
                </c:pt>
                <c:pt idx="11">
                  <c:v>1192106090</c:v>
                </c:pt>
              </c:numCache>
            </c:numRef>
          </c:val>
          <c:extLst>
            <c:ext xmlns:c16="http://schemas.microsoft.com/office/drawing/2014/chart" uri="{C3380CC4-5D6E-409C-BE32-E72D297353CC}">
              <c16:uniqueId val="{00000000-F218-49EF-9B49-CFBFDE726B2A}"/>
            </c:ext>
          </c:extLst>
        </c:ser>
        <c:ser>
          <c:idx val="1"/>
          <c:order val="1"/>
          <c:tx>
            <c:strRef>
              <c:f>pivot!$G$41</c:f>
              <c:strCache>
                <c:ptCount val="1"/>
                <c:pt idx="0">
                  <c:v>Sum of سود از فروش</c:v>
                </c:pt>
              </c:strCache>
            </c:strRef>
          </c:tx>
          <c:spPr>
            <a:blipFill>
              <a:blip xmlns:r="http://schemas.openxmlformats.org/officeDocument/2006/relationships" r:embed="rId4"/>
              <a:stretch>
                <a:fillRect/>
              </a:stretch>
            </a:blipFill>
            <a:ln>
              <a:noFill/>
            </a:ln>
            <a:effectLst/>
          </c:spPr>
          <c:invertIfNegative val="0"/>
          <c:cat>
            <c:strRef>
              <c:f>pivot!$E$42:$E$54</c:f>
              <c:strCache>
                <c:ptCount val="12"/>
                <c:pt idx="0">
                  <c:v>فروردین</c:v>
                </c:pt>
                <c:pt idx="1">
                  <c:v>اردیبهشت</c:v>
                </c:pt>
                <c:pt idx="2">
                  <c:v>خرداد</c:v>
                </c:pt>
                <c:pt idx="3">
                  <c:v>تیر</c:v>
                </c:pt>
                <c:pt idx="4">
                  <c:v>مرداد</c:v>
                </c:pt>
                <c:pt idx="5">
                  <c:v>شهریور</c:v>
                </c:pt>
                <c:pt idx="6">
                  <c:v>مهر</c:v>
                </c:pt>
                <c:pt idx="7">
                  <c:v>آبان</c:v>
                </c:pt>
                <c:pt idx="8">
                  <c:v>آذر</c:v>
                </c:pt>
                <c:pt idx="9">
                  <c:v>دی</c:v>
                </c:pt>
                <c:pt idx="10">
                  <c:v>بهمن</c:v>
                </c:pt>
                <c:pt idx="11">
                  <c:v>اسفند</c:v>
                </c:pt>
              </c:strCache>
            </c:strRef>
          </c:cat>
          <c:val>
            <c:numRef>
              <c:f>pivot!$G$42:$G$54</c:f>
              <c:numCache>
                <c:formatCode>#,##0</c:formatCode>
                <c:ptCount val="12"/>
                <c:pt idx="0">
                  <c:v>712218956</c:v>
                </c:pt>
                <c:pt idx="1">
                  <c:v>950312323</c:v>
                </c:pt>
                <c:pt idx="2">
                  <c:v>1007622745</c:v>
                </c:pt>
                <c:pt idx="3">
                  <c:v>1153225858</c:v>
                </c:pt>
                <c:pt idx="4">
                  <c:v>594606235</c:v>
                </c:pt>
                <c:pt idx="5">
                  <c:v>1014376951</c:v>
                </c:pt>
                <c:pt idx="6">
                  <c:v>822053137</c:v>
                </c:pt>
                <c:pt idx="7">
                  <c:v>884342147</c:v>
                </c:pt>
                <c:pt idx="8">
                  <c:v>1080465796</c:v>
                </c:pt>
                <c:pt idx="9">
                  <c:v>972794150</c:v>
                </c:pt>
                <c:pt idx="10">
                  <c:v>721297762</c:v>
                </c:pt>
                <c:pt idx="11">
                  <c:v>816931401</c:v>
                </c:pt>
              </c:numCache>
            </c:numRef>
          </c:val>
          <c:extLst>
            <c:ext xmlns:c16="http://schemas.microsoft.com/office/drawing/2014/chart" uri="{C3380CC4-5D6E-409C-BE32-E72D297353CC}">
              <c16:uniqueId val="{00000001-F218-49EF-9B49-CFBFDE726B2A}"/>
            </c:ext>
          </c:extLst>
        </c:ser>
        <c:ser>
          <c:idx val="2"/>
          <c:order val="2"/>
          <c:tx>
            <c:strRef>
              <c:f>pivot!$H$41</c:f>
              <c:strCache>
                <c:ptCount val="1"/>
                <c:pt idx="0">
                  <c:v>Sum of سهم فروشنده</c:v>
                </c:pt>
              </c:strCache>
            </c:strRef>
          </c:tx>
          <c:spPr>
            <a:blipFill>
              <a:blip xmlns:r="http://schemas.openxmlformats.org/officeDocument/2006/relationships" r:embed="rId5"/>
              <a:stretch>
                <a:fillRect/>
              </a:stretch>
            </a:blipFill>
            <a:ln>
              <a:noFill/>
            </a:ln>
            <a:effectLst/>
          </c:spPr>
          <c:invertIfNegative val="0"/>
          <c:cat>
            <c:strRef>
              <c:f>pivot!$E$42:$E$54</c:f>
              <c:strCache>
                <c:ptCount val="12"/>
                <c:pt idx="0">
                  <c:v>فروردین</c:v>
                </c:pt>
                <c:pt idx="1">
                  <c:v>اردیبهشت</c:v>
                </c:pt>
                <c:pt idx="2">
                  <c:v>خرداد</c:v>
                </c:pt>
                <c:pt idx="3">
                  <c:v>تیر</c:v>
                </c:pt>
                <c:pt idx="4">
                  <c:v>مرداد</c:v>
                </c:pt>
                <c:pt idx="5">
                  <c:v>شهریور</c:v>
                </c:pt>
                <c:pt idx="6">
                  <c:v>مهر</c:v>
                </c:pt>
                <c:pt idx="7">
                  <c:v>آبان</c:v>
                </c:pt>
                <c:pt idx="8">
                  <c:v>آذر</c:v>
                </c:pt>
                <c:pt idx="9">
                  <c:v>دی</c:v>
                </c:pt>
                <c:pt idx="10">
                  <c:v>بهمن</c:v>
                </c:pt>
                <c:pt idx="11">
                  <c:v>اسفند</c:v>
                </c:pt>
              </c:strCache>
            </c:strRef>
          </c:cat>
          <c:val>
            <c:numRef>
              <c:f>pivot!$H$42:$H$54</c:f>
              <c:numCache>
                <c:formatCode>#,##0</c:formatCode>
                <c:ptCount val="12"/>
                <c:pt idx="0">
                  <c:v>264536346</c:v>
                </c:pt>
                <c:pt idx="1">
                  <c:v>376075007</c:v>
                </c:pt>
                <c:pt idx="2">
                  <c:v>301624877</c:v>
                </c:pt>
                <c:pt idx="3">
                  <c:v>461116599</c:v>
                </c:pt>
                <c:pt idx="4">
                  <c:v>160966240</c:v>
                </c:pt>
                <c:pt idx="5">
                  <c:v>194268714</c:v>
                </c:pt>
                <c:pt idx="6">
                  <c:v>193467977</c:v>
                </c:pt>
                <c:pt idx="7">
                  <c:v>198888205</c:v>
                </c:pt>
                <c:pt idx="8">
                  <c:v>293544583</c:v>
                </c:pt>
                <c:pt idx="9">
                  <c:v>235238054</c:v>
                </c:pt>
                <c:pt idx="10">
                  <c:v>339357582</c:v>
                </c:pt>
                <c:pt idx="11">
                  <c:v>168992158</c:v>
                </c:pt>
              </c:numCache>
            </c:numRef>
          </c:val>
          <c:extLst>
            <c:ext xmlns:c16="http://schemas.microsoft.com/office/drawing/2014/chart" uri="{C3380CC4-5D6E-409C-BE32-E72D297353CC}">
              <c16:uniqueId val="{00000002-F218-49EF-9B49-CFBFDE726B2A}"/>
            </c:ext>
          </c:extLst>
        </c:ser>
        <c:dLbls>
          <c:showLegendKey val="0"/>
          <c:showVal val="0"/>
          <c:showCatName val="0"/>
          <c:showSerName val="0"/>
          <c:showPercent val="0"/>
          <c:showBubbleSize val="0"/>
        </c:dLbls>
        <c:gapWidth val="24"/>
        <c:overlap val="39"/>
        <c:axId val="798171167"/>
        <c:axId val="798148127"/>
      </c:barChart>
      <c:lineChart>
        <c:grouping val="standard"/>
        <c:varyColors val="0"/>
        <c:ser>
          <c:idx val="3"/>
          <c:order val="3"/>
          <c:tx>
            <c:strRef>
              <c:f>pivot!$I$41</c:f>
              <c:strCache>
                <c:ptCount val="1"/>
                <c:pt idx="0">
                  <c:v>Sum of سود به سهم</c:v>
                </c:pt>
              </c:strCache>
            </c:strRef>
          </c:tx>
          <c:spPr>
            <a:ln w="28575" cap="rnd">
              <a:solidFill>
                <a:schemeClr val="accent4"/>
              </a:solidFill>
              <a:round/>
            </a:ln>
            <a:effectLst/>
          </c:spPr>
          <c:marker>
            <c:symbol val="circle"/>
            <c:size val="8"/>
            <c:spPr>
              <a:solidFill>
                <a:srgbClr val="FF0000"/>
              </a:solidFill>
              <a:ln w="44450">
                <a:solidFill>
                  <a:srgbClr val="FFDC2D"/>
                </a:solidFill>
              </a:ln>
              <a:effectLst/>
            </c:spPr>
          </c:marker>
          <c:dLbls>
            <c:numFmt formatCode="0%" sourceLinked="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bg1"/>
                    </a:solidFill>
                    <a:latin typeface="Vazirmatn FD" pitchFamily="2" charset="-78"/>
                    <a:ea typeface="+mn-ea"/>
                    <a:cs typeface="Vazirmatn FD" pitchFamily="2" charset="-78"/>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pivot!$E$42:$E$54</c:f>
              <c:strCache>
                <c:ptCount val="12"/>
                <c:pt idx="0">
                  <c:v>فروردین</c:v>
                </c:pt>
                <c:pt idx="1">
                  <c:v>اردیبهشت</c:v>
                </c:pt>
                <c:pt idx="2">
                  <c:v>خرداد</c:v>
                </c:pt>
                <c:pt idx="3">
                  <c:v>تیر</c:v>
                </c:pt>
                <c:pt idx="4">
                  <c:v>مرداد</c:v>
                </c:pt>
                <c:pt idx="5">
                  <c:v>شهریور</c:v>
                </c:pt>
                <c:pt idx="6">
                  <c:v>مهر</c:v>
                </c:pt>
                <c:pt idx="7">
                  <c:v>آبان</c:v>
                </c:pt>
                <c:pt idx="8">
                  <c:v>آذر</c:v>
                </c:pt>
                <c:pt idx="9">
                  <c:v>دی</c:v>
                </c:pt>
                <c:pt idx="10">
                  <c:v>بهمن</c:v>
                </c:pt>
                <c:pt idx="11">
                  <c:v>اسفند</c:v>
                </c:pt>
              </c:strCache>
            </c:strRef>
          </c:cat>
          <c:val>
            <c:numRef>
              <c:f>pivot!$I$42:$I$54</c:f>
              <c:numCache>
                <c:formatCode>0.00%</c:formatCode>
                <c:ptCount val="12"/>
                <c:pt idx="0">
                  <c:v>0.46063530077935938</c:v>
                </c:pt>
                <c:pt idx="1">
                  <c:v>0.50075026756371233</c:v>
                </c:pt>
                <c:pt idx="2">
                  <c:v>0.58195992841222777</c:v>
                </c:pt>
                <c:pt idx="3">
                  <c:v>0.57566241967828002</c:v>
                </c:pt>
                <c:pt idx="4">
                  <c:v>0.47918225946942783</c:v>
                </c:pt>
                <c:pt idx="5">
                  <c:v>0.66578317188167591</c:v>
                </c:pt>
                <c:pt idx="6">
                  <c:v>0.37678217771228323</c:v>
                </c:pt>
                <c:pt idx="7">
                  <c:v>0.55297660771872847</c:v>
                </c:pt>
                <c:pt idx="8">
                  <c:v>0.70098122799456275</c:v>
                </c:pt>
                <c:pt idx="9">
                  <c:v>0.60779892685981263</c:v>
                </c:pt>
                <c:pt idx="10">
                  <c:v>0.40627497790242811</c:v>
                </c:pt>
                <c:pt idx="11">
                  <c:v>0.68528414362852552</c:v>
                </c:pt>
              </c:numCache>
            </c:numRef>
          </c:val>
          <c:smooth val="0"/>
          <c:extLst>
            <c:ext xmlns:c16="http://schemas.microsoft.com/office/drawing/2014/chart" uri="{C3380CC4-5D6E-409C-BE32-E72D297353CC}">
              <c16:uniqueId val="{00000003-F218-49EF-9B49-CFBFDE726B2A}"/>
            </c:ext>
          </c:extLst>
        </c:ser>
        <c:dLbls>
          <c:showLegendKey val="0"/>
          <c:showVal val="0"/>
          <c:showCatName val="0"/>
          <c:showSerName val="0"/>
          <c:showPercent val="0"/>
          <c:showBubbleSize val="0"/>
        </c:dLbls>
        <c:marker val="1"/>
        <c:smooth val="0"/>
        <c:axId val="744169711"/>
        <c:axId val="744203791"/>
      </c:lineChart>
      <c:catAx>
        <c:axId val="798171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800" b="0" i="0" u="none" strike="noStrike" kern="1200" baseline="0">
                <a:solidFill>
                  <a:schemeClr val="bg1"/>
                </a:solidFill>
                <a:latin typeface="Vazirmatn FD" pitchFamily="2" charset="-78"/>
                <a:ea typeface="+mn-ea"/>
                <a:cs typeface="Vazirmatn FD" pitchFamily="2" charset="-78"/>
              </a:defRPr>
            </a:pPr>
            <a:endParaRPr lang="en-US"/>
          </a:p>
        </c:txPr>
        <c:crossAx val="798148127"/>
        <c:crosses val="autoZero"/>
        <c:auto val="1"/>
        <c:lblAlgn val="ctr"/>
        <c:lblOffset val="100"/>
        <c:noMultiLvlLbl val="0"/>
      </c:catAx>
      <c:valAx>
        <c:axId val="798148127"/>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bg1"/>
                </a:solidFill>
                <a:latin typeface="Vazirmatn FD" pitchFamily="2" charset="-78"/>
                <a:ea typeface="+mn-ea"/>
                <a:cs typeface="Vazirmatn FD" pitchFamily="2" charset="-78"/>
              </a:defRPr>
            </a:pPr>
            <a:endParaRPr lang="en-US"/>
          </a:p>
        </c:txPr>
        <c:crossAx val="798171167"/>
        <c:crosses val="autoZero"/>
        <c:crossBetween val="between"/>
      </c:valAx>
      <c:valAx>
        <c:axId val="744203791"/>
        <c:scaling>
          <c:orientation val="minMax"/>
          <c:max val="1"/>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44169711"/>
        <c:crosses val="max"/>
        <c:crossBetween val="between"/>
      </c:valAx>
      <c:catAx>
        <c:axId val="744169711"/>
        <c:scaling>
          <c:orientation val="minMax"/>
        </c:scaling>
        <c:delete val="1"/>
        <c:axPos val="b"/>
        <c:numFmt formatCode="General" sourceLinked="1"/>
        <c:majorTickMark val="out"/>
        <c:minorTickMark val="none"/>
        <c:tickLblPos val="nextTo"/>
        <c:crossAx val="744203791"/>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[داشبورد حرفه ای با اکسل-مدیریت فروش.xlsx]pivot!PivotTable10</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pivot!$B$61</c:f>
              <c:strCache>
                <c:ptCount val="1"/>
                <c:pt idx="0">
                  <c:v>Sum of سود از فروش</c:v>
                </c:pt>
              </c:strCache>
            </c:strRef>
          </c:tx>
          <c:spPr>
            <a:solidFill>
              <a:srgbClr val="00B050"/>
            </a:solidFill>
            <a:ln>
              <a:noFill/>
            </a:ln>
            <a:effectLst/>
          </c:spPr>
          <c:cat>
            <c:strRef>
              <c:f>pivot!$A$62:$A$68</c:f>
              <c:strCache>
                <c:ptCount val="6"/>
                <c:pt idx="0">
                  <c:v>خودکار</c:v>
                </c:pt>
                <c:pt idx="1">
                  <c:v>دفتر</c:v>
                </c:pt>
                <c:pt idx="2">
                  <c:v>زونکن</c:v>
                </c:pt>
                <c:pt idx="3">
                  <c:v>کتاب</c:v>
                </c:pt>
                <c:pt idx="4">
                  <c:v>مداد</c:v>
                </c:pt>
                <c:pt idx="5">
                  <c:v>مدادپاکن</c:v>
                </c:pt>
              </c:strCache>
            </c:strRef>
          </c:cat>
          <c:val>
            <c:numRef>
              <c:f>pivot!$B$62:$B$68</c:f>
              <c:numCache>
                <c:formatCode>#,##0</c:formatCode>
                <c:ptCount val="6"/>
                <c:pt idx="0">
                  <c:v>1447384579</c:v>
                </c:pt>
                <c:pt idx="1">
                  <c:v>2096562705</c:v>
                </c:pt>
                <c:pt idx="2">
                  <c:v>991402464</c:v>
                </c:pt>
                <c:pt idx="3">
                  <c:v>3388792993</c:v>
                </c:pt>
                <c:pt idx="4">
                  <c:v>1513796664</c:v>
                </c:pt>
                <c:pt idx="5">
                  <c:v>1292308056</c:v>
                </c:pt>
              </c:numCache>
            </c:numRef>
          </c:val>
          <c:extLst>
            <c:ext xmlns:c16="http://schemas.microsoft.com/office/drawing/2014/chart" uri="{C3380CC4-5D6E-409C-BE32-E72D297353CC}">
              <c16:uniqueId val="{00000000-1A97-4BD1-9318-3BC424D357C2}"/>
            </c:ext>
          </c:extLst>
        </c:ser>
        <c:dLbls>
          <c:showLegendKey val="0"/>
          <c:showVal val="0"/>
          <c:showCatName val="0"/>
          <c:showSerName val="0"/>
          <c:showPercent val="0"/>
          <c:showBubbleSize val="0"/>
        </c:dLbls>
        <c:axId val="798174527"/>
        <c:axId val="798165887"/>
      </c:areaChart>
      <c:barChart>
        <c:barDir val="col"/>
        <c:grouping val="clustered"/>
        <c:varyColors val="0"/>
        <c:ser>
          <c:idx val="1"/>
          <c:order val="1"/>
          <c:tx>
            <c:strRef>
              <c:f>pivot!$C$61</c:f>
              <c:strCache>
                <c:ptCount val="1"/>
                <c:pt idx="0">
                  <c:v>Sum of سود از فروش2</c:v>
                </c:pt>
              </c:strCache>
            </c:strRef>
          </c:tx>
          <c:spPr>
            <a:solidFill>
              <a:srgbClr val="92D050"/>
            </a:solidFill>
            <a:ln>
              <a:noFill/>
            </a:ln>
            <a:effectLst/>
          </c:spPr>
          <c:invertIfNegative val="0"/>
          <c:cat>
            <c:strRef>
              <c:f>pivot!$A$62:$A$68</c:f>
              <c:strCache>
                <c:ptCount val="6"/>
                <c:pt idx="0">
                  <c:v>خودکار</c:v>
                </c:pt>
                <c:pt idx="1">
                  <c:v>دفتر</c:v>
                </c:pt>
                <c:pt idx="2">
                  <c:v>زونکن</c:v>
                </c:pt>
                <c:pt idx="3">
                  <c:v>کتاب</c:v>
                </c:pt>
                <c:pt idx="4">
                  <c:v>مداد</c:v>
                </c:pt>
                <c:pt idx="5">
                  <c:v>مدادپاکن</c:v>
                </c:pt>
              </c:strCache>
            </c:strRef>
          </c:cat>
          <c:val>
            <c:numRef>
              <c:f>pivot!$C$62:$C$68</c:f>
              <c:numCache>
                <c:formatCode>0.00%</c:formatCode>
                <c:ptCount val="6"/>
                <c:pt idx="0">
                  <c:v>0.13488827580730481</c:v>
                </c:pt>
                <c:pt idx="1">
                  <c:v>0.19538810382706792</c:v>
                </c:pt>
                <c:pt idx="2">
                  <c:v>9.2393252588380353E-2</c:v>
                </c:pt>
                <c:pt idx="3">
                  <c:v>0.31581685374143115</c:v>
                </c:pt>
                <c:pt idx="4">
                  <c:v>0.14107751657191719</c:v>
                </c:pt>
                <c:pt idx="5">
                  <c:v>0.12043599746389856</c:v>
                </c:pt>
              </c:numCache>
            </c:numRef>
          </c:val>
          <c:extLst>
            <c:ext xmlns:c16="http://schemas.microsoft.com/office/drawing/2014/chart" uri="{C3380CC4-5D6E-409C-BE32-E72D297353CC}">
              <c16:uniqueId val="{00000001-1A97-4BD1-9318-3BC424D357C2}"/>
            </c:ext>
          </c:extLst>
        </c:ser>
        <c:dLbls>
          <c:showLegendKey val="0"/>
          <c:showVal val="0"/>
          <c:showCatName val="0"/>
          <c:showSerName val="0"/>
          <c:showPercent val="0"/>
          <c:showBubbleSize val="0"/>
        </c:dLbls>
        <c:gapWidth val="219"/>
        <c:overlap val="-27"/>
        <c:axId val="786621247"/>
        <c:axId val="786613567"/>
      </c:barChart>
      <c:catAx>
        <c:axId val="798174527"/>
        <c:scaling>
          <c:orientation val="minMax"/>
        </c:scaling>
        <c:delete val="0"/>
        <c:axPos val="b"/>
        <c:numFmt formatCode="General" sourceLinked="1"/>
        <c:majorTickMark val="none"/>
        <c:minorTickMark val="none"/>
        <c:tickLblPos val="nextTo"/>
        <c:spPr>
          <a:noFill/>
          <a:ln w="9525" cap="flat" cmpd="sng" algn="ctr">
            <a:solidFill>
              <a:srgbClr val="FF0000"/>
            </a:solidFill>
            <a:round/>
          </a:ln>
          <a:effectLst/>
        </c:spPr>
        <c:txPr>
          <a:bodyPr rot="-60000000" spcFirstLastPara="1" vertOverflow="ellipsis" vert="horz" wrap="square" anchor="ctr" anchorCtr="1"/>
          <a:lstStyle/>
          <a:p>
            <a:pPr algn="ctr">
              <a:defRPr lang="en-US" sz="600" b="0" i="0" u="none" strike="noStrike" kern="1200" baseline="0">
                <a:solidFill>
                  <a:schemeClr val="bg1"/>
                </a:solidFill>
                <a:latin typeface="Vazirmatn FD" pitchFamily="2" charset="-78"/>
                <a:ea typeface="+mn-ea"/>
                <a:cs typeface="Vazirmatn FD" pitchFamily="2" charset="-78"/>
              </a:defRPr>
            </a:pPr>
            <a:endParaRPr lang="en-US"/>
          </a:p>
        </c:txPr>
        <c:crossAx val="798165887"/>
        <c:crosses val="autoZero"/>
        <c:auto val="1"/>
        <c:lblAlgn val="ctr"/>
        <c:lblOffset val="100"/>
        <c:noMultiLvlLbl val="0"/>
      </c:catAx>
      <c:valAx>
        <c:axId val="798165887"/>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Vazirmatn FD" pitchFamily="2" charset="-78"/>
                <a:ea typeface="+mn-ea"/>
                <a:cs typeface="Vazirmatn FD" pitchFamily="2" charset="-78"/>
              </a:defRPr>
            </a:pPr>
            <a:endParaRPr lang="en-US"/>
          </a:p>
        </c:txPr>
        <c:crossAx val="798174527"/>
        <c:crosses val="autoZero"/>
        <c:crossBetween val="between"/>
      </c:valAx>
      <c:valAx>
        <c:axId val="786613567"/>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100" b="0" i="0" u="none" strike="noStrike" kern="1200" baseline="0">
                <a:solidFill>
                  <a:schemeClr val="tx1"/>
                </a:solidFill>
                <a:latin typeface="+mn-lt"/>
                <a:ea typeface="+mn-ea"/>
                <a:cs typeface="+mn-cs"/>
              </a:defRPr>
            </a:pPr>
            <a:endParaRPr lang="en-US"/>
          </a:p>
        </c:txPr>
        <c:crossAx val="786621247"/>
        <c:crosses val="max"/>
        <c:crossBetween val="between"/>
      </c:valAx>
      <c:catAx>
        <c:axId val="786621247"/>
        <c:scaling>
          <c:orientation val="minMax"/>
        </c:scaling>
        <c:delete val="1"/>
        <c:axPos val="b"/>
        <c:numFmt formatCode="General" sourceLinked="1"/>
        <c:majorTickMark val="out"/>
        <c:minorTickMark val="none"/>
        <c:tickLblPos val="nextTo"/>
        <c:crossAx val="786613567"/>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[داشبورد حرفه ای با اکسل-مدیریت فروش.xlsx]pivot!PivotTable11</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Vazirmatn FD" pitchFamily="2" charset="-78"/>
              <a:ea typeface="+mn-ea"/>
              <a:cs typeface="Vazirmatn FD" pitchFamily="2" charset="-78"/>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92D05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FFC000"/>
          </a:solidFill>
          <a:ln w="25400">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00B0F0"/>
          </a:solidFill>
          <a:ln w="25400">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7030A0"/>
          </a:solidFill>
          <a:ln w="25400">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noFill/>
        <a:ln w="9525" cap="flat" cmpd="sng" algn="ctr">
          <a:solidFill>
            <a:schemeClr val="tx1">
              <a:lumMod val="15000"/>
              <a:lumOff val="85000"/>
            </a:schemeClr>
          </a:solidFill>
          <a:round/>
        </a:ln>
        <a:effectLst/>
        <a:sp3d contourW="9525">
          <a:contourClr>
            <a:schemeClr val="tx1">
              <a:lumMod val="15000"/>
              <a:lumOff val="85000"/>
            </a:schemeClr>
          </a:contourClr>
        </a:sp3d>
      </c:spPr>
    </c:floor>
    <c:sideWall>
      <c:thickness val="0"/>
      <c:spPr>
        <a:noFill/>
        <a:ln>
          <a:noFill/>
        </a:ln>
        <a:effectLst/>
        <a:sp3d/>
      </c:spPr>
    </c:sideWall>
    <c:backWall>
      <c:thickness val="0"/>
      <c:spPr>
        <a:noFill/>
        <a:ln>
          <a:noFill/>
        </a:ln>
        <a:effectLst/>
        <a:sp3d/>
      </c:spPr>
    </c:backWall>
    <c:plotArea>
      <c:layout/>
      <c:area3DChart>
        <c:grouping val="standard"/>
        <c:varyColors val="0"/>
        <c:ser>
          <c:idx val="0"/>
          <c:order val="0"/>
          <c:tx>
            <c:strRef>
              <c:f>pivot!$F$67:$F$68</c:f>
              <c:strCache>
                <c:ptCount val="1"/>
                <c:pt idx="0">
                  <c:v>بهار</c:v>
                </c:pt>
              </c:strCache>
            </c:strRef>
          </c:tx>
          <c:spPr>
            <a:solidFill>
              <a:schemeClr val="accent1"/>
            </a:solidFill>
            <a:ln>
              <a:noFill/>
            </a:ln>
            <a:effectLst/>
            <a:sp3d/>
          </c:spPr>
          <c:cat>
            <c:strRef>
              <c:f>pivot!$E$69:$E$74</c:f>
              <c:strCache>
                <c:ptCount val="6"/>
                <c:pt idx="0">
                  <c:v>1397</c:v>
                </c:pt>
                <c:pt idx="1">
                  <c:v>1398</c:v>
                </c:pt>
                <c:pt idx="2">
                  <c:v>1399</c:v>
                </c:pt>
                <c:pt idx="3">
                  <c:v>1400</c:v>
                </c:pt>
                <c:pt idx="4">
                  <c:v>1401</c:v>
                </c:pt>
                <c:pt idx="5">
                  <c:v>1402</c:v>
                </c:pt>
              </c:strCache>
            </c:strRef>
          </c:cat>
          <c:val>
            <c:numRef>
              <c:f>pivot!$F$69:$F$74</c:f>
              <c:numCache>
                <c:formatCode>#,##0</c:formatCode>
                <c:ptCount val="6"/>
                <c:pt idx="0">
                  <c:v>2349840524</c:v>
                </c:pt>
                <c:pt idx="1">
                  <c:v>2670154024</c:v>
                </c:pt>
                <c:pt idx="2">
                  <c:v>2377488560</c:v>
                </c:pt>
                <c:pt idx="3">
                  <c:v>1981438282</c:v>
                </c:pt>
                <c:pt idx="4">
                  <c:v>2416688809</c:v>
                </c:pt>
                <c:pt idx="5">
                  <c:v>2394515552</c:v>
                </c:pt>
              </c:numCache>
            </c:numRef>
          </c:val>
          <c:extLst>
            <c:ext xmlns:c16="http://schemas.microsoft.com/office/drawing/2014/chart" uri="{C3380CC4-5D6E-409C-BE32-E72D297353CC}">
              <c16:uniqueId val="{00000000-A6BC-4F9F-8F0C-7A2105450D91}"/>
            </c:ext>
          </c:extLst>
        </c:ser>
        <c:dLbls>
          <c:showLegendKey val="0"/>
          <c:showVal val="0"/>
          <c:showCatName val="0"/>
          <c:showSerName val="0"/>
          <c:showPercent val="0"/>
          <c:showBubbleSize val="0"/>
        </c:dLbls>
        <c:axId val="798186527"/>
        <c:axId val="798201407"/>
        <c:axId val="773462543"/>
      </c:area3DChart>
      <c:catAx>
        <c:axId val="79818652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bg1"/>
                </a:solidFill>
                <a:latin typeface="Vazirmatn FD" pitchFamily="2" charset="-78"/>
                <a:ea typeface="+mn-ea"/>
                <a:cs typeface="Vazirmatn FD" pitchFamily="2" charset="-78"/>
              </a:defRPr>
            </a:pPr>
            <a:endParaRPr lang="en-US"/>
          </a:p>
        </c:txPr>
        <c:crossAx val="798201407"/>
        <c:crosses val="autoZero"/>
        <c:auto val="1"/>
        <c:lblAlgn val="ctr"/>
        <c:lblOffset val="100"/>
        <c:noMultiLvlLbl val="0"/>
      </c:catAx>
      <c:valAx>
        <c:axId val="798201407"/>
        <c:scaling>
          <c:orientation val="minMax"/>
        </c:scaling>
        <c:delete val="1"/>
        <c:axPos val="l"/>
        <c:numFmt formatCode="#,##0" sourceLinked="1"/>
        <c:majorTickMark val="none"/>
        <c:minorTickMark val="none"/>
        <c:tickLblPos val="nextTo"/>
        <c:crossAx val="798186527"/>
        <c:crosses val="autoZero"/>
        <c:crossBetween val="midCat"/>
      </c:valAx>
      <c:serAx>
        <c:axId val="773462543"/>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0" i="0" u="none" strike="noStrike" kern="1200" baseline="0">
                <a:solidFill>
                  <a:schemeClr val="bg1"/>
                </a:solidFill>
                <a:latin typeface="Vazirmatn FD" pitchFamily="2" charset="-78"/>
                <a:ea typeface="+mn-ea"/>
                <a:cs typeface="Vazirmatn FD" pitchFamily="2" charset="-78"/>
              </a:defRPr>
            </a:pPr>
            <a:endParaRPr lang="en-US"/>
          </a:p>
        </c:txPr>
        <c:crossAx val="798201407"/>
        <c:crosses val="autoZero"/>
      </c:ser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[داشبورد حرفه ای با اکسل-مدیریت فروش.xlsx]pivot!PivotTable5</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DEA9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DC2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pivot!$B$21:$B$22</c:f>
              <c:strCache>
                <c:ptCount val="1"/>
                <c:pt idx="0">
                  <c:v>1401</c:v>
                </c:pt>
              </c:strCache>
            </c:strRef>
          </c:tx>
          <c:spPr>
            <a:solidFill>
              <a:srgbClr val="DEA900"/>
            </a:solidFill>
            <a:ln>
              <a:noFill/>
            </a:ln>
            <a:effectLst/>
          </c:spPr>
          <c:invertIfNegative val="0"/>
          <c:cat>
            <c:strRef>
              <c:f>pivot!$A$23:$A$28</c:f>
              <c:strCache>
                <c:ptCount val="6"/>
                <c:pt idx="0">
                  <c:v>خودکار</c:v>
                </c:pt>
                <c:pt idx="1">
                  <c:v>دفتر</c:v>
                </c:pt>
                <c:pt idx="2">
                  <c:v>زونکن</c:v>
                </c:pt>
                <c:pt idx="3">
                  <c:v>کتاب</c:v>
                </c:pt>
                <c:pt idx="4">
                  <c:v>مداد</c:v>
                </c:pt>
                <c:pt idx="5">
                  <c:v>مدادپاکن</c:v>
                </c:pt>
              </c:strCache>
            </c:strRef>
          </c:cat>
          <c:val>
            <c:numRef>
              <c:f>pivot!$B$23:$B$28</c:f>
              <c:numCache>
                <c:formatCode>#,##0</c:formatCode>
                <c:ptCount val="6"/>
                <c:pt idx="0">
                  <c:v>1164192942</c:v>
                </c:pt>
                <c:pt idx="1">
                  <c:v>1709675121</c:v>
                </c:pt>
                <c:pt idx="2">
                  <c:v>1074937548</c:v>
                </c:pt>
                <c:pt idx="3">
                  <c:v>2720119015</c:v>
                </c:pt>
                <c:pt idx="4">
                  <c:v>1083409403</c:v>
                </c:pt>
                <c:pt idx="5">
                  <c:v>1661264030</c:v>
                </c:pt>
              </c:numCache>
            </c:numRef>
          </c:val>
          <c:extLst>
            <c:ext xmlns:c16="http://schemas.microsoft.com/office/drawing/2014/chart" uri="{C3380CC4-5D6E-409C-BE32-E72D297353CC}">
              <c16:uniqueId val="{00000000-00C6-420B-9840-459812F545B1}"/>
            </c:ext>
          </c:extLst>
        </c:ser>
        <c:ser>
          <c:idx val="1"/>
          <c:order val="1"/>
          <c:tx>
            <c:strRef>
              <c:f>pivot!$C$21:$C$22</c:f>
              <c:strCache>
                <c:ptCount val="1"/>
                <c:pt idx="0">
                  <c:v>1402</c:v>
                </c:pt>
              </c:strCache>
            </c:strRef>
          </c:tx>
          <c:spPr>
            <a:solidFill>
              <a:srgbClr val="FFDC2D"/>
            </a:solidFill>
            <a:ln>
              <a:noFill/>
            </a:ln>
            <a:effectLst/>
          </c:spPr>
          <c:invertIfNegative val="0"/>
          <c:cat>
            <c:strRef>
              <c:f>pivot!$A$23:$A$28</c:f>
              <c:strCache>
                <c:ptCount val="6"/>
                <c:pt idx="0">
                  <c:v>خودکار</c:v>
                </c:pt>
                <c:pt idx="1">
                  <c:v>دفتر</c:v>
                </c:pt>
                <c:pt idx="2">
                  <c:v>زونکن</c:v>
                </c:pt>
                <c:pt idx="3">
                  <c:v>کتاب</c:v>
                </c:pt>
                <c:pt idx="4">
                  <c:v>مداد</c:v>
                </c:pt>
                <c:pt idx="5">
                  <c:v>مدادپاکن</c:v>
                </c:pt>
              </c:strCache>
            </c:strRef>
          </c:cat>
          <c:val>
            <c:numRef>
              <c:f>pivot!$C$23:$C$28</c:f>
              <c:numCache>
                <c:formatCode>#,##0</c:formatCode>
                <c:ptCount val="6"/>
                <c:pt idx="0">
                  <c:v>2237301844</c:v>
                </c:pt>
                <c:pt idx="1">
                  <c:v>1836791050</c:v>
                </c:pt>
                <c:pt idx="2">
                  <c:v>1310467183</c:v>
                </c:pt>
                <c:pt idx="3">
                  <c:v>3596991220</c:v>
                </c:pt>
                <c:pt idx="4">
                  <c:v>1418808755</c:v>
                </c:pt>
                <c:pt idx="5">
                  <c:v>2429954702</c:v>
                </c:pt>
              </c:numCache>
            </c:numRef>
          </c:val>
          <c:extLst>
            <c:ext xmlns:c16="http://schemas.microsoft.com/office/drawing/2014/chart" uri="{C3380CC4-5D6E-409C-BE32-E72D297353CC}">
              <c16:uniqueId val="{00000001-00C6-420B-9840-459812F545B1}"/>
            </c:ext>
          </c:extLst>
        </c:ser>
        <c:dLbls>
          <c:showLegendKey val="0"/>
          <c:showVal val="0"/>
          <c:showCatName val="0"/>
          <c:showSerName val="0"/>
          <c:showPercent val="0"/>
          <c:showBubbleSize val="0"/>
        </c:dLbls>
        <c:gapWidth val="182"/>
        <c:axId val="1989853711"/>
        <c:axId val="1989868111"/>
      </c:barChart>
      <c:catAx>
        <c:axId val="19898537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Vazirmatn FD" pitchFamily="2" charset="-78"/>
                <a:ea typeface="+mn-ea"/>
                <a:cs typeface="Vazirmatn FD" pitchFamily="2" charset="-78"/>
              </a:defRPr>
            </a:pPr>
            <a:endParaRPr lang="en-US"/>
          </a:p>
        </c:txPr>
        <c:crossAx val="1989868111"/>
        <c:crosses val="autoZero"/>
        <c:auto val="1"/>
        <c:lblAlgn val="ctr"/>
        <c:lblOffset val="100"/>
        <c:noMultiLvlLbl val="0"/>
      </c:catAx>
      <c:valAx>
        <c:axId val="1989868111"/>
        <c:scaling>
          <c:orientation val="minMax"/>
        </c:scaling>
        <c:delete val="1"/>
        <c:axPos val="b"/>
        <c:numFmt formatCode="#,##0" sourceLinked="1"/>
        <c:majorTickMark val="none"/>
        <c:minorTickMark val="none"/>
        <c:tickLblPos val="nextTo"/>
        <c:crossAx val="1989853711"/>
        <c:crosses val="autoZero"/>
        <c:crossBetween val="between"/>
      </c:valAx>
      <c:spPr>
        <a:noFill/>
        <a:ln>
          <a:noFill/>
        </a:ln>
        <a:effectLst/>
      </c:spPr>
    </c:plotArea>
    <c:legend>
      <c:legendPos val="b"/>
      <c:overlay val="0"/>
      <c:spPr>
        <a:solidFill>
          <a:schemeClr val="tx1"/>
        </a:solidFill>
        <a:ln w="44450" cap="rnd">
          <a:solidFill>
            <a:schemeClr val="tx1">
              <a:lumMod val="95000"/>
              <a:lumOff val="5000"/>
            </a:schemeClr>
          </a:solidFill>
        </a:ln>
        <a:effectLst/>
      </c:spPr>
      <c:txPr>
        <a:bodyPr rot="0" spcFirstLastPara="1" vertOverflow="ellipsis" vert="horz" wrap="square" anchor="ctr" anchorCtr="1"/>
        <a:lstStyle/>
        <a:p>
          <a:pPr algn="ctr">
            <a:defRPr lang="en-US" sz="900" b="0" i="0" u="none" strike="noStrike" kern="1200" baseline="0">
              <a:solidFill>
                <a:schemeClr val="bg1"/>
              </a:solidFill>
              <a:latin typeface="Vazirmatn FD" pitchFamily="2" charset="-78"/>
              <a:ea typeface="+mn-ea"/>
              <a:cs typeface="Vazirmatn FD" pitchFamily="2" charset="-78"/>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[داشبورد حرفه ای با اکسل-مدیریت فروش.xlsx]pivot!PivotTable6</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Vazirmatn FD" pitchFamily="2" charset="-78"/>
                  <a:ea typeface="+mn-ea"/>
                  <a:cs typeface="Vazirmatn FD" pitchFamily="2" charset="-78"/>
                </a:defRPr>
              </a:pPr>
              <a:endParaRPr lang="en-US"/>
            </a:p>
          </c:txPr>
          <c:showLegendKey val="0"/>
          <c:showVal val="0"/>
          <c:showCatName val="1"/>
          <c:showSerName val="0"/>
          <c:showPercent val="0"/>
          <c:showBubbleSize val="0"/>
          <c:extLst>
            <c:ext xmlns:c15="http://schemas.microsoft.com/office/drawing/2012/chart" uri="{CE6537A1-D6FC-4f65-9D91-7224C49458BB}"/>
          </c:extLst>
        </c:dLbl>
      </c:pivotFmt>
      <c:pivotFmt>
        <c:idx val="9"/>
        <c:spPr>
          <a:solidFill>
            <a:srgbClr val="7030A0"/>
          </a:solidFill>
          <a:ln w="19050">
            <a:solidFill>
              <a:srgbClr val="7030A0"/>
            </a:solidFill>
          </a:ln>
          <a:effectLst/>
        </c:spPr>
      </c:pivotFmt>
      <c:pivotFmt>
        <c:idx val="10"/>
        <c:spPr>
          <a:solidFill>
            <a:srgbClr val="002060"/>
          </a:solidFill>
          <a:ln w="19050">
            <a:solidFill>
              <a:srgbClr val="002060"/>
            </a:solidFill>
          </a:ln>
          <a:effectLst/>
        </c:spPr>
      </c:pivotFmt>
      <c:pivotFmt>
        <c:idx val="11"/>
        <c:spPr>
          <a:solidFill>
            <a:schemeClr val="bg2">
              <a:lumMod val="75000"/>
            </a:schemeClr>
          </a:solidFill>
          <a:ln w="19050">
            <a:solidFill>
              <a:schemeClr val="bg2">
                <a:lumMod val="75000"/>
              </a:schemeClr>
            </a:solidFill>
          </a:ln>
          <a:effectLst/>
        </c:spPr>
      </c:pivotFmt>
      <c:pivotFmt>
        <c:idx val="12"/>
        <c:spPr>
          <a:solidFill>
            <a:srgbClr val="FFDC2D"/>
          </a:solidFill>
          <a:ln w="19050">
            <a:solidFill>
              <a:srgbClr val="FFDC2D"/>
            </a:solidFill>
          </a:ln>
          <a:effectLst/>
        </c:spPr>
        <c:dLbl>
          <c:idx val="0"/>
          <c:layout>
            <c:manualLayout>
              <c:x val="4.6610179859019545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Vazirmatn FD" pitchFamily="2" charset="-78"/>
                  <a:ea typeface="+mn-ea"/>
                  <a:cs typeface="Vazirmatn FD" pitchFamily="2" charset="-78"/>
                </a:defRPr>
              </a:pPr>
              <a:endParaRPr lang="en-US"/>
            </a:p>
          </c:txPr>
          <c:showLegendKey val="0"/>
          <c:showVal val="0"/>
          <c:showCatName val="1"/>
          <c:showSerName val="0"/>
          <c:showPercent val="0"/>
          <c:showBubbleSize val="0"/>
          <c:extLst>
            <c:ext xmlns:c15="http://schemas.microsoft.com/office/drawing/2012/chart" uri="{CE6537A1-D6FC-4f65-9D91-7224C49458BB}"/>
          </c:extLst>
        </c:dLbl>
      </c:pivotFmt>
      <c:pivotFmt>
        <c:idx val="13"/>
        <c:spPr>
          <a:solidFill>
            <a:srgbClr val="00B0F0"/>
          </a:solidFill>
          <a:ln w="19050">
            <a:solidFill>
              <a:srgbClr val="00B0F0"/>
            </a:solidFill>
          </a:ln>
          <a:effectLst/>
        </c:spPr>
      </c:pivotFmt>
      <c:pivotFmt>
        <c:idx val="14"/>
        <c:spPr>
          <a:solidFill>
            <a:srgbClr val="92D050"/>
          </a:solidFill>
          <a:ln w="19050">
            <a:solidFill>
              <a:srgbClr val="92D050"/>
            </a:solidFill>
          </a:ln>
          <a:effectLst/>
        </c:spPr>
      </c:pivotFmt>
    </c:pivotFmts>
    <c:plotArea>
      <c:layout/>
      <c:doughnutChart>
        <c:varyColors val="1"/>
        <c:ser>
          <c:idx val="0"/>
          <c:order val="0"/>
          <c:tx>
            <c:strRef>
              <c:f>pivot!$G$22:$G$23</c:f>
              <c:strCache>
                <c:ptCount val="1"/>
                <c:pt idx="0">
                  <c:v>1402</c:v>
                </c:pt>
              </c:strCache>
            </c:strRef>
          </c:tx>
          <c:explosion val="5"/>
          <c:dPt>
            <c:idx val="0"/>
            <c:bubble3D val="0"/>
            <c:spPr>
              <a:solidFill>
                <a:srgbClr val="7030A0"/>
              </a:solidFill>
              <a:ln w="19050">
                <a:solidFill>
                  <a:srgbClr val="7030A0"/>
                </a:solidFill>
              </a:ln>
              <a:effectLst/>
            </c:spPr>
            <c:extLst>
              <c:ext xmlns:c16="http://schemas.microsoft.com/office/drawing/2014/chart" uri="{C3380CC4-5D6E-409C-BE32-E72D297353CC}">
                <c16:uniqueId val="{00000001-729F-45F0-A93F-3AF41DB83D65}"/>
              </c:ext>
            </c:extLst>
          </c:dPt>
          <c:dPt>
            <c:idx val="1"/>
            <c:bubble3D val="0"/>
            <c:spPr>
              <a:solidFill>
                <a:srgbClr val="002060"/>
              </a:solidFill>
              <a:ln w="19050">
                <a:solidFill>
                  <a:srgbClr val="002060"/>
                </a:solidFill>
              </a:ln>
              <a:effectLst/>
            </c:spPr>
            <c:extLst>
              <c:ext xmlns:c16="http://schemas.microsoft.com/office/drawing/2014/chart" uri="{C3380CC4-5D6E-409C-BE32-E72D297353CC}">
                <c16:uniqueId val="{00000003-729F-45F0-A93F-3AF41DB83D65}"/>
              </c:ext>
            </c:extLst>
          </c:dPt>
          <c:dPt>
            <c:idx val="2"/>
            <c:bubble3D val="0"/>
            <c:spPr>
              <a:solidFill>
                <a:schemeClr val="bg2">
                  <a:lumMod val="75000"/>
                </a:schemeClr>
              </a:solidFill>
              <a:ln w="19050">
                <a:solidFill>
                  <a:schemeClr val="bg2">
                    <a:lumMod val="75000"/>
                  </a:schemeClr>
                </a:solidFill>
              </a:ln>
              <a:effectLst/>
            </c:spPr>
            <c:extLst>
              <c:ext xmlns:c16="http://schemas.microsoft.com/office/drawing/2014/chart" uri="{C3380CC4-5D6E-409C-BE32-E72D297353CC}">
                <c16:uniqueId val="{00000005-729F-45F0-A93F-3AF41DB83D65}"/>
              </c:ext>
            </c:extLst>
          </c:dPt>
          <c:dPt>
            <c:idx val="3"/>
            <c:bubble3D val="0"/>
            <c:spPr>
              <a:solidFill>
                <a:srgbClr val="FFDC2D"/>
              </a:solidFill>
              <a:ln w="19050">
                <a:solidFill>
                  <a:srgbClr val="FFDC2D"/>
                </a:solidFill>
              </a:ln>
              <a:effectLst/>
            </c:spPr>
            <c:extLst>
              <c:ext xmlns:c16="http://schemas.microsoft.com/office/drawing/2014/chart" uri="{C3380CC4-5D6E-409C-BE32-E72D297353CC}">
                <c16:uniqueId val="{00000007-729F-45F0-A93F-3AF41DB83D65}"/>
              </c:ext>
            </c:extLst>
          </c:dPt>
          <c:dPt>
            <c:idx val="4"/>
            <c:bubble3D val="0"/>
            <c:spPr>
              <a:solidFill>
                <a:srgbClr val="00B0F0"/>
              </a:solidFill>
              <a:ln w="19050">
                <a:solidFill>
                  <a:srgbClr val="00B0F0"/>
                </a:solidFill>
              </a:ln>
              <a:effectLst/>
            </c:spPr>
            <c:extLst>
              <c:ext xmlns:c16="http://schemas.microsoft.com/office/drawing/2014/chart" uri="{C3380CC4-5D6E-409C-BE32-E72D297353CC}">
                <c16:uniqueId val="{00000009-729F-45F0-A93F-3AF41DB83D65}"/>
              </c:ext>
            </c:extLst>
          </c:dPt>
          <c:dPt>
            <c:idx val="5"/>
            <c:bubble3D val="0"/>
            <c:spPr>
              <a:solidFill>
                <a:srgbClr val="92D050"/>
              </a:solidFill>
              <a:ln w="19050">
                <a:solidFill>
                  <a:srgbClr val="92D050"/>
                </a:solidFill>
              </a:ln>
              <a:effectLst/>
            </c:spPr>
            <c:extLst>
              <c:ext xmlns:c16="http://schemas.microsoft.com/office/drawing/2014/chart" uri="{C3380CC4-5D6E-409C-BE32-E72D297353CC}">
                <c16:uniqueId val="{0000000B-729F-45F0-A93F-3AF41DB83D65}"/>
              </c:ext>
            </c:extLst>
          </c:dPt>
          <c:dLbls>
            <c:dLbl>
              <c:idx val="3"/>
              <c:layout>
                <c:manualLayout>
                  <c:x val="4.6610179859019545E-2"/>
                  <c:y val="0"/>
                </c:manualLayout>
              </c:layout>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29F-45F0-A93F-3AF41DB83D6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Vazirmatn FD" pitchFamily="2" charset="-78"/>
                    <a:ea typeface="+mn-ea"/>
                    <a:cs typeface="Vazirmatn FD" pitchFamily="2" charset="-78"/>
                  </a:defRPr>
                </a:pPr>
                <a:endParaRPr lang="en-US"/>
              </a:p>
            </c:txPr>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pivot!$F$24:$F$29</c:f>
              <c:strCache>
                <c:ptCount val="6"/>
                <c:pt idx="0">
                  <c:v>خودکار</c:v>
                </c:pt>
                <c:pt idx="1">
                  <c:v>دفتر</c:v>
                </c:pt>
                <c:pt idx="2">
                  <c:v>زونکن</c:v>
                </c:pt>
                <c:pt idx="3">
                  <c:v>کتاب</c:v>
                </c:pt>
                <c:pt idx="4">
                  <c:v>مداد</c:v>
                </c:pt>
                <c:pt idx="5">
                  <c:v>مدادپاکن</c:v>
                </c:pt>
              </c:strCache>
            </c:strRef>
          </c:cat>
          <c:val>
            <c:numRef>
              <c:f>pivot!$G$24:$G$29</c:f>
              <c:numCache>
                <c:formatCode>0.00%</c:formatCode>
                <c:ptCount val="6"/>
                <c:pt idx="0">
                  <c:v>0.17437622434808117</c:v>
                </c:pt>
                <c:pt idx="1">
                  <c:v>0.14316024861567475</c:v>
                </c:pt>
                <c:pt idx="2">
                  <c:v>0.10213835031533007</c:v>
                </c:pt>
                <c:pt idx="3">
                  <c:v>0.28035097259625652</c:v>
                </c:pt>
                <c:pt idx="4">
                  <c:v>0.11058253692160357</c:v>
                </c:pt>
                <c:pt idx="5">
                  <c:v>0.18939166720305387</c:v>
                </c:pt>
              </c:numCache>
            </c:numRef>
          </c:val>
          <c:extLst>
            <c:ext xmlns:c16="http://schemas.microsoft.com/office/drawing/2014/chart" uri="{C3380CC4-5D6E-409C-BE32-E72D297353CC}">
              <c16:uniqueId val="{0000000C-729F-45F0-A93F-3AF41DB83D65}"/>
            </c:ext>
          </c:extLst>
        </c:ser>
        <c:dLbls>
          <c:showLegendKey val="0"/>
          <c:showVal val="0"/>
          <c:showCatName val="0"/>
          <c:showSerName val="0"/>
          <c:showPercent val="0"/>
          <c:showBubbleSize val="0"/>
          <c:showLeaderLines val="1"/>
        </c:dLbls>
        <c:firstSliceAng val="0"/>
        <c:holeSize val="53"/>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[داشبورد حرفه ای با اکسل-مدیریت فروش.xlsx]pivot!PivotTable8</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FFDC2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pivot!$B$32</c:f>
              <c:strCache>
                <c:ptCount val="1"/>
                <c:pt idx="0">
                  <c:v>Total</c:v>
                </c:pt>
              </c:strCache>
            </c:strRef>
          </c:tx>
          <c:spPr>
            <a:solidFill>
              <a:srgbClr val="FFDC2D"/>
            </a:solidFill>
            <a:ln>
              <a:noFill/>
            </a:ln>
            <a:effectLst/>
          </c:spPr>
          <c:invertIfNegative val="0"/>
          <c:cat>
            <c:strRef>
              <c:f>pivot!$A$33:$A$39</c:f>
              <c:strCache>
                <c:ptCount val="6"/>
                <c:pt idx="0">
                  <c:v>1397</c:v>
                </c:pt>
                <c:pt idx="1">
                  <c:v>1398</c:v>
                </c:pt>
                <c:pt idx="2">
                  <c:v>1399</c:v>
                </c:pt>
                <c:pt idx="3">
                  <c:v>1400</c:v>
                </c:pt>
                <c:pt idx="4">
                  <c:v>1401</c:v>
                </c:pt>
                <c:pt idx="5">
                  <c:v>1402</c:v>
                </c:pt>
              </c:strCache>
            </c:strRef>
          </c:cat>
          <c:val>
            <c:numRef>
              <c:f>pivot!$B$33:$B$39</c:f>
              <c:numCache>
                <c:formatCode>#,##0</c:formatCode>
                <c:ptCount val="6"/>
                <c:pt idx="0">
                  <c:v>16633719095</c:v>
                </c:pt>
                <c:pt idx="1">
                  <c:v>19833530605</c:v>
                </c:pt>
                <c:pt idx="2">
                  <c:v>19926430615</c:v>
                </c:pt>
                <c:pt idx="3">
                  <c:v>19436166890</c:v>
                </c:pt>
                <c:pt idx="4">
                  <c:v>20828066840</c:v>
                </c:pt>
                <c:pt idx="5">
                  <c:v>25807613162.333328</c:v>
                </c:pt>
              </c:numCache>
            </c:numRef>
          </c:val>
          <c:extLst>
            <c:ext xmlns:c16="http://schemas.microsoft.com/office/drawing/2014/chart" uri="{C3380CC4-5D6E-409C-BE32-E72D297353CC}">
              <c16:uniqueId val="{00000000-C1CC-40E2-B668-50A9C7C897B2}"/>
            </c:ext>
          </c:extLst>
        </c:ser>
        <c:dLbls>
          <c:showLegendKey val="0"/>
          <c:showVal val="0"/>
          <c:showCatName val="0"/>
          <c:showSerName val="0"/>
          <c:showPercent val="0"/>
          <c:showBubbleSize val="0"/>
        </c:dLbls>
        <c:gapWidth val="67"/>
        <c:overlap val="-27"/>
        <c:axId val="1989889711"/>
        <c:axId val="1989903151"/>
      </c:barChart>
      <c:catAx>
        <c:axId val="1989889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900" b="0" i="0" u="none" strike="noStrike" kern="1200" baseline="0">
                <a:solidFill>
                  <a:schemeClr val="bg1"/>
                </a:solidFill>
                <a:latin typeface="Vazirmatn FD" pitchFamily="2" charset="-78"/>
                <a:ea typeface="+mn-ea"/>
                <a:cs typeface="Vazirmatn FD" pitchFamily="2" charset="-78"/>
              </a:defRPr>
            </a:pPr>
            <a:endParaRPr lang="en-US"/>
          </a:p>
        </c:txPr>
        <c:crossAx val="1989903151"/>
        <c:crosses val="autoZero"/>
        <c:auto val="1"/>
        <c:lblAlgn val="ctr"/>
        <c:lblOffset val="100"/>
        <c:noMultiLvlLbl val="0"/>
      </c:catAx>
      <c:valAx>
        <c:axId val="1989903151"/>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lgn="ctr">
              <a:defRPr lang="en-US" sz="900" b="0" i="0" u="none" strike="noStrike" kern="1200" baseline="0">
                <a:solidFill>
                  <a:schemeClr val="bg1"/>
                </a:solidFill>
                <a:latin typeface="Vazirmatn FD" pitchFamily="2" charset="-78"/>
                <a:ea typeface="+mn-ea"/>
                <a:cs typeface="Vazirmatn FD" pitchFamily="2" charset="-78"/>
              </a:defRPr>
            </a:pPr>
            <a:endParaRPr lang="en-US"/>
          </a:p>
        </c:txPr>
        <c:crossAx val="1989889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[داشبورد حرفه ای با اکسل-مدیریت فروش.xlsx]pivot!PivotTable8</c:name>
    <c:fmtId val="7"/>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DEA900"/>
            </a:solidFill>
            <a:round/>
          </a:ln>
          <a:effectLst/>
        </c:spPr>
        <c:marker>
          <c:symbol val="circle"/>
          <c:size val="5"/>
          <c:spPr>
            <a:solidFill>
              <a:srgbClr val="FF0000"/>
            </a:solidFill>
            <a:ln w="9525">
              <a:solidFill>
                <a:srgbClr val="DEA9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rgbClr val="DEA900"/>
            </a:solidFill>
            <a:round/>
          </a:ln>
          <a:effectLst/>
        </c:spPr>
        <c:marker>
          <c:symbol val="circle"/>
          <c:size val="5"/>
          <c:spPr>
            <a:solidFill>
              <a:srgbClr val="FF0000"/>
            </a:solidFill>
            <a:ln w="9525">
              <a:solidFill>
                <a:srgbClr val="DEA900"/>
              </a:solidFill>
            </a:ln>
            <a:effectLst/>
          </c:spPr>
        </c:marker>
      </c:pivotFmt>
    </c:pivotFmts>
    <c:plotArea>
      <c:layout/>
      <c:lineChart>
        <c:grouping val="standard"/>
        <c:varyColors val="0"/>
        <c:ser>
          <c:idx val="0"/>
          <c:order val="0"/>
          <c:tx>
            <c:strRef>
              <c:f>pivot!$B$32</c:f>
              <c:strCache>
                <c:ptCount val="1"/>
                <c:pt idx="0">
                  <c:v>Total</c:v>
                </c:pt>
              </c:strCache>
            </c:strRef>
          </c:tx>
          <c:spPr>
            <a:ln w="28575" cap="rnd">
              <a:solidFill>
                <a:srgbClr val="DEA900"/>
              </a:solidFill>
              <a:round/>
            </a:ln>
            <a:effectLst/>
          </c:spPr>
          <c:marker>
            <c:symbol val="circle"/>
            <c:size val="5"/>
            <c:spPr>
              <a:solidFill>
                <a:srgbClr val="FF0000"/>
              </a:solidFill>
              <a:ln w="9525">
                <a:solidFill>
                  <a:srgbClr val="DEA900"/>
                </a:solidFill>
              </a:ln>
              <a:effectLst/>
            </c:spPr>
          </c:marker>
          <c:cat>
            <c:strRef>
              <c:f>pivot!$A$33:$A$39</c:f>
              <c:strCache>
                <c:ptCount val="6"/>
                <c:pt idx="0">
                  <c:v>1397</c:v>
                </c:pt>
                <c:pt idx="1">
                  <c:v>1398</c:v>
                </c:pt>
                <c:pt idx="2">
                  <c:v>1399</c:v>
                </c:pt>
                <c:pt idx="3">
                  <c:v>1400</c:v>
                </c:pt>
                <c:pt idx="4">
                  <c:v>1401</c:v>
                </c:pt>
                <c:pt idx="5">
                  <c:v>1402</c:v>
                </c:pt>
              </c:strCache>
            </c:strRef>
          </c:cat>
          <c:val>
            <c:numRef>
              <c:f>pivot!$B$33:$B$39</c:f>
              <c:numCache>
                <c:formatCode>#,##0</c:formatCode>
                <c:ptCount val="6"/>
                <c:pt idx="0">
                  <c:v>16633719095</c:v>
                </c:pt>
                <c:pt idx="1">
                  <c:v>19833530605</c:v>
                </c:pt>
                <c:pt idx="2">
                  <c:v>19926430615</c:v>
                </c:pt>
                <c:pt idx="3">
                  <c:v>19436166890</c:v>
                </c:pt>
                <c:pt idx="4">
                  <c:v>20828066840</c:v>
                </c:pt>
                <c:pt idx="5">
                  <c:v>25807613162.333328</c:v>
                </c:pt>
              </c:numCache>
            </c:numRef>
          </c:val>
          <c:smooth val="0"/>
          <c:extLst>
            <c:ext xmlns:c16="http://schemas.microsoft.com/office/drawing/2014/chart" uri="{C3380CC4-5D6E-409C-BE32-E72D297353CC}">
              <c16:uniqueId val="{00000000-E896-4CD5-9E5C-A6130EAC5800}"/>
            </c:ext>
          </c:extLst>
        </c:ser>
        <c:dLbls>
          <c:showLegendKey val="0"/>
          <c:showVal val="0"/>
          <c:showCatName val="0"/>
          <c:showSerName val="0"/>
          <c:showPercent val="0"/>
          <c:showBubbleSize val="0"/>
        </c:dLbls>
        <c:marker val="1"/>
        <c:smooth val="0"/>
        <c:axId val="1989892591"/>
        <c:axId val="1989891631"/>
      </c:lineChart>
      <c:catAx>
        <c:axId val="1989892591"/>
        <c:scaling>
          <c:orientation val="minMax"/>
        </c:scaling>
        <c:delete val="0"/>
        <c:axPos val="b"/>
        <c:numFmt formatCode="General" sourceLinked="1"/>
        <c:majorTickMark val="none"/>
        <c:minorTickMark val="none"/>
        <c:tickLblPos val="nextTo"/>
        <c:spPr>
          <a:noFill/>
          <a:ln w="9525" cap="flat" cmpd="sng" algn="ctr">
            <a:solidFill>
              <a:srgbClr val="FF0000"/>
            </a:solidFill>
            <a:round/>
          </a:ln>
          <a:effectLst/>
        </c:spPr>
        <c:txPr>
          <a:bodyPr rot="-60000000" spcFirstLastPara="1" vertOverflow="ellipsis" vert="horz" wrap="square" anchor="ctr" anchorCtr="1"/>
          <a:lstStyle/>
          <a:p>
            <a:pPr algn="ctr">
              <a:defRPr lang="en-US" sz="900" b="0" i="0" u="none" strike="noStrike" kern="1200" baseline="0">
                <a:solidFill>
                  <a:schemeClr val="bg1"/>
                </a:solidFill>
                <a:latin typeface="Vazirmatn FD" pitchFamily="2" charset="-78"/>
                <a:ea typeface="+mn-ea"/>
                <a:cs typeface="Vazirmatn FD" pitchFamily="2" charset="-78"/>
              </a:defRPr>
            </a:pPr>
            <a:endParaRPr lang="en-US"/>
          </a:p>
        </c:txPr>
        <c:crossAx val="1989891631"/>
        <c:crosses val="autoZero"/>
        <c:auto val="1"/>
        <c:lblAlgn val="ctr"/>
        <c:lblOffset val="100"/>
        <c:noMultiLvlLbl val="0"/>
      </c:catAx>
      <c:valAx>
        <c:axId val="198989163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900" b="0" i="0" u="none" strike="noStrike" kern="1200" baseline="0">
                <a:solidFill>
                  <a:schemeClr val="bg1"/>
                </a:solidFill>
                <a:latin typeface="Vazirmatn FD" pitchFamily="2" charset="-78"/>
                <a:ea typeface="+mn-ea"/>
                <a:cs typeface="Vazirmatn FD" pitchFamily="2" charset="-78"/>
              </a:defRPr>
            </a:pPr>
            <a:endParaRPr lang="en-US"/>
          </a:p>
        </c:txPr>
        <c:crossAx val="19898925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9.svg"/><Relationship Id="rId13" Type="http://schemas.openxmlformats.org/officeDocument/2006/relationships/chart" Target="../charts/chart6.xml"/><Relationship Id="rId3" Type="http://schemas.openxmlformats.org/officeDocument/2006/relationships/image" Target="../media/image5.svg"/><Relationship Id="rId7" Type="http://schemas.openxmlformats.org/officeDocument/2006/relationships/image" Target="../media/image8.png"/><Relationship Id="rId12" Type="http://schemas.openxmlformats.org/officeDocument/2006/relationships/chart" Target="../charts/chart5.xml"/><Relationship Id="rId2" Type="http://schemas.openxmlformats.org/officeDocument/2006/relationships/image" Target="../media/image4.png"/><Relationship Id="rId1" Type="http://schemas.openxmlformats.org/officeDocument/2006/relationships/hyperlink" Target="#'G1'!A1"/><Relationship Id="rId6" Type="http://schemas.openxmlformats.org/officeDocument/2006/relationships/hyperlink" Target="#'G3'!A1"/><Relationship Id="rId11" Type="http://schemas.openxmlformats.org/officeDocument/2006/relationships/chart" Target="../charts/chart4.xml"/><Relationship Id="rId5" Type="http://schemas.openxmlformats.org/officeDocument/2006/relationships/image" Target="../media/image7.svg"/><Relationship Id="rId10" Type="http://schemas.openxmlformats.org/officeDocument/2006/relationships/image" Target="../media/image11.svg"/><Relationship Id="rId4" Type="http://schemas.openxmlformats.org/officeDocument/2006/relationships/image" Target="../media/image6.png"/><Relationship Id="rId9" Type="http://schemas.openxmlformats.org/officeDocument/2006/relationships/image" Target="../media/image10.png"/><Relationship Id="rId1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1</xdr:col>
      <xdr:colOff>123117</xdr:colOff>
      <xdr:row>5</xdr:row>
      <xdr:rowOff>37938</xdr:rowOff>
    </xdr:from>
    <xdr:to>
      <xdr:col>3</xdr:col>
      <xdr:colOff>409248</xdr:colOff>
      <xdr:row>16</xdr:row>
      <xdr:rowOff>30875</xdr:rowOff>
    </xdr:to>
    <xdr:sp macro="" textlink="">
      <xdr:nvSpPr>
        <xdr:cNvPr id="12" name="Rectangle: Rounded Corners 11">
          <a:extLst>
            <a:ext uri="{FF2B5EF4-FFF2-40B4-BE49-F238E27FC236}">
              <a16:creationId xmlns:a16="http://schemas.microsoft.com/office/drawing/2014/main" id="{72634BD8-C122-434C-B557-2038A4E626EA}"/>
            </a:ext>
          </a:extLst>
        </xdr:cNvPr>
        <xdr:cNvSpPr/>
      </xdr:nvSpPr>
      <xdr:spPr>
        <a:xfrm>
          <a:off x="9985448352" y="952338"/>
          <a:ext cx="1505331" cy="2004617"/>
        </a:xfrm>
        <a:prstGeom prst="roundRect">
          <a:avLst>
            <a:gd name="adj" fmla="val 5457"/>
          </a:avLst>
        </a:prstGeom>
        <a:gradFill flip="none" rotWithShape="1">
          <a:gsLst>
            <a:gs pos="0">
              <a:schemeClr val="tx1">
                <a:lumMod val="95000"/>
                <a:lumOff val="5000"/>
              </a:schemeClr>
            </a:gs>
            <a:gs pos="100000">
              <a:schemeClr val="tx1">
                <a:lumMod val="85000"/>
                <a:lumOff val="15000"/>
              </a:schemeClr>
            </a:gs>
          </a:gsLst>
          <a:lin ang="13500000" scaled="1"/>
          <a:tileRect/>
        </a:gradFill>
        <a:ln w="3175">
          <a:solidFill>
            <a:schemeClr val="bg1">
              <a:lumMod val="50000"/>
            </a:schemeClr>
          </a:solid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200"/>
        </a:p>
      </xdr:txBody>
    </xdr:sp>
    <xdr:clientData/>
  </xdr:twoCellAnchor>
  <xdr:twoCellAnchor>
    <xdr:from>
      <xdr:col>11</xdr:col>
      <xdr:colOff>280098</xdr:colOff>
      <xdr:row>16</xdr:row>
      <xdr:rowOff>174483</xdr:rowOff>
    </xdr:from>
    <xdr:to>
      <xdr:col>16</xdr:col>
      <xdr:colOff>350520</xdr:colOff>
      <xdr:row>25</xdr:row>
      <xdr:rowOff>98181</xdr:rowOff>
    </xdr:to>
    <xdr:sp macro="" textlink="">
      <xdr:nvSpPr>
        <xdr:cNvPr id="13" name="Rectangle: Rounded Corners 12">
          <a:extLst>
            <a:ext uri="{FF2B5EF4-FFF2-40B4-BE49-F238E27FC236}">
              <a16:creationId xmlns:a16="http://schemas.microsoft.com/office/drawing/2014/main" id="{564693A5-1795-436B-98D5-90B1A5682679}"/>
            </a:ext>
          </a:extLst>
        </xdr:cNvPr>
        <xdr:cNvSpPr/>
      </xdr:nvSpPr>
      <xdr:spPr>
        <a:xfrm>
          <a:off x="9977582280" y="3100563"/>
          <a:ext cx="3118422" cy="1569618"/>
        </a:xfrm>
        <a:prstGeom prst="roundRect">
          <a:avLst>
            <a:gd name="adj" fmla="val 4182"/>
          </a:avLst>
        </a:prstGeom>
        <a:gradFill flip="none" rotWithShape="1">
          <a:gsLst>
            <a:gs pos="0">
              <a:schemeClr val="tx1">
                <a:lumMod val="95000"/>
                <a:lumOff val="5000"/>
              </a:schemeClr>
            </a:gs>
            <a:gs pos="100000">
              <a:schemeClr val="tx1">
                <a:lumMod val="85000"/>
                <a:lumOff val="15000"/>
              </a:schemeClr>
            </a:gs>
          </a:gsLst>
          <a:lin ang="13500000" scaled="1"/>
          <a:tileRect/>
        </a:gradFill>
        <a:ln w="3175">
          <a:solidFill>
            <a:schemeClr val="bg1">
              <a:lumMod val="50000"/>
            </a:schemeClr>
          </a:solid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a:p>
      </xdr:txBody>
    </xdr:sp>
    <xdr:clientData/>
  </xdr:twoCellAnchor>
  <xdr:twoCellAnchor>
    <xdr:from>
      <xdr:col>3</xdr:col>
      <xdr:colOff>525780</xdr:colOff>
      <xdr:row>5</xdr:row>
      <xdr:rowOff>60960</xdr:rowOff>
    </xdr:from>
    <xdr:to>
      <xdr:col>16</xdr:col>
      <xdr:colOff>373444</xdr:colOff>
      <xdr:row>16</xdr:row>
      <xdr:rowOff>76543</xdr:rowOff>
    </xdr:to>
    <xdr:sp macro="" textlink="">
      <xdr:nvSpPr>
        <xdr:cNvPr id="19" name="Rectangle: Rounded Corners 18">
          <a:extLst>
            <a:ext uri="{FF2B5EF4-FFF2-40B4-BE49-F238E27FC236}">
              <a16:creationId xmlns:a16="http://schemas.microsoft.com/office/drawing/2014/main" id="{61D1D75E-E1CF-487C-9BD2-92340721E726}"/>
            </a:ext>
          </a:extLst>
        </xdr:cNvPr>
        <xdr:cNvSpPr/>
      </xdr:nvSpPr>
      <xdr:spPr>
        <a:xfrm>
          <a:off x="9977559356" y="975360"/>
          <a:ext cx="7772464" cy="2027263"/>
        </a:xfrm>
        <a:prstGeom prst="roundRect">
          <a:avLst>
            <a:gd name="adj" fmla="val 4182"/>
          </a:avLst>
        </a:prstGeom>
        <a:gradFill flip="none" rotWithShape="1">
          <a:gsLst>
            <a:gs pos="0">
              <a:schemeClr val="tx1">
                <a:lumMod val="95000"/>
                <a:lumOff val="5000"/>
              </a:schemeClr>
            </a:gs>
            <a:gs pos="100000">
              <a:schemeClr val="tx1">
                <a:lumMod val="85000"/>
                <a:lumOff val="15000"/>
              </a:schemeClr>
            </a:gs>
          </a:gsLst>
          <a:lin ang="13500000" scaled="1"/>
          <a:tileRect/>
        </a:gradFill>
        <a:ln w="3175">
          <a:solidFill>
            <a:schemeClr val="bg1">
              <a:lumMod val="50000"/>
            </a:schemeClr>
          </a:solid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a:p>
      </xdr:txBody>
    </xdr:sp>
    <xdr:clientData/>
  </xdr:twoCellAnchor>
  <xdr:twoCellAnchor>
    <xdr:from>
      <xdr:col>1</xdr:col>
      <xdr:colOff>172283</xdr:colOff>
      <xdr:row>5</xdr:row>
      <xdr:rowOff>99060</xdr:rowOff>
    </xdr:from>
    <xdr:to>
      <xdr:col>3</xdr:col>
      <xdr:colOff>383011</xdr:colOff>
      <xdr:row>8</xdr:row>
      <xdr:rowOff>127961</xdr:rowOff>
    </xdr:to>
    <xdr:grpSp>
      <xdr:nvGrpSpPr>
        <xdr:cNvPr id="20" name="Group 19">
          <a:extLst>
            <a:ext uri="{FF2B5EF4-FFF2-40B4-BE49-F238E27FC236}">
              <a16:creationId xmlns:a16="http://schemas.microsoft.com/office/drawing/2014/main" id="{CDBF7F0B-70AD-4181-B6B1-FB4D74779568}"/>
            </a:ext>
          </a:extLst>
        </xdr:cNvPr>
        <xdr:cNvGrpSpPr/>
      </xdr:nvGrpSpPr>
      <xdr:grpSpPr>
        <a:xfrm>
          <a:off x="9985474589" y="1013460"/>
          <a:ext cx="1429928" cy="577541"/>
          <a:chOff x="15033434203" y="2711899"/>
          <a:chExt cx="3169844" cy="1960214"/>
        </a:xfrm>
      </xdr:grpSpPr>
      <xdr:sp macro="" textlink="">
        <xdr:nvSpPr>
          <xdr:cNvPr id="21" name="Rectangle: Rounded Corners 20">
            <a:extLst>
              <a:ext uri="{FF2B5EF4-FFF2-40B4-BE49-F238E27FC236}">
                <a16:creationId xmlns:a16="http://schemas.microsoft.com/office/drawing/2014/main" id="{E0242B75-5F9C-2583-2955-70F66B6D5F7D}"/>
              </a:ext>
            </a:extLst>
          </xdr:cNvPr>
          <xdr:cNvSpPr/>
        </xdr:nvSpPr>
        <xdr:spPr>
          <a:xfrm>
            <a:off x="15033593249" y="2720668"/>
            <a:ext cx="2876900" cy="1951445"/>
          </a:xfrm>
          <a:prstGeom prst="roundRect">
            <a:avLst>
              <a:gd name="adj" fmla="val 14823"/>
            </a:avLst>
          </a:prstGeom>
          <a:gradFill flip="none" rotWithShape="1">
            <a:gsLst>
              <a:gs pos="0">
                <a:schemeClr val="tx1">
                  <a:lumMod val="65000"/>
                  <a:lumOff val="35000"/>
                </a:schemeClr>
              </a:gs>
              <a:gs pos="86000">
                <a:srgbClr val="013220"/>
              </a:gs>
            </a:gsLst>
            <a:lin ang="0" scaled="1"/>
            <a:tileRect/>
          </a:gradFill>
          <a:ln w="3175">
            <a:solidFill>
              <a:schemeClr val="bg1">
                <a:lumMod val="50000"/>
              </a:schemeClr>
            </a:solid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800"/>
          </a:p>
        </xdr:txBody>
      </xdr:sp>
      <xdr:sp macro="" textlink="">
        <xdr:nvSpPr>
          <xdr:cNvPr id="22" name="Rectangle: Top Corners Rounded 21">
            <a:extLst>
              <a:ext uri="{FF2B5EF4-FFF2-40B4-BE49-F238E27FC236}">
                <a16:creationId xmlns:a16="http://schemas.microsoft.com/office/drawing/2014/main" id="{696F48FF-F0B4-B459-E4BA-9F8454F30BEA}"/>
              </a:ext>
            </a:extLst>
          </xdr:cNvPr>
          <xdr:cNvSpPr/>
        </xdr:nvSpPr>
        <xdr:spPr>
          <a:xfrm>
            <a:off x="15033434203" y="2711899"/>
            <a:ext cx="3169844" cy="688745"/>
          </a:xfrm>
          <a:prstGeom prst="round2SameRect">
            <a:avLst>
              <a:gd name="adj1" fmla="val 50000"/>
              <a:gd name="adj2" fmla="val 0"/>
            </a:avLst>
          </a:prstGeom>
          <a:gradFill flip="none" rotWithShape="1">
            <a:gsLst>
              <a:gs pos="0">
                <a:schemeClr val="tx1">
                  <a:lumMod val="65000"/>
                  <a:lumOff val="35000"/>
                </a:schemeClr>
              </a:gs>
              <a:gs pos="100000">
                <a:srgbClr val="013220">
                  <a:lumMod val="85000"/>
                  <a:lumOff val="15000"/>
                </a:srgbClr>
              </a:gs>
            </a:gsLst>
            <a:lin ang="0" scaled="1"/>
            <a:tileRect/>
          </a:gradFill>
          <a:ln w="3175">
            <a:solidFill>
              <a:schemeClr val="bg1">
                <a:lumMod val="50000"/>
              </a:schemeClr>
            </a:solid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tIns="0" rtlCol="0" anchor="ctr"/>
          <a:lstStyle/>
          <a:p>
            <a:pPr marL="0" indent="0" algn="ctr" rtl="1"/>
            <a:r>
              <a:rPr lang="fa-IR" sz="800" b="1">
                <a:solidFill>
                  <a:schemeClr val="lt1"/>
                </a:solidFill>
                <a:latin typeface="Vazirmatn FD Black" pitchFamily="2" charset="-78"/>
                <a:ea typeface="+mn-ea"/>
                <a:cs typeface="Vazirmatn FD Black" pitchFamily="2" charset="-78"/>
              </a:rPr>
              <a:t>میــــــزان</a:t>
            </a:r>
            <a:r>
              <a:rPr lang="fa-IR" sz="800" b="1" baseline="0">
                <a:solidFill>
                  <a:schemeClr val="lt1"/>
                </a:solidFill>
                <a:latin typeface="Vazirmatn FD Black" pitchFamily="2" charset="-78"/>
                <a:ea typeface="+mn-ea"/>
                <a:cs typeface="Vazirmatn FD Black" pitchFamily="2" charset="-78"/>
              </a:rPr>
              <a:t> فـــــروش</a:t>
            </a:r>
            <a:endParaRPr lang="en-GB" sz="800" b="1">
              <a:solidFill>
                <a:schemeClr val="lt1"/>
              </a:solidFill>
              <a:latin typeface="Vazirmatn FD Black" pitchFamily="2" charset="-78"/>
              <a:ea typeface="+mn-ea"/>
              <a:cs typeface="Vazirmatn FD Black" pitchFamily="2" charset="-78"/>
            </a:endParaRPr>
          </a:p>
        </xdr:txBody>
      </xdr:sp>
    </xdr:grpSp>
    <xdr:clientData/>
  </xdr:twoCellAnchor>
  <xdr:twoCellAnchor>
    <xdr:from>
      <xdr:col>1</xdr:col>
      <xdr:colOff>167704</xdr:colOff>
      <xdr:row>9</xdr:row>
      <xdr:rowOff>10495</xdr:rowOff>
    </xdr:from>
    <xdr:to>
      <xdr:col>3</xdr:col>
      <xdr:colOff>378432</xdr:colOff>
      <xdr:row>12</xdr:row>
      <xdr:rowOff>39398</xdr:rowOff>
    </xdr:to>
    <xdr:grpSp>
      <xdr:nvGrpSpPr>
        <xdr:cNvPr id="23" name="Group 22">
          <a:extLst>
            <a:ext uri="{FF2B5EF4-FFF2-40B4-BE49-F238E27FC236}">
              <a16:creationId xmlns:a16="http://schemas.microsoft.com/office/drawing/2014/main" id="{E9F0EE44-D4FD-4570-9550-CCBA759BEC4E}"/>
            </a:ext>
          </a:extLst>
        </xdr:cNvPr>
        <xdr:cNvGrpSpPr/>
      </xdr:nvGrpSpPr>
      <xdr:grpSpPr>
        <a:xfrm>
          <a:off x="9985479168" y="1656415"/>
          <a:ext cx="1429928" cy="577543"/>
          <a:chOff x="15033443617" y="4235902"/>
          <a:chExt cx="3169884" cy="1958677"/>
        </a:xfrm>
      </xdr:grpSpPr>
      <xdr:sp macro="" textlink="">
        <xdr:nvSpPr>
          <xdr:cNvPr id="24" name="Rectangle: Rounded Corners 23">
            <a:extLst>
              <a:ext uri="{FF2B5EF4-FFF2-40B4-BE49-F238E27FC236}">
                <a16:creationId xmlns:a16="http://schemas.microsoft.com/office/drawing/2014/main" id="{78B197F1-5CD9-7AB6-6535-0588A0B980B3}"/>
              </a:ext>
            </a:extLst>
          </xdr:cNvPr>
          <xdr:cNvSpPr/>
        </xdr:nvSpPr>
        <xdr:spPr>
          <a:xfrm>
            <a:off x="15033593249" y="4244664"/>
            <a:ext cx="2876899" cy="1949915"/>
          </a:xfrm>
          <a:prstGeom prst="roundRect">
            <a:avLst>
              <a:gd name="adj" fmla="val 14823"/>
            </a:avLst>
          </a:prstGeom>
          <a:gradFill flip="none" rotWithShape="1">
            <a:gsLst>
              <a:gs pos="0">
                <a:schemeClr val="tx1">
                  <a:lumMod val="65000"/>
                  <a:lumOff val="35000"/>
                </a:schemeClr>
              </a:gs>
              <a:gs pos="89000">
                <a:srgbClr val="013220"/>
              </a:gs>
            </a:gsLst>
            <a:lin ang="0" scaled="1"/>
            <a:tileRect/>
          </a:gradFill>
          <a:ln w="3175">
            <a:solidFill>
              <a:schemeClr val="bg1">
                <a:lumMod val="50000"/>
              </a:schemeClr>
            </a:solid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800"/>
          </a:p>
        </xdr:txBody>
      </xdr:sp>
      <xdr:sp macro="" textlink="">
        <xdr:nvSpPr>
          <xdr:cNvPr id="25" name="Rectangle: Top Corners Rounded 24">
            <a:extLst>
              <a:ext uri="{FF2B5EF4-FFF2-40B4-BE49-F238E27FC236}">
                <a16:creationId xmlns:a16="http://schemas.microsoft.com/office/drawing/2014/main" id="{920C28C6-D423-2E4E-61D2-7E090EED3157}"/>
              </a:ext>
            </a:extLst>
          </xdr:cNvPr>
          <xdr:cNvSpPr/>
        </xdr:nvSpPr>
        <xdr:spPr>
          <a:xfrm>
            <a:off x="15033443617" y="4235902"/>
            <a:ext cx="3169884" cy="688205"/>
          </a:xfrm>
          <a:prstGeom prst="round2SameRect">
            <a:avLst>
              <a:gd name="adj1" fmla="val 50000"/>
              <a:gd name="adj2" fmla="val 0"/>
            </a:avLst>
          </a:prstGeom>
          <a:gradFill flip="none" rotWithShape="1">
            <a:gsLst>
              <a:gs pos="0">
                <a:schemeClr val="tx1">
                  <a:lumMod val="65000"/>
                  <a:lumOff val="35000"/>
                </a:schemeClr>
              </a:gs>
              <a:gs pos="100000">
                <a:srgbClr val="013220">
                  <a:lumMod val="85000"/>
                  <a:lumOff val="15000"/>
                </a:srgbClr>
              </a:gs>
            </a:gsLst>
            <a:lin ang="0" scaled="1"/>
            <a:tileRect/>
          </a:gradFill>
          <a:ln w="3175">
            <a:solidFill>
              <a:schemeClr val="bg1">
                <a:lumMod val="50000"/>
              </a:schemeClr>
            </a:solid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tIns="0" rtlCol="0" anchor="ctr"/>
          <a:lstStyle/>
          <a:p>
            <a:pPr marL="0" indent="0" algn="ctr" rtl="1"/>
            <a:r>
              <a:rPr lang="fa-IR" sz="900" b="1">
                <a:solidFill>
                  <a:schemeClr val="lt1"/>
                </a:solidFill>
                <a:latin typeface="Vazirmatn FD Black" pitchFamily="2" charset="-78"/>
                <a:ea typeface="+mn-ea"/>
                <a:cs typeface="Vazirmatn FD Black" pitchFamily="2" charset="-78"/>
              </a:rPr>
              <a:t>میـــــزان ســـــود</a:t>
            </a:r>
            <a:endParaRPr lang="en-GB" sz="900" b="1">
              <a:solidFill>
                <a:schemeClr val="lt1"/>
              </a:solidFill>
              <a:latin typeface="Vazirmatn FD Black" pitchFamily="2" charset="-78"/>
              <a:ea typeface="+mn-ea"/>
              <a:cs typeface="Vazirmatn FD Black" pitchFamily="2" charset="-78"/>
            </a:endParaRPr>
          </a:p>
        </xdr:txBody>
      </xdr:sp>
    </xdr:grpSp>
    <xdr:clientData/>
  </xdr:twoCellAnchor>
  <xdr:twoCellAnchor>
    <xdr:from>
      <xdr:col>1</xdr:col>
      <xdr:colOff>172983</xdr:colOff>
      <xdr:row>12</xdr:row>
      <xdr:rowOff>123417</xdr:rowOff>
    </xdr:from>
    <xdr:to>
      <xdr:col>3</xdr:col>
      <xdr:colOff>383711</xdr:colOff>
      <xdr:row>15</xdr:row>
      <xdr:rowOff>130964</xdr:rowOff>
    </xdr:to>
    <xdr:grpSp>
      <xdr:nvGrpSpPr>
        <xdr:cNvPr id="26" name="Group 25">
          <a:extLst>
            <a:ext uri="{FF2B5EF4-FFF2-40B4-BE49-F238E27FC236}">
              <a16:creationId xmlns:a16="http://schemas.microsoft.com/office/drawing/2014/main" id="{3285AFFC-30C6-4A15-834A-B38FE8F3FB73}"/>
            </a:ext>
          </a:extLst>
        </xdr:cNvPr>
        <xdr:cNvGrpSpPr/>
      </xdr:nvGrpSpPr>
      <xdr:grpSpPr>
        <a:xfrm>
          <a:off x="9985473889" y="2317977"/>
          <a:ext cx="1429928" cy="556187"/>
          <a:chOff x="15033441573" y="5820622"/>
          <a:chExt cx="3169845" cy="1886440"/>
        </a:xfrm>
      </xdr:grpSpPr>
      <xdr:sp macro="" textlink="">
        <xdr:nvSpPr>
          <xdr:cNvPr id="27" name="Rectangle: Rounded Corners 26">
            <a:extLst>
              <a:ext uri="{FF2B5EF4-FFF2-40B4-BE49-F238E27FC236}">
                <a16:creationId xmlns:a16="http://schemas.microsoft.com/office/drawing/2014/main" id="{C6563D5C-D91D-A039-DDDC-2F933FE6A738}"/>
              </a:ext>
            </a:extLst>
          </xdr:cNvPr>
          <xdr:cNvSpPr/>
        </xdr:nvSpPr>
        <xdr:spPr>
          <a:xfrm>
            <a:off x="15033594493" y="5820622"/>
            <a:ext cx="2876899" cy="1886440"/>
          </a:xfrm>
          <a:prstGeom prst="roundRect">
            <a:avLst>
              <a:gd name="adj" fmla="val 14823"/>
            </a:avLst>
          </a:prstGeom>
          <a:gradFill flip="none" rotWithShape="1">
            <a:gsLst>
              <a:gs pos="0">
                <a:schemeClr val="tx1">
                  <a:lumMod val="65000"/>
                  <a:lumOff val="35000"/>
                </a:schemeClr>
              </a:gs>
              <a:gs pos="86000">
                <a:srgbClr val="013220"/>
              </a:gs>
            </a:gsLst>
            <a:lin ang="0" scaled="1"/>
            <a:tileRect/>
          </a:gradFill>
          <a:ln w="3175">
            <a:solidFill>
              <a:schemeClr val="bg1">
                <a:lumMod val="50000"/>
              </a:schemeClr>
            </a:solid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800"/>
          </a:p>
        </xdr:txBody>
      </xdr:sp>
      <xdr:sp macro="" textlink="">
        <xdr:nvSpPr>
          <xdr:cNvPr id="28" name="Rectangle: Top Corners Rounded 27">
            <a:extLst>
              <a:ext uri="{FF2B5EF4-FFF2-40B4-BE49-F238E27FC236}">
                <a16:creationId xmlns:a16="http://schemas.microsoft.com/office/drawing/2014/main" id="{E0749300-1F55-277C-EA16-A07C3DCD0ACA}"/>
              </a:ext>
            </a:extLst>
          </xdr:cNvPr>
          <xdr:cNvSpPr/>
        </xdr:nvSpPr>
        <xdr:spPr>
          <a:xfrm>
            <a:off x="15033441573" y="5824750"/>
            <a:ext cx="3169845" cy="665802"/>
          </a:xfrm>
          <a:prstGeom prst="round2SameRect">
            <a:avLst>
              <a:gd name="adj1" fmla="val 50000"/>
              <a:gd name="adj2" fmla="val 0"/>
            </a:avLst>
          </a:prstGeom>
          <a:gradFill flip="none" rotWithShape="1">
            <a:gsLst>
              <a:gs pos="0">
                <a:schemeClr val="tx1">
                  <a:lumMod val="65000"/>
                  <a:lumOff val="35000"/>
                </a:schemeClr>
              </a:gs>
              <a:gs pos="100000">
                <a:srgbClr val="013220">
                  <a:lumMod val="85000"/>
                  <a:lumOff val="15000"/>
                </a:srgbClr>
              </a:gs>
            </a:gsLst>
            <a:lin ang="0" scaled="1"/>
            <a:tileRect/>
          </a:gradFill>
          <a:ln w="3175">
            <a:solidFill>
              <a:schemeClr val="bg1">
                <a:lumMod val="50000"/>
              </a:schemeClr>
            </a:solid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tIns="0" rtlCol="0" anchor="ctr"/>
          <a:lstStyle/>
          <a:p>
            <a:pPr marL="0" indent="0" algn="ctr" rtl="1"/>
            <a:r>
              <a:rPr lang="fa-IR" sz="900" b="1">
                <a:solidFill>
                  <a:schemeClr val="lt1"/>
                </a:solidFill>
                <a:latin typeface="Vazirmatn FD Black" pitchFamily="2" charset="-78"/>
                <a:ea typeface="+mn-ea"/>
                <a:cs typeface="Vazirmatn FD Black" pitchFamily="2" charset="-78"/>
              </a:rPr>
              <a:t>ســـــهم فروشـــــنده‌ها</a:t>
            </a:r>
            <a:endParaRPr lang="en-GB" sz="900" b="1">
              <a:solidFill>
                <a:schemeClr val="lt1"/>
              </a:solidFill>
              <a:latin typeface="Vazirmatn FD Black" pitchFamily="2" charset="-78"/>
              <a:ea typeface="+mn-ea"/>
              <a:cs typeface="Vazirmatn FD Black" pitchFamily="2" charset="-78"/>
            </a:endParaRPr>
          </a:p>
        </xdr:txBody>
      </xdr:sp>
    </xdr:grpSp>
    <xdr:clientData/>
  </xdr:twoCellAnchor>
  <xdr:twoCellAnchor>
    <xdr:from>
      <xdr:col>2</xdr:col>
      <xdr:colOff>586739</xdr:colOff>
      <xdr:row>16</xdr:row>
      <xdr:rowOff>174483</xdr:rowOff>
    </xdr:from>
    <xdr:to>
      <xdr:col>11</xdr:col>
      <xdr:colOff>160019</xdr:colOff>
      <xdr:row>25</xdr:row>
      <xdr:rowOff>98181</xdr:rowOff>
    </xdr:to>
    <xdr:sp macro="" textlink="">
      <xdr:nvSpPr>
        <xdr:cNvPr id="30" name="Rectangle: Rounded Corners 29">
          <a:extLst>
            <a:ext uri="{FF2B5EF4-FFF2-40B4-BE49-F238E27FC236}">
              <a16:creationId xmlns:a16="http://schemas.microsoft.com/office/drawing/2014/main" id="{0815D6A8-E067-43B2-8441-7C2BBAC4AB2A}"/>
            </a:ext>
          </a:extLst>
        </xdr:cNvPr>
        <xdr:cNvSpPr/>
      </xdr:nvSpPr>
      <xdr:spPr>
        <a:xfrm>
          <a:off x="9980820781" y="3100563"/>
          <a:ext cx="5059680" cy="1569618"/>
        </a:xfrm>
        <a:prstGeom prst="roundRect">
          <a:avLst>
            <a:gd name="adj" fmla="val 4182"/>
          </a:avLst>
        </a:prstGeom>
        <a:gradFill flip="none" rotWithShape="1">
          <a:gsLst>
            <a:gs pos="0">
              <a:schemeClr val="tx1">
                <a:lumMod val="95000"/>
                <a:lumOff val="5000"/>
              </a:schemeClr>
            </a:gs>
            <a:gs pos="100000">
              <a:schemeClr val="tx1">
                <a:lumMod val="85000"/>
                <a:lumOff val="15000"/>
              </a:schemeClr>
            </a:gs>
          </a:gsLst>
          <a:lin ang="13500000" scaled="1"/>
          <a:tileRect/>
        </a:gradFill>
        <a:ln w="3175">
          <a:solidFill>
            <a:schemeClr val="bg1">
              <a:lumMod val="50000"/>
            </a:schemeClr>
          </a:solid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a:p>
      </xdr:txBody>
    </xdr:sp>
    <xdr:clientData/>
  </xdr:twoCellAnchor>
  <xdr:twoCellAnchor editAs="oneCell">
    <xdr:from>
      <xdr:col>3</xdr:col>
      <xdr:colOff>533400</xdr:colOff>
      <xdr:row>5</xdr:row>
      <xdr:rowOff>106681</xdr:rowOff>
    </xdr:from>
    <xdr:to>
      <xdr:col>9</xdr:col>
      <xdr:colOff>373380</xdr:colOff>
      <xdr:row>7</xdr:row>
      <xdr:rowOff>121921</xdr:rowOff>
    </xdr:to>
    <mc:AlternateContent xmlns:mc="http://schemas.openxmlformats.org/markup-compatibility/2006" xmlns:a14="http://schemas.microsoft.com/office/drawing/2010/main">
      <mc:Choice Requires="a14">
        <xdr:graphicFrame macro="">
          <xdr:nvGraphicFramePr>
            <xdr:cNvPr id="33" name="سال 1">
              <a:extLst>
                <a:ext uri="{FF2B5EF4-FFF2-40B4-BE49-F238E27FC236}">
                  <a16:creationId xmlns:a16="http://schemas.microsoft.com/office/drawing/2014/main" id="{28EC2F68-C026-4E4E-8D7C-EA3425EBE5A5}"/>
                </a:ext>
              </a:extLst>
            </xdr:cNvPr>
            <xdr:cNvGraphicFramePr/>
          </xdr:nvGraphicFramePr>
          <xdr:xfrm>
            <a:off x="0" y="0"/>
            <a:ext cx="0" cy="0"/>
          </xdr:xfrm>
          <a:graphic>
            <a:graphicData uri="http://schemas.microsoft.com/office/drawing/2010/slicer">
              <sle:slicer xmlns:sle="http://schemas.microsoft.com/office/drawing/2010/slicer" name="سال 1"/>
            </a:graphicData>
          </a:graphic>
        </xdr:graphicFrame>
      </mc:Choice>
      <mc:Fallback xmlns="">
        <xdr:sp macro="" textlink="">
          <xdr:nvSpPr>
            <xdr:cNvPr id="0" name=""/>
            <xdr:cNvSpPr>
              <a:spLocks noTextEdit="1"/>
            </xdr:cNvSpPr>
          </xdr:nvSpPr>
          <xdr:spPr>
            <a:xfrm>
              <a:off x="9981826620" y="1021081"/>
              <a:ext cx="3497580" cy="381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205772</xdr:colOff>
      <xdr:row>7</xdr:row>
      <xdr:rowOff>7620</xdr:rowOff>
    </xdr:from>
    <xdr:to>
      <xdr:col>3</xdr:col>
      <xdr:colOff>320073</xdr:colOff>
      <xdr:row>8</xdr:row>
      <xdr:rowOff>99212</xdr:rowOff>
    </xdr:to>
    <xdr:sp macro="" textlink="pivot!F34">
      <xdr:nvSpPr>
        <xdr:cNvPr id="34" name="TextBox 33">
          <a:extLst>
            <a:ext uri="{FF2B5EF4-FFF2-40B4-BE49-F238E27FC236}">
              <a16:creationId xmlns:a16="http://schemas.microsoft.com/office/drawing/2014/main" id="{1F56DE79-F198-401C-8EDF-FC59306780B4}"/>
            </a:ext>
          </a:extLst>
        </xdr:cNvPr>
        <xdr:cNvSpPr txBox="1"/>
      </xdr:nvSpPr>
      <xdr:spPr>
        <a:xfrm>
          <a:off x="9985537527" y="1287780"/>
          <a:ext cx="1333501" cy="2744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rtl="1"/>
          <a:fld id="{955EAE59-49B2-44A8-B5F5-B5F121E4CCFC}" type="TxLink">
            <a:rPr lang="en-US" sz="1600" b="1" i="0" u="none" strike="noStrike">
              <a:solidFill>
                <a:schemeClr val="bg1"/>
              </a:solidFill>
              <a:latin typeface="Vazirmatn FD" pitchFamily="2" charset="-78"/>
              <a:ea typeface="Calibri"/>
              <a:cs typeface="Vazirmatn FD" pitchFamily="2" charset="-78"/>
            </a:rPr>
            <a:pPr algn="ctr" rtl="1"/>
            <a:t>7,035,177</a:t>
          </a:fld>
          <a:endParaRPr lang="en-GB" sz="1800" b="1">
            <a:solidFill>
              <a:schemeClr val="bg1"/>
            </a:solidFill>
            <a:latin typeface="Vazirmatn FD" pitchFamily="2" charset="-78"/>
            <a:cs typeface="Vazirmatn FD" pitchFamily="2" charset="-78"/>
          </a:endParaRPr>
        </a:p>
      </xdr:txBody>
    </xdr:sp>
    <xdr:clientData/>
  </xdr:twoCellAnchor>
  <xdr:twoCellAnchor>
    <xdr:from>
      <xdr:col>1</xdr:col>
      <xdr:colOff>205772</xdr:colOff>
      <xdr:row>10</xdr:row>
      <xdr:rowOff>94315</xdr:rowOff>
    </xdr:from>
    <xdr:to>
      <xdr:col>3</xdr:col>
      <xdr:colOff>320073</xdr:colOff>
      <xdr:row>12</xdr:row>
      <xdr:rowOff>3027</xdr:rowOff>
    </xdr:to>
    <xdr:sp macro="" textlink="pivot!G34">
      <xdr:nvSpPr>
        <xdr:cNvPr id="35" name="TextBox 34">
          <a:extLst>
            <a:ext uri="{FF2B5EF4-FFF2-40B4-BE49-F238E27FC236}">
              <a16:creationId xmlns:a16="http://schemas.microsoft.com/office/drawing/2014/main" id="{C18EE8C4-3B67-48A0-B550-4769878C286B}"/>
            </a:ext>
          </a:extLst>
        </xdr:cNvPr>
        <xdr:cNvSpPr txBox="1"/>
      </xdr:nvSpPr>
      <xdr:spPr>
        <a:xfrm>
          <a:off x="9985537527" y="1923115"/>
          <a:ext cx="1333501" cy="2744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marL="0" indent="0" algn="ctr" rtl="1"/>
          <a:fld id="{86A41C34-9784-49B3-9F3C-2FD9290F2C2B}" type="TxLink">
            <a:rPr lang="en-US" sz="1600" b="1" i="0" u="none" strike="noStrike">
              <a:solidFill>
                <a:schemeClr val="bg1"/>
              </a:solidFill>
              <a:latin typeface="Vazirmatn FD" pitchFamily="2" charset="-78"/>
              <a:ea typeface="Calibri"/>
              <a:cs typeface="Vazirmatn FD" pitchFamily="2" charset="-78"/>
            </a:rPr>
            <a:pPr marL="0" indent="0" algn="ctr" rtl="1"/>
            <a:t>10,730,247,461</a:t>
          </a:fld>
          <a:endParaRPr lang="en-GB" sz="1600" b="1" i="0" u="none" strike="noStrike">
            <a:solidFill>
              <a:schemeClr val="bg1"/>
            </a:solidFill>
            <a:latin typeface="Vazirmatn FD" pitchFamily="2" charset="-78"/>
            <a:ea typeface="Calibri"/>
            <a:cs typeface="Vazirmatn FD" pitchFamily="2" charset="-78"/>
          </a:endParaRPr>
        </a:p>
      </xdr:txBody>
    </xdr:sp>
    <xdr:clientData/>
  </xdr:twoCellAnchor>
  <xdr:twoCellAnchor>
    <xdr:from>
      <xdr:col>1</xdr:col>
      <xdr:colOff>205772</xdr:colOff>
      <xdr:row>14</xdr:row>
      <xdr:rowOff>7620</xdr:rowOff>
    </xdr:from>
    <xdr:to>
      <xdr:col>3</xdr:col>
      <xdr:colOff>320073</xdr:colOff>
      <xdr:row>15</xdr:row>
      <xdr:rowOff>99212</xdr:rowOff>
    </xdr:to>
    <xdr:sp macro="" textlink="pivot!H34">
      <xdr:nvSpPr>
        <xdr:cNvPr id="36" name="TextBox 35">
          <a:extLst>
            <a:ext uri="{FF2B5EF4-FFF2-40B4-BE49-F238E27FC236}">
              <a16:creationId xmlns:a16="http://schemas.microsoft.com/office/drawing/2014/main" id="{E6303289-31AE-4862-AAA4-177B1AAB30A5}"/>
            </a:ext>
          </a:extLst>
        </xdr:cNvPr>
        <xdr:cNvSpPr txBox="1"/>
      </xdr:nvSpPr>
      <xdr:spPr>
        <a:xfrm>
          <a:off x="9985537527" y="2567940"/>
          <a:ext cx="1333501" cy="2744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marL="0" indent="0" algn="ctr" rtl="1"/>
          <a:fld id="{D3CB10F6-F909-4C2D-BE30-CF76E2A61779}" type="TxLink">
            <a:rPr lang="en-US" sz="1600" b="1" i="0" u="none" strike="noStrike">
              <a:solidFill>
                <a:schemeClr val="bg1"/>
              </a:solidFill>
              <a:latin typeface="Vazirmatn FD" pitchFamily="2" charset="-78"/>
              <a:ea typeface="Calibri"/>
              <a:cs typeface="Vazirmatn FD" pitchFamily="2" charset="-78"/>
            </a:rPr>
            <a:pPr marL="0" indent="0" algn="ctr" rtl="1"/>
            <a:t>3,188,076,342</a:t>
          </a:fld>
          <a:endParaRPr lang="en-GB" sz="1600" b="1" i="0" u="none" strike="noStrike">
            <a:solidFill>
              <a:schemeClr val="bg1"/>
            </a:solidFill>
            <a:latin typeface="Vazirmatn FD" pitchFamily="2" charset="-78"/>
            <a:ea typeface="Calibri"/>
            <a:cs typeface="Vazirmatn FD" pitchFamily="2" charset="-78"/>
          </a:endParaRPr>
        </a:p>
      </xdr:txBody>
    </xdr:sp>
    <xdr:clientData/>
  </xdr:twoCellAnchor>
  <xdr:twoCellAnchor>
    <xdr:from>
      <xdr:col>3</xdr:col>
      <xdr:colOff>594360</xdr:colOff>
      <xdr:row>7</xdr:row>
      <xdr:rowOff>137160</xdr:rowOff>
    </xdr:from>
    <xdr:to>
      <xdr:col>16</xdr:col>
      <xdr:colOff>281940</xdr:colOff>
      <xdr:row>15</xdr:row>
      <xdr:rowOff>167640</xdr:rowOff>
    </xdr:to>
    <xdr:graphicFrame macro="">
      <xdr:nvGraphicFramePr>
        <xdr:cNvPr id="39" name="Chart 38">
          <a:extLst>
            <a:ext uri="{FF2B5EF4-FFF2-40B4-BE49-F238E27FC236}">
              <a16:creationId xmlns:a16="http://schemas.microsoft.com/office/drawing/2014/main" id="{096D2C4A-0BD8-47E7-AF12-D199C708EF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358140</xdr:colOff>
      <xdr:row>5</xdr:row>
      <xdr:rowOff>144780</xdr:rowOff>
    </xdr:from>
    <xdr:to>
      <xdr:col>16</xdr:col>
      <xdr:colOff>196129</xdr:colOff>
      <xdr:row>7</xdr:row>
      <xdr:rowOff>52160</xdr:rowOff>
    </xdr:to>
    <xdr:grpSp>
      <xdr:nvGrpSpPr>
        <xdr:cNvPr id="44" name="Group 43">
          <a:extLst>
            <a:ext uri="{FF2B5EF4-FFF2-40B4-BE49-F238E27FC236}">
              <a16:creationId xmlns:a16="http://schemas.microsoft.com/office/drawing/2014/main" id="{FAE67927-0EDB-4030-9D2E-A9988B5BCFAF}"/>
            </a:ext>
          </a:extLst>
        </xdr:cNvPr>
        <xdr:cNvGrpSpPr/>
      </xdr:nvGrpSpPr>
      <xdr:grpSpPr>
        <a:xfrm>
          <a:off x="9977736671" y="1059180"/>
          <a:ext cx="3495589" cy="273140"/>
          <a:chOff x="15100328551" y="993798"/>
          <a:chExt cx="3399656" cy="296407"/>
        </a:xfrm>
      </xdr:grpSpPr>
      <xdr:sp macro="" textlink="">
        <xdr:nvSpPr>
          <xdr:cNvPr id="45" name="Rectangle: Rounded Corners 44">
            <a:extLst>
              <a:ext uri="{FF2B5EF4-FFF2-40B4-BE49-F238E27FC236}">
                <a16:creationId xmlns:a16="http://schemas.microsoft.com/office/drawing/2014/main" id="{B38D73FB-741C-0AE0-E5CC-512EE97BADD0}"/>
              </a:ext>
            </a:extLst>
          </xdr:cNvPr>
          <xdr:cNvSpPr/>
        </xdr:nvSpPr>
        <xdr:spPr>
          <a:xfrm>
            <a:off x="15100328551" y="993798"/>
            <a:ext cx="3399656" cy="296407"/>
          </a:xfrm>
          <a:prstGeom prst="roundRect">
            <a:avLst>
              <a:gd name="adj" fmla="val 42587"/>
            </a:avLst>
          </a:prstGeom>
          <a:solidFill>
            <a:schemeClr val="tx1">
              <a:lumMod val="95000"/>
              <a:lumOff val="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GB" sz="1100"/>
          </a:p>
        </xdr:txBody>
      </xdr:sp>
      <xdr:grpSp>
        <xdr:nvGrpSpPr>
          <xdr:cNvPr id="46" name="Group 45">
            <a:extLst>
              <a:ext uri="{FF2B5EF4-FFF2-40B4-BE49-F238E27FC236}">
                <a16:creationId xmlns:a16="http://schemas.microsoft.com/office/drawing/2014/main" id="{1D588E52-D371-6F01-D6B3-81AB292DCE40}"/>
              </a:ext>
            </a:extLst>
          </xdr:cNvPr>
          <xdr:cNvGrpSpPr/>
        </xdr:nvGrpSpPr>
        <xdr:grpSpPr>
          <a:xfrm>
            <a:off x="15102377242" y="1039707"/>
            <a:ext cx="629392" cy="201158"/>
            <a:chOff x="15152135957" y="1035254"/>
            <a:chExt cx="632485" cy="199426"/>
          </a:xfrm>
        </xdr:grpSpPr>
        <xdr:sp macro="" textlink="">
          <xdr:nvSpPr>
            <xdr:cNvPr id="56" name="TextBox 55">
              <a:extLst>
                <a:ext uri="{FF2B5EF4-FFF2-40B4-BE49-F238E27FC236}">
                  <a16:creationId xmlns:a16="http://schemas.microsoft.com/office/drawing/2014/main" id="{D71E26E1-E7C9-3ACC-5045-8B9BB6C969F5}"/>
                </a:ext>
              </a:extLst>
            </xdr:cNvPr>
            <xdr:cNvSpPr txBox="1"/>
          </xdr:nvSpPr>
          <xdr:spPr>
            <a:xfrm>
              <a:off x="15152135957" y="1035254"/>
              <a:ext cx="479653" cy="1994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r" rtl="1"/>
              <a:r>
                <a:rPr lang="fa-IR" sz="700">
                  <a:solidFill>
                    <a:schemeClr val="bg1"/>
                  </a:solidFill>
                  <a:latin typeface="Vazirmatn FD Black" pitchFamily="2" charset="-78"/>
                  <a:cs typeface="Vazirmatn FD Black" pitchFamily="2" charset="-78"/>
                </a:rPr>
                <a:t>میزان</a:t>
              </a:r>
              <a:r>
                <a:rPr lang="fa-IR" sz="700" baseline="0">
                  <a:solidFill>
                    <a:schemeClr val="bg1"/>
                  </a:solidFill>
                  <a:latin typeface="Vazirmatn FD Black" pitchFamily="2" charset="-78"/>
                  <a:cs typeface="Vazirmatn FD Black" pitchFamily="2" charset="-78"/>
                </a:rPr>
                <a:t> سود</a:t>
              </a:r>
              <a:endParaRPr lang="en-US" sz="800">
                <a:solidFill>
                  <a:schemeClr val="bg1"/>
                </a:solidFill>
                <a:latin typeface="Vazirmatn FD Black" pitchFamily="2" charset="-78"/>
                <a:cs typeface="Vazirmatn FD Black" pitchFamily="2" charset="-78"/>
              </a:endParaRPr>
            </a:p>
          </xdr:txBody>
        </xdr:sp>
        <xdr:sp macro="" textlink="">
          <xdr:nvSpPr>
            <xdr:cNvPr id="57" name="Rectangle: Rounded Corners 56">
              <a:extLst>
                <a:ext uri="{FF2B5EF4-FFF2-40B4-BE49-F238E27FC236}">
                  <a16:creationId xmlns:a16="http://schemas.microsoft.com/office/drawing/2014/main" id="{919FD809-2539-6211-CF9C-EA4876F56361}"/>
                </a:ext>
              </a:extLst>
            </xdr:cNvPr>
            <xdr:cNvSpPr/>
          </xdr:nvSpPr>
          <xdr:spPr>
            <a:xfrm>
              <a:off x="15152624442" y="1070649"/>
              <a:ext cx="144000" cy="144000"/>
            </a:xfrm>
            <a:prstGeom prst="roundRect">
              <a:avLst>
                <a:gd name="adj" fmla="val 9938"/>
              </a:avLst>
            </a:prstGeom>
            <a:solidFill>
              <a:srgbClr val="92D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GB" sz="1100"/>
            </a:p>
          </xdr:txBody>
        </xdr:sp>
      </xdr:grpSp>
      <xdr:grpSp>
        <xdr:nvGrpSpPr>
          <xdr:cNvPr id="47" name="Group 46">
            <a:extLst>
              <a:ext uri="{FF2B5EF4-FFF2-40B4-BE49-F238E27FC236}">
                <a16:creationId xmlns:a16="http://schemas.microsoft.com/office/drawing/2014/main" id="{38AFE80C-4F1C-0681-5BF0-9EFC3FEE2F2A}"/>
              </a:ext>
            </a:extLst>
          </xdr:cNvPr>
          <xdr:cNvGrpSpPr/>
        </xdr:nvGrpSpPr>
        <xdr:grpSpPr>
          <a:xfrm>
            <a:off x="15103032737" y="1039707"/>
            <a:ext cx="629392" cy="201158"/>
            <a:chOff x="15152135957" y="1035254"/>
            <a:chExt cx="632485" cy="199426"/>
          </a:xfrm>
        </xdr:grpSpPr>
        <xdr:sp macro="" textlink="">
          <xdr:nvSpPr>
            <xdr:cNvPr id="54" name="TextBox 53">
              <a:extLst>
                <a:ext uri="{FF2B5EF4-FFF2-40B4-BE49-F238E27FC236}">
                  <a16:creationId xmlns:a16="http://schemas.microsoft.com/office/drawing/2014/main" id="{39BC3386-4584-AF18-EFFB-AEDE8ACCB53A}"/>
                </a:ext>
              </a:extLst>
            </xdr:cNvPr>
            <xdr:cNvSpPr txBox="1"/>
          </xdr:nvSpPr>
          <xdr:spPr>
            <a:xfrm>
              <a:off x="15152135957" y="1035254"/>
              <a:ext cx="479653" cy="1994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r" rtl="1"/>
              <a:r>
                <a:rPr lang="fa-IR" sz="700">
                  <a:solidFill>
                    <a:schemeClr val="bg1"/>
                  </a:solidFill>
                  <a:latin typeface="Vazirmatn FD Black" pitchFamily="2" charset="-78"/>
                  <a:cs typeface="Vazirmatn FD Black" pitchFamily="2" charset="-78"/>
                </a:rPr>
                <a:t>میزان</a:t>
              </a:r>
              <a:r>
                <a:rPr lang="fa-IR" sz="700" baseline="0">
                  <a:solidFill>
                    <a:schemeClr val="bg1"/>
                  </a:solidFill>
                  <a:latin typeface="Vazirmatn FD Black" pitchFamily="2" charset="-78"/>
                  <a:cs typeface="Vazirmatn FD Black" pitchFamily="2" charset="-78"/>
                </a:rPr>
                <a:t> فروش</a:t>
              </a:r>
              <a:endParaRPr lang="en-US" sz="800">
                <a:solidFill>
                  <a:schemeClr val="bg1"/>
                </a:solidFill>
                <a:latin typeface="Vazirmatn FD Black" pitchFamily="2" charset="-78"/>
                <a:cs typeface="Vazirmatn FD Black" pitchFamily="2" charset="-78"/>
              </a:endParaRPr>
            </a:p>
          </xdr:txBody>
        </xdr:sp>
        <xdr:sp macro="" textlink="">
          <xdr:nvSpPr>
            <xdr:cNvPr id="55" name="Rectangle: Rounded Corners 54">
              <a:extLst>
                <a:ext uri="{FF2B5EF4-FFF2-40B4-BE49-F238E27FC236}">
                  <a16:creationId xmlns:a16="http://schemas.microsoft.com/office/drawing/2014/main" id="{52CD6E7B-3C04-C63B-66EE-40CC78B2CB2F}"/>
                </a:ext>
              </a:extLst>
            </xdr:cNvPr>
            <xdr:cNvSpPr/>
          </xdr:nvSpPr>
          <xdr:spPr>
            <a:xfrm>
              <a:off x="15152624442" y="1070649"/>
              <a:ext cx="144000" cy="144000"/>
            </a:xfrm>
            <a:prstGeom prst="roundRect">
              <a:avLst>
                <a:gd name="adj" fmla="val 9938"/>
              </a:avLst>
            </a:prstGeom>
            <a:solidFill>
              <a:srgbClr val="00B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GB" sz="1100"/>
            </a:p>
          </xdr:txBody>
        </xdr:sp>
      </xdr:grpSp>
      <xdr:grpSp>
        <xdr:nvGrpSpPr>
          <xdr:cNvPr id="48" name="Group 47">
            <a:extLst>
              <a:ext uri="{FF2B5EF4-FFF2-40B4-BE49-F238E27FC236}">
                <a16:creationId xmlns:a16="http://schemas.microsoft.com/office/drawing/2014/main" id="{21534128-E7C2-09C0-BB48-1DC74B8EF554}"/>
              </a:ext>
            </a:extLst>
          </xdr:cNvPr>
          <xdr:cNvGrpSpPr/>
        </xdr:nvGrpSpPr>
        <xdr:grpSpPr>
          <a:xfrm>
            <a:off x="15101738074" y="1045144"/>
            <a:ext cx="678379" cy="201158"/>
            <a:chOff x="15152086972" y="1035254"/>
            <a:chExt cx="681470" cy="199426"/>
          </a:xfrm>
        </xdr:grpSpPr>
        <xdr:sp macro="" textlink="">
          <xdr:nvSpPr>
            <xdr:cNvPr id="52" name="TextBox 51">
              <a:extLst>
                <a:ext uri="{FF2B5EF4-FFF2-40B4-BE49-F238E27FC236}">
                  <a16:creationId xmlns:a16="http://schemas.microsoft.com/office/drawing/2014/main" id="{54864C58-451C-76C8-3459-D5037CBC09BF}"/>
                </a:ext>
              </a:extLst>
            </xdr:cNvPr>
            <xdr:cNvSpPr txBox="1"/>
          </xdr:nvSpPr>
          <xdr:spPr>
            <a:xfrm>
              <a:off x="15152086972" y="1035254"/>
              <a:ext cx="534082" cy="1994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rtl="1"/>
              <a:r>
                <a:rPr lang="fa-IR" sz="700">
                  <a:solidFill>
                    <a:schemeClr val="bg1"/>
                  </a:solidFill>
                  <a:latin typeface="Vazirmatn FD Black" pitchFamily="2" charset="-78"/>
                  <a:cs typeface="Vazirmatn FD Black" pitchFamily="2" charset="-78"/>
                </a:rPr>
                <a:t>سهم فروشنده</a:t>
              </a:r>
              <a:endParaRPr lang="en-US" sz="800">
                <a:solidFill>
                  <a:schemeClr val="bg1"/>
                </a:solidFill>
                <a:latin typeface="Vazirmatn FD Black" pitchFamily="2" charset="-78"/>
                <a:cs typeface="Vazirmatn FD Black" pitchFamily="2" charset="-78"/>
              </a:endParaRPr>
            </a:p>
          </xdr:txBody>
        </xdr:sp>
        <xdr:sp macro="" textlink="">
          <xdr:nvSpPr>
            <xdr:cNvPr id="53" name="Rectangle: Rounded Corners 52">
              <a:extLst>
                <a:ext uri="{FF2B5EF4-FFF2-40B4-BE49-F238E27FC236}">
                  <a16:creationId xmlns:a16="http://schemas.microsoft.com/office/drawing/2014/main" id="{28B557A4-7EA9-0321-626B-88C7BB56FB1C}"/>
                </a:ext>
              </a:extLst>
            </xdr:cNvPr>
            <xdr:cNvSpPr/>
          </xdr:nvSpPr>
          <xdr:spPr>
            <a:xfrm>
              <a:off x="15152624442" y="1070649"/>
              <a:ext cx="144000" cy="144000"/>
            </a:xfrm>
            <a:prstGeom prst="roundRect">
              <a:avLst>
                <a:gd name="adj" fmla="val 9938"/>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GB" sz="1100"/>
            </a:p>
          </xdr:txBody>
        </xdr:sp>
      </xdr:grpSp>
      <xdr:grpSp>
        <xdr:nvGrpSpPr>
          <xdr:cNvPr id="49" name="Group 48">
            <a:extLst>
              <a:ext uri="{FF2B5EF4-FFF2-40B4-BE49-F238E27FC236}">
                <a16:creationId xmlns:a16="http://schemas.microsoft.com/office/drawing/2014/main" id="{3852F26C-E273-C1E0-9294-2F56FF7011FC}"/>
              </a:ext>
            </a:extLst>
          </xdr:cNvPr>
          <xdr:cNvGrpSpPr/>
        </xdr:nvGrpSpPr>
        <xdr:grpSpPr>
          <a:xfrm>
            <a:off x="15100388110" y="1048900"/>
            <a:ext cx="1235176" cy="199426"/>
            <a:chOff x="15101522451" y="1274036"/>
            <a:chExt cx="1235176" cy="199426"/>
          </a:xfrm>
        </xdr:grpSpPr>
        <xdr:sp macro="" textlink="">
          <xdr:nvSpPr>
            <xdr:cNvPr id="50" name="TextBox 49">
              <a:extLst>
                <a:ext uri="{FF2B5EF4-FFF2-40B4-BE49-F238E27FC236}">
                  <a16:creationId xmlns:a16="http://schemas.microsoft.com/office/drawing/2014/main" id="{A390A5DB-7100-0A9C-54D2-648FBEF58DE6}"/>
                </a:ext>
              </a:extLst>
            </xdr:cNvPr>
            <xdr:cNvSpPr txBox="1"/>
          </xdr:nvSpPr>
          <xdr:spPr>
            <a:xfrm>
              <a:off x="15101522451" y="1274036"/>
              <a:ext cx="982744" cy="1994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rtl="1"/>
              <a:r>
                <a:rPr lang="fa-IR" sz="700">
                  <a:solidFill>
                    <a:schemeClr val="bg1"/>
                  </a:solidFill>
                  <a:latin typeface="Vazirmatn FD Black" pitchFamily="2" charset="-78"/>
                  <a:cs typeface="Vazirmatn FD Black" pitchFamily="2" charset="-78"/>
                </a:rPr>
                <a:t>نسبت سود به میزان فروش</a:t>
              </a:r>
              <a:endParaRPr lang="en-US" sz="800">
                <a:solidFill>
                  <a:schemeClr val="bg1"/>
                </a:solidFill>
                <a:latin typeface="Vazirmatn FD Black" pitchFamily="2" charset="-78"/>
                <a:cs typeface="Vazirmatn FD Black" pitchFamily="2" charset="-78"/>
              </a:endParaRPr>
            </a:p>
          </xdr:txBody>
        </xdr:sp>
        <xdr:cxnSp macro="">
          <xdr:nvCxnSpPr>
            <xdr:cNvPr id="51" name="Straight Connector 50">
              <a:extLst>
                <a:ext uri="{FF2B5EF4-FFF2-40B4-BE49-F238E27FC236}">
                  <a16:creationId xmlns:a16="http://schemas.microsoft.com/office/drawing/2014/main" id="{A09EE485-E38D-0907-FC0A-4D69B33B039F}"/>
                </a:ext>
              </a:extLst>
            </xdr:cNvPr>
            <xdr:cNvCxnSpPr/>
          </xdr:nvCxnSpPr>
          <xdr:spPr>
            <a:xfrm flipV="1">
              <a:off x="15102541627" y="1363806"/>
              <a:ext cx="216000" cy="0"/>
            </a:xfrm>
            <a:prstGeom prst="line">
              <a:avLst/>
            </a:prstGeom>
            <a:ln w="38100" cap="rnd">
              <a:solidFill>
                <a:srgbClr val="FFC000"/>
              </a:solidFill>
              <a:round/>
              <a:headEnd type="none"/>
              <a:tailEnd type="oval"/>
            </a:ln>
          </xdr:spPr>
          <xdr:style>
            <a:lnRef idx="1">
              <a:schemeClr val="accent1"/>
            </a:lnRef>
            <a:fillRef idx="0">
              <a:schemeClr val="accent1"/>
            </a:fillRef>
            <a:effectRef idx="0">
              <a:schemeClr val="accent1"/>
            </a:effectRef>
            <a:fontRef idx="minor">
              <a:schemeClr val="tx1"/>
            </a:fontRef>
          </xdr:style>
        </xdr:cxnSp>
      </xdr:grpSp>
    </xdr:grpSp>
    <xdr:clientData/>
  </xdr:twoCellAnchor>
  <xdr:twoCellAnchor>
    <xdr:from>
      <xdr:col>11</xdr:col>
      <xdr:colOff>327660</xdr:colOff>
      <xdr:row>17</xdr:row>
      <xdr:rowOff>0</xdr:rowOff>
    </xdr:from>
    <xdr:to>
      <xdr:col>16</xdr:col>
      <xdr:colOff>297180</xdr:colOff>
      <xdr:row>25</xdr:row>
      <xdr:rowOff>76200</xdr:rowOff>
    </xdr:to>
    <xdr:graphicFrame macro="">
      <xdr:nvGraphicFramePr>
        <xdr:cNvPr id="58" name="Chart 57">
          <a:extLst>
            <a:ext uri="{FF2B5EF4-FFF2-40B4-BE49-F238E27FC236}">
              <a16:creationId xmlns:a16="http://schemas.microsoft.com/office/drawing/2014/main" id="{B0E31BBC-9D87-4E51-8E07-DA4FC1A03E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15240</xdr:colOff>
      <xdr:row>16</xdr:row>
      <xdr:rowOff>175260</xdr:rowOff>
    </xdr:from>
    <xdr:to>
      <xdr:col>11</xdr:col>
      <xdr:colOff>144780</xdr:colOff>
      <xdr:row>25</xdr:row>
      <xdr:rowOff>114300</xdr:rowOff>
    </xdr:to>
    <xdr:graphicFrame macro="">
      <xdr:nvGraphicFramePr>
        <xdr:cNvPr id="59" name="Chart 58">
          <a:extLst>
            <a:ext uri="{FF2B5EF4-FFF2-40B4-BE49-F238E27FC236}">
              <a16:creationId xmlns:a16="http://schemas.microsoft.com/office/drawing/2014/main" id="{42D41903-1BD3-4C8F-B9CD-1B5AC37059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601980</xdr:colOff>
      <xdr:row>17</xdr:row>
      <xdr:rowOff>7619</xdr:rowOff>
    </xdr:from>
    <xdr:to>
      <xdr:col>2</xdr:col>
      <xdr:colOff>525780</xdr:colOff>
      <xdr:row>25</xdr:row>
      <xdr:rowOff>83820</xdr:rowOff>
    </xdr:to>
    <mc:AlternateContent xmlns:mc="http://schemas.openxmlformats.org/markup-compatibility/2006" xmlns:a14="http://schemas.microsoft.com/office/drawing/2010/main">
      <mc:Choice Requires="a14">
        <xdr:graphicFrame macro="">
          <xdr:nvGraphicFramePr>
            <xdr:cNvPr id="61" name="فصل">
              <a:extLst>
                <a:ext uri="{FF2B5EF4-FFF2-40B4-BE49-F238E27FC236}">
                  <a16:creationId xmlns:a16="http://schemas.microsoft.com/office/drawing/2014/main" id="{A493AF6A-21DE-C19C-2E80-403F68EA5FFB}"/>
                </a:ext>
              </a:extLst>
            </xdr:cNvPr>
            <xdr:cNvGraphicFramePr/>
          </xdr:nvGraphicFramePr>
          <xdr:xfrm>
            <a:off x="0" y="0"/>
            <a:ext cx="0" cy="0"/>
          </xdr:xfrm>
          <a:graphic>
            <a:graphicData uri="http://schemas.microsoft.com/office/drawing/2010/slicer">
              <sle:slicer xmlns:sle="http://schemas.microsoft.com/office/drawing/2010/slicer" name="فصل"/>
            </a:graphicData>
          </a:graphic>
        </xdr:graphicFrame>
      </mc:Choice>
      <mc:Fallback xmlns="">
        <xdr:sp macro="" textlink="">
          <xdr:nvSpPr>
            <xdr:cNvPr id="0" name=""/>
            <xdr:cNvSpPr>
              <a:spLocks noTextEdit="1"/>
            </xdr:cNvSpPr>
          </xdr:nvSpPr>
          <xdr:spPr>
            <a:xfrm>
              <a:off x="9985941420" y="3116579"/>
              <a:ext cx="1143000" cy="15392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199293</xdr:colOff>
      <xdr:row>0</xdr:row>
      <xdr:rowOff>146539</xdr:rowOff>
    </xdr:from>
    <xdr:to>
      <xdr:col>16</xdr:col>
      <xdr:colOff>476569</xdr:colOff>
      <xdr:row>4</xdr:row>
      <xdr:rowOff>150610</xdr:rowOff>
    </xdr:to>
    <xdr:sp macro="" textlink="">
      <xdr:nvSpPr>
        <xdr:cNvPr id="3" name="Rectangle: Rounded Corners 2">
          <a:extLst>
            <a:ext uri="{FF2B5EF4-FFF2-40B4-BE49-F238E27FC236}">
              <a16:creationId xmlns:a16="http://schemas.microsoft.com/office/drawing/2014/main" id="{DA51A5AE-2960-31E9-F0B5-4582184345CB}"/>
            </a:ext>
          </a:extLst>
        </xdr:cNvPr>
        <xdr:cNvSpPr/>
      </xdr:nvSpPr>
      <xdr:spPr>
        <a:xfrm>
          <a:off x="9999434056" y="146539"/>
          <a:ext cx="10052360" cy="729146"/>
        </a:xfrm>
        <a:prstGeom prst="roundRect">
          <a:avLst>
            <a:gd name="adj" fmla="val 10000"/>
          </a:avLst>
        </a:prstGeom>
        <a:gradFill flip="none" rotWithShape="1">
          <a:gsLst>
            <a:gs pos="0">
              <a:schemeClr val="accent6">
                <a:lumMod val="40000"/>
                <a:lumOff val="60000"/>
                <a:alpha val="0"/>
              </a:schemeClr>
            </a:gs>
            <a:gs pos="69000">
              <a:schemeClr val="tx1">
                <a:lumMod val="85000"/>
                <a:lumOff val="15000"/>
              </a:schemeClr>
            </a:gs>
          </a:gsLst>
          <a:lin ang="0" scaled="1"/>
          <a:tileRect/>
        </a:gradFill>
        <a:ln w="3175">
          <a:solidFill>
            <a:schemeClr val="tx1">
              <a:lumMod val="50000"/>
              <a:lumOff val="50000"/>
            </a:schemeClr>
          </a:solid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a:p>
      </xdr:txBody>
    </xdr:sp>
    <xdr:clientData/>
  </xdr:twoCellAnchor>
  <xdr:twoCellAnchor>
    <xdr:from>
      <xdr:col>1</xdr:col>
      <xdr:colOff>265822</xdr:colOff>
      <xdr:row>1</xdr:row>
      <xdr:rowOff>178656</xdr:rowOff>
    </xdr:from>
    <xdr:to>
      <xdr:col>4</xdr:col>
      <xdr:colOff>573844</xdr:colOff>
      <xdr:row>4</xdr:row>
      <xdr:rowOff>25320</xdr:rowOff>
    </xdr:to>
    <xdr:sp macro="" textlink="">
      <xdr:nvSpPr>
        <xdr:cNvPr id="4" name="TextBox 3">
          <a:extLst>
            <a:ext uri="{FF2B5EF4-FFF2-40B4-BE49-F238E27FC236}">
              <a16:creationId xmlns:a16="http://schemas.microsoft.com/office/drawing/2014/main" id="{A4E651BF-AA81-A5EA-5D46-AC7B29E3DEF3}"/>
            </a:ext>
          </a:extLst>
        </xdr:cNvPr>
        <xdr:cNvSpPr txBox="1"/>
      </xdr:nvSpPr>
      <xdr:spPr>
        <a:xfrm>
          <a:off x="10006668094" y="359925"/>
          <a:ext cx="2140850" cy="3904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rtl="1"/>
          <a:r>
            <a:rPr lang="fa-IR" sz="1200">
              <a:solidFill>
                <a:schemeClr val="bg1"/>
              </a:solidFill>
              <a:latin typeface="Vazirmatn FD Black" pitchFamily="2" charset="-78"/>
              <a:cs typeface="Vazirmatn FD Black" pitchFamily="2" charset="-78"/>
            </a:rPr>
            <a:t>آرمین</a:t>
          </a:r>
          <a:r>
            <a:rPr lang="fa-IR" sz="1200" baseline="0">
              <a:solidFill>
                <a:schemeClr val="bg1"/>
              </a:solidFill>
              <a:latin typeface="Vazirmatn FD Black" pitchFamily="2" charset="-78"/>
              <a:cs typeface="Vazirmatn FD Black" pitchFamily="2" charset="-78"/>
            </a:rPr>
            <a:t> کاویانی</a:t>
          </a:r>
          <a:endParaRPr lang="en-US" sz="1200">
            <a:solidFill>
              <a:schemeClr val="bg1"/>
            </a:solidFill>
            <a:latin typeface="Vazirmatn FD Black" pitchFamily="2" charset="-78"/>
            <a:cs typeface="Vazirmatn FD Black" pitchFamily="2" charset="-78"/>
          </a:endParaRPr>
        </a:p>
      </xdr:txBody>
    </xdr:sp>
    <xdr:clientData/>
  </xdr:twoCellAnchor>
  <xdr:twoCellAnchor>
    <xdr:from>
      <xdr:col>4</xdr:col>
      <xdr:colOff>309178</xdr:colOff>
      <xdr:row>1</xdr:row>
      <xdr:rowOff>172230</xdr:rowOff>
    </xdr:from>
    <xdr:to>
      <xdr:col>12</xdr:col>
      <xdr:colOff>275944</xdr:colOff>
      <xdr:row>4</xdr:row>
      <xdr:rowOff>8356</xdr:rowOff>
    </xdr:to>
    <xdr:sp macro="" textlink="">
      <xdr:nvSpPr>
        <xdr:cNvPr id="7" name="TextBox 6">
          <a:extLst>
            <a:ext uri="{FF2B5EF4-FFF2-40B4-BE49-F238E27FC236}">
              <a16:creationId xmlns:a16="http://schemas.microsoft.com/office/drawing/2014/main" id="{04EE5A24-B740-6D60-A1F0-171F8777DF4F}"/>
            </a:ext>
          </a:extLst>
        </xdr:cNvPr>
        <xdr:cNvSpPr txBox="1"/>
      </xdr:nvSpPr>
      <xdr:spPr>
        <a:xfrm>
          <a:off x="10002078452" y="353499"/>
          <a:ext cx="4854308" cy="3799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rtl="1"/>
          <a:r>
            <a:rPr lang="fa-IR" sz="1800">
              <a:solidFill>
                <a:schemeClr val="bg1"/>
              </a:solidFill>
              <a:latin typeface="Vazirmatn FD Black" pitchFamily="2" charset="-78"/>
              <a:cs typeface="Vazirmatn FD Black" pitchFamily="2" charset="-78"/>
            </a:rPr>
            <a:t>داشبورد مدیریتی </a:t>
          </a:r>
          <a:r>
            <a:rPr lang="fa-IR" sz="1800">
              <a:ln>
                <a:solidFill>
                  <a:srgbClr val="00B050"/>
                </a:solidFill>
              </a:ln>
              <a:solidFill>
                <a:srgbClr val="00B050"/>
              </a:solidFill>
              <a:latin typeface="Vazirmatn FD Black" pitchFamily="2" charset="-78"/>
              <a:cs typeface="Vazirmatn FD Black" pitchFamily="2" charset="-78"/>
            </a:rPr>
            <a:t>فروش محصولات در سال</a:t>
          </a:r>
          <a:r>
            <a:rPr lang="fa-IR" sz="1800" baseline="0">
              <a:ln>
                <a:solidFill>
                  <a:srgbClr val="00B050"/>
                </a:solidFill>
              </a:ln>
              <a:solidFill>
                <a:srgbClr val="00B050"/>
              </a:solidFill>
              <a:latin typeface="Vazirmatn FD Black" pitchFamily="2" charset="-78"/>
              <a:cs typeface="Vazirmatn FD Black" pitchFamily="2" charset="-78"/>
            </a:rPr>
            <a:t> </a:t>
          </a:r>
          <a:r>
            <a:rPr lang="fa-IR" sz="1800" baseline="0">
              <a:ln>
                <a:solidFill>
                  <a:srgbClr val="FFDC2D"/>
                </a:solidFill>
              </a:ln>
              <a:solidFill>
                <a:srgbClr val="FFDC2D"/>
              </a:solidFill>
              <a:latin typeface="Vazirmatn FD Black" pitchFamily="2" charset="-78"/>
              <a:cs typeface="Vazirmatn FD Black" pitchFamily="2" charset="-78"/>
            </a:rPr>
            <a:t>1402</a:t>
          </a:r>
          <a:endParaRPr lang="en-US" sz="1800">
            <a:ln>
              <a:solidFill>
                <a:srgbClr val="FFDC2D"/>
              </a:solidFill>
            </a:ln>
            <a:solidFill>
              <a:srgbClr val="FFDC2D"/>
            </a:solidFill>
            <a:latin typeface="Vazirmatn FD Black" pitchFamily="2" charset="-78"/>
            <a:cs typeface="Vazirmatn FD Black" pitchFamily="2" charset="-78"/>
          </a:endParaRPr>
        </a:p>
      </xdr:txBody>
    </xdr:sp>
    <xdr:clientData/>
  </xdr:twoCellAnchor>
  <xdr:twoCellAnchor>
    <xdr:from>
      <xdr:col>1</xdr:col>
      <xdr:colOff>288581</xdr:colOff>
      <xdr:row>2</xdr:row>
      <xdr:rowOff>76068</xdr:rowOff>
    </xdr:from>
    <xdr:to>
      <xdr:col>1</xdr:col>
      <xdr:colOff>288582</xdr:colOff>
      <xdr:row>3</xdr:row>
      <xdr:rowOff>117752</xdr:rowOff>
    </xdr:to>
    <xdr:cxnSp macro="">
      <xdr:nvCxnSpPr>
        <xdr:cNvPr id="11" name="Straight Connector 10">
          <a:extLst>
            <a:ext uri="{FF2B5EF4-FFF2-40B4-BE49-F238E27FC236}">
              <a16:creationId xmlns:a16="http://schemas.microsoft.com/office/drawing/2014/main" id="{594F5F7D-D4D2-973F-0B36-5C0C6FBA06FB}"/>
            </a:ext>
          </a:extLst>
        </xdr:cNvPr>
        <xdr:cNvCxnSpPr/>
      </xdr:nvCxnSpPr>
      <xdr:spPr>
        <a:xfrm>
          <a:off x="10008786184" y="438605"/>
          <a:ext cx="1" cy="222953"/>
        </a:xfrm>
        <a:prstGeom prst="line">
          <a:avLst/>
        </a:prstGeom>
        <a:ln w="34925" cap="rnd">
          <a:solidFill>
            <a:srgbClr val="FFD7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528589</xdr:colOff>
      <xdr:row>10</xdr:row>
      <xdr:rowOff>101112</xdr:rowOff>
    </xdr:from>
    <xdr:to>
      <xdr:col>11</xdr:col>
      <xdr:colOff>361533</xdr:colOff>
      <xdr:row>25</xdr:row>
      <xdr:rowOff>112835</xdr:rowOff>
    </xdr:to>
    <xdr:sp macro="" textlink="">
      <xdr:nvSpPr>
        <xdr:cNvPr id="12" name="Rectangle: Rounded Corners 11">
          <a:extLst>
            <a:ext uri="{FF2B5EF4-FFF2-40B4-BE49-F238E27FC236}">
              <a16:creationId xmlns:a16="http://schemas.microsoft.com/office/drawing/2014/main" id="{4D7DAFBF-0666-4E96-BC27-2BAD3F1CF6A3}"/>
            </a:ext>
          </a:extLst>
        </xdr:cNvPr>
        <xdr:cNvSpPr/>
      </xdr:nvSpPr>
      <xdr:spPr>
        <a:xfrm>
          <a:off x="9980619267" y="1918189"/>
          <a:ext cx="2880944" cy="2737338"/>
        </a:xfrm>
        <a:prstGeom prst="roundRect">
          <a:avLst>
            <a:gd name="adj" fmla="val 5457"/>
          </a:avLst>
        </a:prstGeom>
        <a:gradFill flip="none" rotWithShape="1">
          <a:gsLst>
            <a:gs pos="0">
              <a:schemeClr val="tx1">
                <a:lumMod val="95000"/>
                <a:lumOff val="5000"/>
              </a:schemeClr>
            </a:gs>
            <a:gs pos="100000">
              <a:schemeClr val="tx1">
                <a:lumMod val="85000"/>
                <a:lumOff val="15000"/>
              </a:schemeClr>
            </a:gs>
          </a:gsLst>
          <a:lin ang="13500000" scaled="1"/>
          <a:tileRect/>
        </a:gradFill>
        <a:ln w="3175">
          <a:solidFill>
            <a:schemeClr val="bg1">
              <a:lumMod val="50000"/>
            </a:schemeClr>
          </a:solid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200"/>
        </a:p>
      </xdr:txBody>
    </xdr:sp>
    <xdr:clientData/>
  </xdr:twoCellAnchor>
  <xdr:twoCellAnchor>
    <xdr:from>
      <xdr:col>11</xdr:col>
      <xdr:colOff>521260</xdr:colOff>
      <xdr:row>5</xdr:row>
      <xdr:rowOff>105508</xdr:rowOff>
    </xdr:from>
    <xdr:to>
      <xdr:col>16</xdr:col>
      <xdr:colOff>368860</xdr:colOff>
      <xdr:row>25</xdr:row>
      <xdr:rowOff>134815</xdr:rowOff>
    </xdr:to>
    <xdr:sp macro="" textlink="">
      <xdr:nvSpPr>
        <xdr:cNvPr id="13" name="Rectangle: Rounded Corners 12">
          <a:extLst>
            <a:ext uri="{FF2B5EF4-FFF2-40B4-BE49-F238E27FC236}">
              <a16:creationId xmlns:a16="http://schemas.microsoft.com/office/drawing/2014/main" id="{5351F8C2-9E6A-4D4D-B9B2-DF9077BEAB1F}"/>
            </a:ext>
          </a:extLst>
        </xdr:cNvPr>
        <xdr:cNvSpPr/>
      </xdr:nvSpPr>
      <xdr:spPr>
        <a:xfrm>
          <a:off x="9977563940" y="1014046"/>
          <a:ext cx="2895600" cy="3663461"/>
        </a:xfrm>
        <a:prstGeom prst="roundRect">
          <a:avLst>
            <a:gd name="adj" fmla="val 2644"/>
          </a:avLst>
        </a:prstGeom>
        <a:gradFill flip="none" rotWithShape="1">
          <a:gsLst>
            <a:gs pos="0">
              <a:schemeClr val="tx1">
                <a:lumMod val="95000"/>
                <a:lumOff val="5000"/>
              </a:schemeClr>
            </a:gs>
            <a:gs pos="100000">
              <a:schemeClr val="tx1">
                <a:lumMod val="85000"/>
                <a:lumOff val="15000"/>
              </a:schemeClr>
            </a:gs>
          </a:gsLst>
          <a:lin ang="13500000" scaled="1"/>
          <a:tileRect/>
        </a:gradFill>
        <a:ln w="3175">
          <a:solidFill>
            <a:schemeClr val="bg1">
              <a:lumMod val="50000"/>
            </a:schemeClr>
          </a:solid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a:p>
      </xdr:txBody>
    </xdr:sp>
    <xdr:clientData/>
  </xdr:twoCellAnchor>
  <xdr:twoCellAnchor>
    <xdr:from>
      <xdr:col>11</xdr:col>
      <xdr:colOff>400928</xdr:colOff>
      <xdr:row>22</xdr:row>
      <xdr:rowOff>111370</xdr:rowOff>
    </xdr:from>
    <xdr:to>
      <xdr:col>11</xdr:col>
      <xdr:colOff>492368</xdr:colOff>
      <xdr:row>22</xdr:row>
      <xdr:rowOff>120514</xdr:rowOff>
    </xdr:to>
    <xdr:sp macro="" textlink="">
      <xdr:nvSpPr>
        <xdr:cNvPr id="37" name="Oval 36">
          <a:extLst>
            <a:ext uri="{FF2B5EF4-FFF2-40B4-BE49-F238E27FC236}">
              <a16:creationId xmlns:a16="http://schemas.microsoft.com/office/drawing/2014/main" id="{F220C982-A536-5CE4-EF8B-CC077D4590E1}"/>
            </a:ext>
          </a:extLst>
        </xdr:cNvPr>
        <xdr:cNvSpPr/>
      </xdr:nvSpPr>
      <xdr:spPr>
        <a:xfrm>
          <a:off x="9980488432" y="4108939"/>
          <a:ext cx="91440" cy="9144"/>
        </a:xfrm>
        <a:prstGeom prst="ellipse">
          <a:avLst/>
        </a:prstGeom>
        <a:solidFill>
          <a:schemeClr val="tx1">
            <a:alpha val="22000"/>
          </a:schemeClr>
        </a:solidFill>
        <a:ln>
          <a:solidFill>
            <a:schemeClr val="tx1">
              <a:alpha val="0"/>
            </a:schemeClr>
          </a:solidFill>
        </a:ln>
        <a:effectLst>
          <a:glow rad="1905000">
            <a:schemeClr val="bg1">
              <a:alpha val="43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a:p>
      </xdr:txBody>
    </xdr:sp>
    <xdr:clientData/>
  </xdr:twoCellAnchor>
  <xdr:twoCellAnchor>
    <xdr:from>
      <xdr:col>1</xdr:col>
      <xdr:colOff>532985</xdr:colOff>
      <xdr:row>18</xdr:row>
      <xdr:rowOff>105215</xdr:rowOff>
    </xdr:from>
    <xdr:to>
      <xdr:col>6</xdr:col>
      <xdr:colOff>387912</xdr:colOff>
      <xdr:row>25</xdr:row>
      <xdr:rowOff>142142</xdr:rowOff>
    </xdr:to>
    <xdr:sp macro="" textlink="">
      <xdr:nvSpPr>
        <xdr:cNvPr id="14" name="Rectangle: Rounded Corners 13">
          <a:extLst>
            <a:ext uri="{FF2B5EF4-FFF2-40B4-BE49-F238E27FC236}">
              <a16:creationId xmlns:a16="http://schemas.microsoft.com/office/drawing/2014/main" id="{5E714D70-FFFE-48FB-A226-74AD8AEA0769}"/>
            </a:ext>
          </a:extLst>
        </xdr:cNvPr>
        <xdr:cNvSpPr/>
      </xdr:nvSpPr>
      <xdr:spPr>
        <a:xfrm>
          <a:off x="9983640888" y="3375953"/>
          <a:ext cx="2902927" cy="1308881"/>
        </a:xfrm>
        <a:prstGeom prst="roundRect">
          <a:avLst>
            <a:gd name="adj" fmla="val 5457"/>
          </a:avLst>
        </a:prstGeom>
        <a:gradFill flip="none" rotWithShape="1">
          <a:gsLst>
            <a:gs pos="0">
              <a:schemeClr val="tx1">
                <a:lumMod val="95000"/>
                <a:lumOff val="5000"/>
              </a:schemeClr>
            </a:gs>
            <a:gs pos="100000">
              <a:schemeClr val="tx1">
                <a:lumMod val="85000"/>
                <a:lumOff val="15000"/>
              </a:schemeClr>
            </a:gs>
          </a:gsLst>
          <a:lin ang="13500000" scaled="1"/>
          <a:tileRect/>
        </a:gradFill>
        <a:ln w="3175">
          <a:solidFill>
            <a:schemeClr val="bg1">
              <a:lumMod val="50000"/>
            </a:schemeClr>
          </a:solid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200"/>
        </a:p>
      </xdr:txBody>
    </xdr:sp>
    <xdr:clientData/>
  </xdr:twoCellAnchor>
  <xdr:twoCellAnchor>
    <xdr:from>
      <xdr:col>1</xdr:col>
      <xdr:colOff>540311</xdr:colOff>
      <xdr:row>10</xdr:row>
      <xdr:rowOff>145074</xdr:rowOff>
    </xdr:from>
    <xdr:to>
      <xdr:col>6</xdr:col>
      <xdr:colOff>395238</xdr:colOff>
      <xdr:row>17</xdr:row>
      <xdr:rowOff>148004</xdr:rowOff>
    </xdr:to>
    <xdr:sp macro="" textlink="">
      <xdr:nvSpPr>
        <xdr:cNvPr id="15" name="Rectangle: Rounded Corners 14">
          <a:extLst>
            <a:ext uri="{FF2B5EF4-FFF2-40B4-BE49-F238E27FC236}">
              <a16:creationId xmlns:a16="http://schemas.microsoft.com/office/drawing/2014/main" id="{72D018E5-B9F5-4665-B521-84885857973B}"/>
            </a:ext>
          </a:extLst>
        </xdr:cNvPr>
        <xdr:cNvSpPr/>
      </xdr:nvSpPr>
      <xdr:spPr>
        <a:xfrm>
          <a:off x="9983633562" y="1962151"/>
          <a:ext cx="2902927" cy="1274884"/>
        </a:xfrm>
        <a:prstGeom prst="roundRect">
          <a:avLst>
            <a:gd name="adj" fmla="val 5457"/>
          </a:avLst>
        </a:prstGeom>
        <a:gradFill flip="none" rotWithShape="1">
          <a:gsLst>
            <a:gs pos="0">
              <a:schemeClr val="tx1">
                <a:lumMod val="95000"/>
                <a:lumOff val="5000"/>
              </a:schemeClr>
            </a:gs>
            <a:gs pos="100000">
              <a:schemeClr val="tx1">
                <a:lumMod val="85000"/>
                <a:lumOff val="15000"/>
              </a:schemeClr>
            </a:gs>
          </a:gsLst>
          <a:lin ang="13500000" scaled="1"/>
          <a:tileRect/>
        </a:gradFill>
        <a:ln w="3175">
          <a:solidFill>
            <a:schemeClr val="bg1">
              <a:lumMod val="50000"/>
            </a:schemeClr>
          </a:solid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200"/>
        </a:p>
      </xdr:txBody>
    </xdr:sp>
    <xdr:clientData/>
  </xdr:twoCellAnchor>
  <xdr:twoCellAnchor>
    <xdr:from>
      <xdr:col>4</xdr:col>
      <xdr:colOff>184712</xdr:colOff>
      <xdr:row>5</xdr:row>
      <xdr:rowOff>122436</xdr:rowOff>
    </xdr:from>
    <xdr:to>
      <xdr:col>6</xdr:col>
      <xdr:colOff>407448</xdr:colOff>
      <xdr:row>10</xdr:row>
      <xdr:rowOff>15134</xdr:rowOff>
    </xdr:to>
    <xdr:grpSp>
      <xdr:nvGrpSpPr>
        <xdr:cNvPr id="16" name="Group 15">
          <a:extLst>
            <a:ext uri="{FF2B5EF4-FFF2-40B4-BE49-F238E27FC236}">
              <a16:creationId xmlns:a16="http://schemas.microsoft.com/office/drawing/2014/main" id="{2EDB1E49-2C29-41BE-B2EF-9017DF99B756}"/>
            </a:ext>
          </a:extLst>
        </xdr:cNvPr>
        <xdr:cNvGrpSpPr/>
      </xdr:nvGrpSpPr>
      <xdr:grpSpPr>
        <a:xfrm>
          <a:off x="10005612605" y="1028780"/>
          <a:ext cx="1444621" cy="799041"/>
          <a:chOff x="15143850371" y="1050786"/>
          <a:chExt cx="1380045" cy="861102"/>
        </a:xfrm>
      </xdr:grpSpPr>
      <xdr:cxnSp macro="">
        <xdr:nvCxnSpPr>
          <xdr:cNvPr id="17" name="Straight Connector 16">
            <a:extLst>
              <a:ext uri="{FF2B5EF4-FFF2-40B4-BE49-F238E27FC236}">
                <a16:creationId xmlns:a16="http://schemas.microsoft.com/office/drawing/2014/main" id="{E7E138AA-2011-9095-8C4B-7E3C2F719C26}"/>
              </a:ext>
            </a:extLst>
          </xdr:cNvPr>
          <xdr:cNvCxnSpPr/>
        </xdr:nvCxnSpPr>
        <xdr:spPr>
          <a:xfrm flipH="1" flipV="1">
            <a:off x="15143898538" y="1907802"/>
            <a:ext cx="1289106" cy="4086"/>
          </a:xfrm>
          <a:prstGeom prst="line">
            <a:avLst/>
          </a:prstGeom>
          <a:ln w="19050" cap="rnd">
            <a:solidFill>
              <a:srgbClr val="FFD700">
                <a:alpha val="43000"/>
              </a:srgbClr>
            </a:solidFill>
          </a:ln>
          <a:effectLst>
            <a:glow rad="114300">
              <a:schemeClr val="accent4">
                <a:satMod val="175000"/>
                <a:alpha val="40000"/>
              </a:schemeClr>
            </a:glow>
          </a:effectLst>
        </xdr:spPr>
        <xdr:style>
          <a:lnRef idx="1">
            <a:schemeClr val="accent1"/>
          </a:lnRef>
          <a:fillRef idx="0">
            <a:schemeClr val="accent1"/>
          </a:fillRef>
          <a:effectRef idx="0">
            <a:schemeClr val="accent1"/>
          </a:effectRef>
          <a:fontRef idx="minor">
            <a:schemeClr val="tx1"/>
          </a:fontRef>
        </xdr:style>
      </xdr:cxnSp>
      <xdr:sp macro="" textlink="">
        <xdr:nvSpPr>
          <xdr:cNvPr id="18" name="Rectangle: Rounded Corners 17">
            <a:extLst>
              <a:ext uri="{FF2B5EF4-FFF2-40B4-BE49-F238E27FC236}">
                <a16:creationId xmlns:a16="http://schemas.microsoft.com/office/drawing/2014/main" id="{2031B3D1-C4D6-A2A1-0AED-34E5EE271D44}"/>
              </a:ext>
            </a:extLst>
          </xdr:cNvPr>
          <xdr:cNvSpPr/>
        </xdr:nvSpPr>
        <xdr:spPr>
          <a:xfrm>
            <a:off x="15143850371" y="1050786"/>
            <a:ext cx="1380045" cy="856369"/>
          </a:xfrm>
          <a:prstGeom prst="roundRect">
            <a:avLst>
              <a:gd name="adj" fmla="val 5457"/>
            </a:avLst>
          </a:prstGeom>
          <a:gradFill flip="none" rotWithShape="1">
            <a:gsLst>
              <a:gs pos="0">
                <a:schemeClr val="tx1">
                  <a:lumMod val="95000"/>
                  <a:lumOff val="5000"/>
                </a:schemeClr>
              </a:gs>
              <a:gs pos="100000">
                <a:schemeClr val="tx1">
                  <a:lumMod val="85000"/>
                  <a:lumOff val="15000"/>
                </a:schemeClr>
              </a:gs>
            </a:gsLst>
            <a:lin ang="13500000" scaled="1"/>
            <a:tileRect/>
          </a:gradFill>
          <a:ln w="3175">
            <a:solidFill>
              <a:schemeClr val="bg1">
                <a:lumMod val="50000"/>
              </a:schemeClr>
            </a:solid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200"/>
          </a:p>
        </xdr:txBody>
      </xdr:sp>
    </xdr:grpSp>
    <xdr:clientData/>
  </xdr:twoCellAnchor>
  <xdr:twoCellAnchor>
    <xdr:from>
      <xdr:col>6</xdr:col>
      <xdr:colOff>485604</xdr:colOff>
      <xdr:row>5</xdr:row>
      <xdr:rowOff>122436</xdr:rowOff>
    </xdr:from>
    <xdr:to>
      <xdr:col>9</xdr:col>
      <xdr:colOff>66501</xdr:colOff>
      <xdr:row>10</xdr:row>
      <xdr:rowOff>16120</xdr:rowOff>
    </xdr:to>
    <xdr:grpSp>
      <xdr:nvGrpSpPr>
        <xdr:cNvPr id="19" name="Group 18">
          <a:extLst>
            <a:ext uri="{FF2B5EF4-FFF2-40B4-BE49-F238E27FC236}">
              <a16:creationId xmlns:a16="http://schemas.microsoft.com/office/drawing/2014/main" id="{D18F824D-87C0-4D6D-8DF6-3EE13D82D3DD}"/>
            </a:ext>
          </a:extLst>
        </xdr:cNvPr>
        <xdr:cNvGrpSpPr/>
      </xdr:nvGrpSpPr>
      <xdr:grpSpPr>
        <a:xfrm>
          <a:off x="10004120723" y="1028780"/>
          <a:ext cx="1413726" cy="800027"/>
          <a:chOff x="15117847846" y="1043212"/>
          <a:chExt cx="1377252" cy="860549"/>
        </a:xfrm>
      </xdr:grpSpPr>
      <xdr:cxnSp macro="">
        <xdr:nvCxnSpPr>
          <xdr:cNvPr id="20" name="Straight Connector 19">
            <a:extLst>
              <a:ext uri="{FF2B5EF4-FFF2-40B4-BE49-F238E27FC236}">
                <a16:creationId xmlns:a16="http://schemas.microsoft.com/office/drawing/2014/main" id="{E3B501C1-8054-2E73-A976-8DFED9EA4DC9}"/>
              </a:ext>
            </a:extLst>
          </xdr:cNvPr>
          <xdr:cNvCxnSpPr/>
        </xdr:nvCxnSpPr>
        <xdr:spPr>
          <a:xfrm flipH="1" flipV="1">
            <a:off x="15117887388" y="1043212"/>
            <a:ext cx="1287774" cy="4053"/>
          </a:xfrm>
          <a:prstGeom prst="line">
            <a:avLst/>
          </a:prstGeom>
          <a:ln w="19050" cap="rnd">
            <a:solidFill>
              <a:srgbClr val="FFD700">
                <a:alpha val="43000"/>
              </a:srgbClr>
            </a:solidFill>
          </a:ln>
          <a:effectLst>
            <a:glow rad="114300">
              <a:schemeClr val="accent4">
                <a:satMod val="175000"/>
                <a:alpha val="40000"/>
              </a:schemeClr>
            </a:glow>
          </a:effectLst>
        </xdr:spPr>
        <xdr:style>
          <a:lnRef idx="1">
            <a:schemeClr val="accent1"/>
          </a:lnRef>
          <a:fillRef idx="0">
            <a:schemeClr val="accent1"/>
          </a:fillRef>
          <a:effectRef idx="0">
            <a:schemeClr val="accent1"/>
          </a:effectRef>
          <a:fontRef idx="minor">
            <a:schemeClr val="tx1"/>
          </a:fontRef>
        </xdr:style>
      </xdr:cxnSp>
      <xdr:sp macro="" textlink="">
        <xdr:nvSpPr>
          <xdr:cNvPr id="21" name="Rectangle: Rounded Corners 20">
            <a:extLst>
              <a:ext uri="{FF2B5EF4-FFF2-40B4-BE49-F238E27FC236}">
                <a16:creationId xmlns:a16="http://schemas.microsoft.com/office/drawing/2014/main" id="{B443FD69-9C8D-6BE2-8F0B-4C9EC4C61029}"/>
              </a:ext>
            </a:extLst>
          </xdr:cNvPr>
          <xdr:cNvSpPr/>
        </xdr:nvSpPr>
        <xdr:spPr>
          <a:xfrm>
            <a:off x="15117847846" y="1048931"/>
            <a:ext cx="1377252" cy="854830"/>
          </a:xfrm>
          <a:prstGeom prst="roundRect">
            <a:avLst>
              <a:gd name="adj" fmla="val 5457"/>
            </a:avLst>
          </a:prstGeom>
          <a:gradFill flip="none" rotWithShape="1">
            <a:gsLst>
              <a:gs pos="0">
                <a:schemeClr val="tx1">
                  <a:lumMod val="95000"/>
                  <a:lumOff val="5000"/>
                </a:schemeClr>
              </a:gs>
              <a:gs pos="100000">
                <a:schemeClr val="tx1">
                  <a:lumMod val="85000"/>
                  <a:lumOff val="15000"/>
                </a:schemeClr>
              </a:gs>
            </a:gsLst>
            <a:lin ang="13500000" scaled="1"/>
            <a:tileRect/>
          </a:gradFill>
          <a:ln w="3175">
            <a:solidFill>
              <a:schemeClr val="bg1">
                <a:lumMod val="50000"/>
              </a:schemeClr>
            </a:solid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200"/>
          </a:p>
        </xdr:txBody>
      </xdr:sp>
    </xdr:grpSp>
    <xdr:clientData/>
  </xdr:twoCellAnchor>
  <xdr:twoCellAnchor>
    <xdr:from>
      <xdr:col>9</xdr:col>
      <xdr:colOff>144657</xdr:colOff>
      <xdr:row>5</xdr:row>
      <xdr:rowOff>122436</xdr:rowOff>
    </xdr:from>
    <xdr:to>
      <xdr:col>11</xdr:col>
      <xdr:colOff>372478</xdr:colOff>
      <xdr:row>10</xdr:row>
      <xdr:rowOff>13496</xdr:rowOff>
    </xdr:to>
    <xdr:grpSp>
      <xdr:nvGrpSpPr>
        <xdr:cNvPr id="22" name="Group 21">
          <a:extLst>
            <a:ext uri="{FF2B5EF4-FFF2-40B4-BE49-F238E27FC236}">
              <a16:creationId xmlns:a16="http://schemas.microsoft.com/office/drawing/2014/main" id="{D7DC668E-7ADC-44E7-AD87-538144D7BCCA}"/>
            </a:ext>
          </a:extLst>
        </xdr:cNvPr>
        <xdr:cNvGrpSpPr/>
      </xdr:nvGrpSpPr>
      <xdr:grpSpPr>
        <a:xfrm>
          <a:off x="10002592861" y="1028780"/>
          <a:ext cx="1449706" cy="797403"/>
          <a:chOff x="15112262378" y="1052537"/>
          <a:chExt cx="1381629" cy="864717"/>
        </a:xfrm>
      </xdr:grpSpPr>
      <xdr:grpSp>
        <xdr:nvGrpSpPr>
          <xdr:cNvPr id="23" name="Group 22">
            <a:extLst>
              <a:ext uri="{FF2B5EF4-FFF2-40B4-BE49-F238E27FC236}">
                <a16:creationId xmlns:a16="http://schemas.microsoft.com/office/drawing/2014/main" id="{F8EF5E3C-6501-7701-5996-7ACB6557EF7F}"/>
              </a:ext>
            </a:extLst>
          </xdr:cNvPr>
          <xdr:cNvGrpSpPr/>
        </xdr:nvGrpSpPr>
        <xdr:grpSpPr>
          <a:xfrm rot="10800000">
            <a:off x="15112262378" y="1187449"/>
            <a:ext cx="695107" cy="729805"/>
            <a:chOff x="15159101008" y="1052908"/>
            <a:chExt cx="697658" cy="726233"/>
          </a:xfrm>
        </xdr:grpSpPr>
        <xdr:cxnSp macro="">
          <xdr:nvCxnSpPr>
            <xdr:cNvPr id="25" name="Straight Connector 24">
              <a:extLst>
                <a:ext uri="{FF2B5EF4-FFF2-40B4-BE49-F238E27FC236}">
                  <a16:creationId xmlns:a16="http://schemas.microsoft.com/office/drawing/2014/main" id="{D4C16148-B519-6C23-F337-1A017251BCC3}"/>
                </a:ext>
              </a:extLst>
            </xdr:cNvPr>
            <xdr:cNvCxnSpPr/>
          </xdr:nvCxnSpPr>
          <xdr:spPr>
            <a:xfrm flipV="1">
              <a:off x="15159101008" y="1052908"/>
              <a:ext cx="696056" cy="665"/>
            </a:xfrm>
            <a:prstGeom prst="line">
              <a:avLst/>
            </a:prstGeom>
            <a:ln w="19050" cap="rnd">
              <a:solidFill>
                <a:srgbClr val="FFD700">
                  <a:alpha val="43000"/>
                </a:srgbClr>
              </a:solidFill>
            </a:ln>
            <a:effectLst>
              <a:glow rad="114300">
                <a:schemeClr val="accent4">
                  <a:satMod val="175000"/>
                  <a:alpha val="40000"/>
                </a:schemeClr>
              </a:glow>
            </a:effectLst>
          </xdr:spPr>
          <xdr:style>
            <a:lnRef idx="1">
              <a:schemeClr val="accent1"/>
            </a:lnRef>
            <a:fillRef idx="0">
              <a:schemeClr val="accent1"/>
            </a:fillRef>
            <a:effectRef idx="0">
              <a:schemeClr val="accent1"/>
            </a:effectRef>
            <a:fontRef idx="minor">
              <a:schemeClr val="tx1"/>
            </a:fontRef>
          </xdr:style>
        </xdr:cxnSp>
        <xdr:cxnSp macro="">
          <xdr:nvCxnSpPr>
            <xdr:cNvPr id="26" name="Straight Connector 25">
              <a:extLst>
                <a:ext uri="{FF2B5EF4-FFF2-40B4-BE49-F238E27FC236}">
                  <a16:creationId xmlns:a16="http://schemas.microsoft.com/office/drawing/2014/main" id="{A3106DDD-6C68-F631-EE21-3A1C63C21EB4}"/>
                </a:ext>
              </a:extLst>
            </xdr:cNvPr>
            <xdr:cNvCxnSpPr/>
          </xdr:nvCxnSpPr>
          <xdr:spPr>
            <a:xfrm flipV="1">
              <a:off x="15159793653" y="1064265"/>
              <a:ext cx="5013" cy="714876"/>
            </a:xfrm>
            <a:prstGeom prst="line">
              <a:avLst/>
            </a:prstGeom>
            <a:ln w="19050" cap="rnd">
              <a:solidFill>
                <a:srgbClr val="FFD700">
                  <a:alpha val="43000"/>
                </a:srgbClr>
              </a:solidFill>
            </a:ln>
            <a:effectLst>
              <a:glow rad="114300">
                <a:schemeClr val="accent4">
                  <a:satMod val="175000"/>
                  <a:alpha val="40000"/>
                </a:schemeClr>
              </a:glow>
            </a:effectLst>
          </xdr:spPr>
          <xdr:style>
            <a:lnRef idx="1">
              <a:schemeClr val="accent1"/>
            </a:lnRef>
            <a:fillRef idx="0">
              <a:schemeClr val="accent1"/>
            </a:fillRef>
            <a:effectRef idx="0">
              <a:schemeClr val="accent1"/>
            </a:effectRef>
            <a:fontRef idx="minor">
              <a:schemeClr val="tx1"/>
            </a:fontRef>
          </xdr:style>
        </xdr:cxnSp>
      </xdr:grpSp>
      <xdr:sp macro="" textlink="">
        <xdr:nvSpPr>
          <xdr:cNvPr id="24" name="Rectangle: Rounded Corners 23">
            <a:extLst>
              <a:ext uri="{FF2B5EF4-FFF2-40B4-BE49-F238E27FC236}">
                <a16:creationId xmlns:a16="http://schemas.microsoft.com/office/drawing/2014/main" id="{B5684B68-A49F-E0A7-1392-D6D55F00E14B}"/>
              </a:ext>
            </a:extLst>
          </xdr:cNvPr>
          <xdr:cNvSpPr/>
        </xdr:nvSpPr>
        <xdr:spPr>
          <a:xfrm>
            <a:off x="15112267463" y="1052537"/>
            <a:ext cx="1376544" cy="861622"/>
          </a:xfrm>
          <a:prstGeom prst="roundRect">
            <a:avLst>
              <a:gd name="adj" fmla="val 5457"/>
            </a:avLst>
          </a:prstGeom>
          <a:gradFill flip="none" rotWithShape="1">
            <a:gsLst>
              <a:gs pos="0">
                <a:schemeClr val="tx1">
                  <a:lumMod val="95000"/>
                  <a:lumOff val="5000"/>
                </a:schemeClr>
              </a:gs>
              <a:gs pos="100000">
                <a:schemeClr val="tx1">
                  <a:lumMod val="85000"/>
                  <a:lumOff val="15000"/>
                </a:schemeClr>
              </a:gs>
            </a:gsLst>
            <a:lin ang="13500000" scaled="1"/>
            <a:tileRect/>
          </a:gradFill>
          <a:ln w="3175">
            <a:solidFill>
              <a:schemeClr val="bg1">
                <a:lumMod val="50000"/>
              </a:schemeClr>
            </a:solid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200"/>
          </a:p>
        </xdr:txBody>
      </xdr:sp>
    </xdr:grpSp>
    <xdr:clientData/>
  </xdr:twoCellAnchor>
  <xdr:twoCellAnchor>
    <xdr:from>
      <xdr:col>1</xdr:col>
      <xdr:colOff>521677</xdr:colOff>
      <xdr:row>5</xdr:row>
      <xdr:rowOff>122436</xdr:rowOff>
    </xdr:from>
    <xdr:to>
      <xdr:col>4</xdr:col>
      <xdr:colOff>106555</xdr:colOff>
      <xdr:row>10</xdr:row>
      <xdr:rowOff>10401</xdr:rowOff>
    </xdr:to>
    <xdr:grpSp>
      <xdr:nvGrpSpPr>
        <xdr:cNvPr id="27" name="Group 26">
          <a:extLst>
            <a:ext uri="{FF2B5EF4-FFF2-40B4-BE49-F238E27FC236}">
              <a16:creationId xmlns:a16="http://schemas.microsoft.com/office/drawing/2014/main" id="{DFD7303A-69F1-44F8-A705-A9BAC8FC65CA}"/>
            </a:ext>
          </a:extLst>
        </xdr:cNvPr>
        <xdr:cNvGrpSpPr/>
      </xdr:nvGrpSpPr>
      <xdr:grpSpPr>
        <a:xfrm>
          <a:off x="10007135383" y="1028780"/>
          <a:ext cx="1417706" cy="794308"/>
          <a:chOff x="15158415134" y="1048625"/>
          <a:chExt cx="1383532" cy="858050"/>
        </a:xfrm>
      </xdr:grpSpPr>
      <xdr:grpSp>
        <xdr:nvGrpSpPr>
          <xdr:cNvPr id="28" name="Group 27">
            <a:extLst>
              <a:ext uri="{FF2B5EF4-FFF2-40B4-BE49-F238E27FC236}">
                <a16:creationId xmlns:a16="http://schemas.microsoft.com/office/drawing/2014/main" id="{2EE13A5C-9432-17CC-9661-4E4B3AEDDFD2}"/>
              </a:ext>
            </a:extLst>
          </xdr:cNvPr>
          <xdr:cNvGrpSpPr/>
        </xdr:nvGrpSpPr>
        <xdr:grpSpPr>
          <a:xfrm>
            <a:off x="15159101008" y="1052908"/>
            <a:ext cx="697658" cy="726233"/>
            <a:chOff x="15159101008" y="1052908"/>
            <a:chExt cx="697658" cy="726233"/>
          </a:xfrm>
        </xdr:grpSpPr>
        <xdr:cxnSp macro="">
          <xdr:nvCxnSpPr>
            <xdr:cNvPr id="30" name="Straight Connector 29">
              <a:extLst>
                <a:ext uri="{FF2B5EF4-FFF2-40B4-BE49-F238E27FC236}">
                  <a16:creationId xmlns:a16="http://schemas.microsoft.com/office/drawing/2014/main" id="{E74CE323-CDED-53F9-1889-82EAF5F62DB3}"/>
                </a:ext>
              </a:extLst>
            </xdr:cNvPr>
            <xdr:cNvCxnSpPr/>
          </xdr:nvCxnSpPr>
          <xdr:spPr>
            <a:xfrm flipV="1">
              <a:off x="15159101008" y="1052908"/>
              <a:ext cx="696056" cy="665"/>
            </a:xfrm>
            <a:prstGeom prst="line">
              <a:avLst/>
            </a:prstGeom>
            <a:ln w="19050" cap="rnd">
              <a:solidFill>
                <a:srgbClr val="FFD700">
                  <a:alpha val="43000"/>
                </a:srgbClr>
              </a:solidFill>
            </a:ln>
            <a:effectLst>
              <a:glow rad="114300">
                <a:schemeClr val="accent4">
                  <a:satMod val="175000"/>
                  <a:alpha val="40000"/>
                </a:schemeClr>
              </a:glow>
            </a:effectLst>
          </xdr:spPr>
          <xdr:style>
            <a:lnRef idx="1">
              <a:schemeClr val="accent1"/>
            </a:lnRef>
            <a:fillRef idx="0">
              <a:schemeClr val="accent1"/>
            </a:fillRef>
            <a:effectRef idx="0">
              <a:schemeClr val="accent1"/>
            </a:effectRef>
            <a:fontRef idx="minor">
              <a:schemeClr val="tx1"/>
            </a:fontRef>
          </xdr:style>
        </xdr:cxnSp>
        <xdr:cxnSp macro="">
          <xdr:nvCxnSpPr>
            <xdr:cNvPr id="31" name="Straight Connector 30">
              <a:extLst>
                <a:ext uri="{FF2B5EF4-FFF2-40B4-BE49-F238E27FC236}">
                  <a16:creationId xmlns:a16="http://schemas.microsoft.com/office/drawing/2014/main" id="{7B1DF8D4-5BC3-3246-8230-FDE2DB02F3B2}"/>
                </a:ext>
              </a:extLst>
            </xdr:cNvPr>
            <xdr:cNvCxnSpPr/>
          </xdr:nvCxnSpPr>
          <xdr:spPr>
            <a:xfrm flipV="1">
              <a:off x="15159793653" y="1064265"/>
              <a:ext cx="5013" cy="714876"/>
            </a:xfrm>
            <a:prstGeom prst="line">
              <a:avLst/>
            </a:prstGeom>
            <a:ln w="19050" cap="rnd">
              <a:solidFill>
                <a:srgbClr val="FFD700">
                  <a:alpha val="43000"/>
                </a:srgbClr>
              </a:solidFill>
            </a:ln>
            <a:effectLst>
              <a:glow rad="114300">
                <a:schemeClr val="accent4">
                  <a:satMod val="175000"/>
                  <a:alpha val="40000"/>
                </a:schemeClr>
              </a:glow>
            </a:effectLst>
          </xdr:spPr>
          <xdr:style>
            <a:lnRef idx="1">
              <a:schemeClr val="accent1"/>
            </a:lnRef>
            <a:fillRef idx="0">
              <a:schemeClr val="accent1"/>
            </a:fillRef>
            <a:effectRef idx="0">
              <a:schemeClr val="accent1"/>
            </a:effectRef>
            <a:fontRef idx="minor">
              <a:schemeClr val="tx1"/>
            </a:fontRef>
          </xdr:style>
        </xdr:cxnSp>
      </xdr:grpSp>
      <xdr:sp macro="" textlink="">
        <xdr:nvSpPr>
          <xdr:cNvPr id="29" name="Rectangle: Rounded Corners 28">
            <a:extLst>
              <a:ext uri="{FF2B5EF4-FFF2-40B4-BE49-F238E27FC236}">
                <a16:creationId xmlns:a16="http://schemas.microsoft.com/office/drawing/2014/main" id="{42B74FD1-6E1D-830C-B845-BB573C6A4CA3}"/>
              </a:ext>
            </a:extLst>
          </xdr:cNvPr>
          <xdr:cNvSpPr/>
        </xdr:nvSpPr>
        <xdr:spPr>
          <a:xfrm>
            <a:off x="15158415134" y="1048625"/>
            <a:ext cx="1379551" cy="858050"/>
          </a:xfrm>
          <a:prstGeom prst="roundRect">
            <a:avLst>
              <a:gd name="adj" fmla="val 5457"/>
            </a:avLst>
          </a:prstGeom>
          <a:gradFill flip="none" rotWithShape="1">
            <a:gsLst>
              <a:gs pos="0">
                <a:schemeClr val="tx1">
                  <a:lumMod val="95000"/>
                  <a:lumOff val="5000"/>
                </a:schemeClr>
              </a:gs>
              <a:gs pos="100000">
                <a:schemeClr val="tx1">
                  <a:lumMod val="85000"/>
                  <a:lumOff val="15000"/>
                </a:schemeClr>
              </a:gs>
            </a:gsLst>
            <a:lin ang="13500000" scaled="1"/>
            <a:tileRect/>
          </a:gradFill>
          <a:ln w="3175">
            <a:solidFill>
              <a:schemeClr val="bg1">
                <a:lumMod val="50000"/>
              </a:schemeClr>
            </a:solid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200"/>
          </a:p>
        </xdr:txBody>
      </xdr:sp>
    </xdr:grpSp>
    <xdr:clientData/>
  </xdr:twoCellAnchor>
  <xdr:twoCellAnchor>
    <xdr:from>
      <xdr:col>0</xdr:col>
      <xdr:colOff>0</xdr:colOff>
      <xdr:row>9</xdr:row>
      <xdr:rowOff>5861</xdr:rowOff>
    </xdr:from>
    <xdr:to>
      <xdr:col>0</xdr:col>
      <xdr:colOff>512885</xdr:colOff>
      <xdr:row>20</xdr:row>
      <xdr:rowOff>74976</xdr:rowOff>
    </xdr:to>
    <xdr:sp macro="" textlink="">
      <xdr:nvSpPr>
        <xdr:cNvPr id="32" name="Freeform: Shape 31">
          <a:extLst>
            <a:ext uri="{FF2B5EF4-FFF2-40B4-BE49-F238E27FC236}">
              <a16:creationId xmlns:a16="http://schemas.microsoft.com/office/drawing/2014/main" id="{1343848B-6854-4DFB-9FA7-3CDA27F501E2}"/>
            </a:ext>
          </a:extLst>
        </xdr:cNvPr>
        <xdr:cNvSpPr/>
      </xdr:nvSpPr>
      <xdr:spPr>
        <a:xfrm flipV="1">
          <a:off x="9987173515" y="1641230"/>
          <a:ext cx="512885" cy="2067900"/>
        </a:xfrm>
        <a:custGeom>
          <a:avLst/>
          <a:gdLst>
            <a:gd name="connsiteX0" fmla="*/ 1057890 w 1064526"/>
            <a:gd name="connsiteY0" fmla="*/ 5123482 h 5123482"/>
            <a:gd name="connsiteX1" fmla="*/ 1064526 w 1064526"/>
            <a:gd name="connsiteY1" fmla="*/ 5090611 h 5123482"/>
            <a:gd name="connsiteX2" fmla="*/ 1064526 w 1064526"/>
            <a:gd name="connsiteY2" fmla="*/ 4441089 h 5123482"/>
            <a:gd name="connsiteX3" fmla="*/ 1064526 w 1064526"/>
            <a:gd name="connsiteY3" fmla="*/ 682393 h 5123482"/>
            <a:gd name="connsiteX4" fmla="*/ 1064526 w 1064526"/>
            <a:gd name="connsiteY4" fmla="*/ 32871 h 5123482"/>
            <a:gd name="connsiteX5" fmla="*/ 1057890 w 1064526"/>
            <a:gd name="connsiteY5" fmla="*/ 0 h 5123482"/>
            <a:gd name="connsiteX6" fmla="*/ 977863 w 1064526"/>
            <a:gd name="connsiteY6" fmla="*/ 75386 h 5123482"/>
            <a:gd name="connsiteX7" fmla="*/ 179137 w 1064526"/>
            <a:gd name="connsiteY7" fmla="*/ 490532 h 5123482"/>
            <a:gd name="connsiteX8" fmla="*/ 0 w 1064526"/>
            <a:gd name="connsiteY8" fmla="*/ 539917 h 5123482"/>
            <a:gd name="connsiteX9" fmla="*/ 0 w 1064526"/>
            <a:gd name="connsiteY9" fmla="*/ 682393 h 5123482"/>
            <a:gd name="connsiteX10" fmla="*/ 0 w 1064526"/>
            <a:gd name="connsiteY10" fmla="*/ 4441089 h 5123482"/>
            <a:gd name="connsiteX11" fmla="*/ 0 w 1064526"/>
            <a:gd name="connsiteY11" fmla="*/ 4583565 h 5123482"/>
            <a:gd name="connsiteX12" fmla="*/ 179137 w 1064526"/>
            <a:gd name="connsiteY12" fmla="*/ 4632950 h 5123482"/>
            <a:gd name="connsiteX13" fmla="*/ 977863 w 1064526"/>
            <a:gd name="connsiteY13" fmla="*/ 5048096 h 512348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Lst>
          <a:rect l="l" t="t" r="r" b="b"/>
          <a:pathLst>
            <a:path w="1064526" h="5123482">
              <a:moveTo>
                <a:pt x="1057890" y="5123482"/>
              </a:moveTo>
              <a:lnTo>
                <a:pt x="1064526" y="5090611"/>
              </a:lnTo>
              <a:lnTo>
                <a:pt x="1064526" y="4441089"/>
              </a:lnTo>
              <a:lnTo>
                <a:pt x="1064526" y="682393"/>
              </a:lnTo>
              <a:lnTo>
                <a:pt x="1064526" y="32871"/>
              </a:lnTo>
              <a:lnTo>
                <a:pt x="1057890" y="0"/>
              </a:lnTo>
              <a:lnTo>
                <a:pt x="977863" y="75386"/>
              </a:lnTo>
              <a:cubicBezTo>
                <a:pt x="774297" y="247827"/>
                <a:pt x="500147" y="390734"/>
                <a:pt x="179137" y="490532"/>
              </a:cubicBezTo>
              <a:lnTo>
                <a:pt x="0" y="539917"/>
              </a:lnTo>
              <a:lnTo>
                <a:pt x="0" y="682393"/>
              </a:lnTo>
              <a:lnTo>
                <a:pt x="0" y="4441089"/>
              </a:lnTo>
              <a:lnTo>
                <a:pt x="0" y="4583565"/>
              </a:lnTo>
              <a:lnTo>
                <a:pt x="179137" y="4632950"/>
              </a:lnTo>
              <a:cubicBezTo>
                <a:pt x="500147" y="4732748"/>
                <a:pt x="774297" y="4875655"/>
                <a:pt x="977863" y="5048096"/>
              </a:cubicBezTo>
              <a:close/>
            </a:path>
          </a:pathLst>
        </a:custGeom>
        <a:gradFill flip="none" rotWithShape="1">
          <a:gsLst>
            <a:gs pos="100000">
              <a:srgbClr val="013220"/>
            </a:gs>
            <a:gs pos="55000">
              <a:schemeClr val="tx1"/>
            </a:gs>
            <a:gs pos="0">
              <a:schemeClr val="tx1"/>
            </a:gs>
          </a:gsLst>
          <a:path path="circle">
            <a:fillToRect l="50000" t="50000" r="50000" b="50000"/>
          </a:path>
          <a:tileRect/>
        </a:gradFill>
        <a:ln w="3175">
          <a:solidFill>
            <a:schemeClr val="tx1">
              <a:lumMod val="50000"/>
              <a:lumOff val="50000"/>
            </a:schemeClr>
          </a:solid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r" rtl="1"/>
          <a:endParaRPr lang="en-GB" sz="1100">
            <a:solidFill>
              <a:schemeClr val="lt1"/>
            </a:solidFill>
            <a:latin typeface="+mn-lt"/>
            <a:ea typeface="+mn-ea"/>
            <a:cs typeface="+mn-cs"/>
          </a:endParaRPr>
        </a:p>
      </xdr:txBody>
    </xdr:sp>
    <xdr:clientData/>
  </xdr:twoCellAnchor>
  <xdr:twoCellAnchor editAs="oneCell">
    <xdr:from>
      <xdr:col>0</xdr:col>
      <xdr:colOff>72076</xdr:colOff>
      <xdr:row>12</xdr:row>
      <xdr:rowOff>94981</xdr:rowOff>
    </xdr:from>
    <xdr:to>
      <xdr:col>0</xdr:col>
      <xdr:colOff>396076</xdr:colOff>
      <xdr:row>14</xdr:row>
      <xdr:rowOff>22172</xdr:rowOff>
    </xdr:to>
    <xdr:pic>
      <xdr:nvPicPr>
        <xdr:cNvPr id="33" name="Graphic 32" descr="Bullseye with solid fill">
          <a:hlinkClick xmlns:r="http://schemas.openxmlformats.org/officeDocument/2006/relationships" r:id="rId1"/>
          <a:extLst>
            <a:ext uri="{FF2B5EF4-FFF2-40B4-BE49-F238E27FC236}">
              <a16:creationId xmlns:a16="http://schemas.microsoft.com/office/drawing/2014/main" id="{0064004A-1D37-4E5C-9551-A3BF7265657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9987290324" y="2275473"/>
          <a:ext cx="324000" cy="290607"/>
        </a:xfrm>
        <a:prstGeom prst="rect">
          <a:avLst/>
        </a:prstGeom>
      </xdr:spPr>
    </xdr:pic>
    <xdr:clientData/>
  </xdr:twoCellAnchor>
  <xdr:twoCellAnchor editAs="oneCell">
    <xdr:from>
      <xdr:col>0</xdr:col>
      <xdr:colOff>72076</xdr:colOff>
      <xdr:row>10</xdr:row>
      <xdr:rowOff>78376</xdr:rowOff>
    </xdr:from>
    <xdr:to>
      <xdr:col>0</xdr:col>
      <xdr:colOff>396076</xdr:colOff>
      <xdr:row>12</xdr:row>
      <xdr:rowOff>24173</xdr:rowOff>
    </xdr:to>
    <xdr:pic>
      <xdr:nvPicPr>
        <xdr:cNvPr id="34" name="Graphic 33" descr="Home with solid fill">
          <a:extLst>
            <a:ext uri="{FF2B5EF4-FFF2-40B4-BE49-F238E27FC236}">
              <a16:creationId xmlns:a16="http://schemas.microsoft.com/office/drawing/2014/main" id="{3E069616-A04A-4C43-AAD3-E058838B9A6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9987290324" y="1895453"/>
          <a:ext cx="324000" cy="309212"/>
        </a:xfrm>
        <a:prstGeom prst="rect">
          <a:avLst/>
        </a:prstGeom>
      </xdr:spPr>
    </xdr:pic>
    <xdr:clientData/>
  </xdr:twoCellAnchor>
  <xdr:twoCellAnchor editAs="oneCell">
    <xdr:from>
      <xdr:col>0</xdr:col>
      <xdr:colOff>72076</xdr:colOff>
      <xdr:row>16</xdr:row>
      <xdr:rowOff>113468</xdr:rowOff>
    </xdr:from>
    <xdr:to>
      <xdr:col>0</xdr:col>
      <xdr:colOff>396076</xdr:colOff>
      <xdr:row>18</xdr:row>
      <xdr:rowOff>43524</xdr:rowOff>
    </xdr:to>
    <xdr:pic>
      <xdr:nvPicPr>
        <xdr:cNvPr id="35" name="Graphic 34" descr="Podium with solid fill">
          <a:hlinkClick xmlns:r="http://schemas.openxmlformats.org/officeDocument/2006/relationships" r:id="rId6"/>
          <a:extLst>
            <a:ext uri="{FF2B5EF4-FFF2-40B4-BE49-F238E27FC236}">
              <a16:creationId xmlns:a16="http://schemas.microsoft.com/office/drawing/2014/main" id="{03EFEE52-72CB-4FF1-802C-1C2E285FE19F}"/>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9987290324" y="3020791"/>
          <a:ext cx="324000" cy="293471"/>
        </a:xfrm>
        <a:prstGeom prst="rect">
          <a:avLst/>
        </a:prstGeom>
      </xdr:spPr>
    </xdr:pic>
    <xdr:clientData/>
  </xdr:twoCellAnchor>
  <xdr:twoCellAnchor editAs="oneCell">
    <xdr:from>
      <xdr:col>0</xdr:col>
      <xdr:colOff>70338</xdr:colOff>
      <xdr:row>14</xdr:row>
      <xdr:rowOff>92980</xdr:rowOff>
    </xdr:from>
    <xdr:to>
      <xdr:col>0</xdr:col>
      <xdr:colOff>394338</xdr:colOff>
      <xdr:row>16</xdr:row>
      <xdr:rowOff>42659</xdr:rowOff>
    </xdr:to>
    <xdr:pic>
      <xdr:nvPicPr>
        <xdr:cNvPr id="36" name="Graphic 35" descr="Checklist with solid fill">
          <a:extLst>
            <a:ext uri="{FF2B5EF4-FFF2-40B4-BE49-F238E27FC236}">
              <a16:creationId xmlns:a16="http://schemas.microsoft.com/office/drawing/2014/main" id="{E2174D6C-0552-45DC-9B13-439AF22EDBBA}"/>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9987292062" y="2636888"/>
          <a:ext cx="324000" cy="313094"/>
        </a:xfrm>
        <a:prstGeom prst="rect">
          <a:avLst/>
        </a:prstGeom>
      </xdr:spPr>
    </xdr:pic>
    <xdr:clientData/>
  </xdr:twoCellAnchor>
  <xdr:twoCellAnchor>
    <xdr:from>
      <xdr:col>1</xdr:col>
      <xdr:colOff>590550</xdr:colOff>
      <xdr:row>7</xdr:row>
      <xdr:rowOff>35169</xdr:rowOff>
    </xdr:from>
    <xdr:to>
      <xdr:col>4</xdr:col>
      <xdr:colOff>10257</xdr:colOff>
      <xdr:row>8</xdr:row>
      <xdr:rowOff>129686</xdr:rowOff>
    </xdr:to>
    <xdr:sp macro="" textlink="pivot!D3">
      <xdr:nvSpPr>
        <xdr:cNvPr id="120" name="TextBox 119">
          <a:extLst>
            <a:ext uri="{FF2B5EF4-FFF2-40B4-BE49-F238E27FC236}">
              <a16:creationId xmlns:a16="http://schemas.microsoft.com/office/drawing/2014/main" id="{28F5B6D5-E8F0-428E-AF89-BD5BAF7CA64E}"/>
            </a:ext>
          </a:extLst>
        </xdr:cNvPr>
        <xdr:cNvSpPr txBox="1"/>
      </xdr:nvSpPr>
      <xdr:spPr>
        <a:xfrm>
          <a:off x="9985237743" y="1301994"/>
          <a:ext cx="1248507" cy="275492"/>
        </a:xfrm>
        <a:prstGeom prst="rect">
          <a:avLst/>
        </a:prstGeom>
        <a:noFill/>
        <a:ln w="9525" cmpd="sng">
          <a:noFill/>
        </a:ln>
        <a:effectLst/>
      </xdr:spPr>
      <xdr:txBody>
        <a:bodyPr vertOverflow="clip" horzOverflow="clip" wrap="square" lIns="0" tIns="0" rIns="0" bIns="0" rtlCol="0" anchor="ctr"/>
        <a:lstStyle/>
        <a:p>
          <a:pPr marL="0" marR="0" lvl="0" indent="0" algn="ctr" defTabSz="914400" rtl="1" eaLnBrk="1" fontAlgn="auto" latinLnBrk="0" hangingPunct="1">
            <a:lnSpc>
              <a:spcPct val="100000"/>
            </a:lnSpc>
            <a:spcBef>
              <a:spcPts val="0"/>
            </a:spcBef>
            <a:spcAft>
              <a:spcPts val="0"/>
            </a:spcAft>
            <a:buClrTx/>
            <a:buSzTx/>
            <a:buFontTx/>
            <a:buNone/>
            <a:tabLst/>
            <a:defRPr/>
          </a:pPr>
          <a:fld id="{5F2095E8-2F75-488F-9765-034E3774BB11}" type="TxLink">
            <a:rPr kumimoji="0" lang="en-US" sz="1400" b="0" i="0" u="none" strike="noStrike" kern="0" cap="none" spc="0" normalizeH="0" baseline="0" noProof="0">
              <a:ln>
                <a:noFill/>
              </a:ln>
              <a:solidFill>
                <a:srgbClr val="00B050"/>
              </a:solidFill>
              <a:effectLst/>
              <a:uLnTx/>
              <a:uFillTx/>
              <a:latin typeface="Vazirmatn FD" pitchFamily="2" charset="-78"/>
              <a:ea typeface="Calibri"/>
              <a:cs typeface="Vazirmatn FD" pitchFamily="2" charset="-78"/>
            </a:rPr>
            <a:pPr marL="0" marR="0" lvl="0" indent="0" algn="ctr" defTabSz="914400" rtl="1" eaLnBrk="1" fontAlgn="auto" latinLnBrk="0" hangingPunct="1">
              <a:lnSpc>
                <a:spcPct val="100000"/>
              </a:lnSpc>
              <a:spcBef>
                <a:spcPts val="0"/>
              </a:spcBef>
              <a:spcAft>
                <a:spcPts val="0"/>
              </a:spcAft>
              <a:buClrTx/>
              <a:buSzTx/>
              <a:buFontTx/>
              <a:buNone/>
              <a:tabLst/>
              <a:defRPr/>
            </a:pPr>
            <a:t>▲4,979,546,322</a:t>
          </a:fld>
          <a:endParaRPr kumimoji="0" lang="en-GB" sz="2000" b="1" i="0" u="none" strike="noStrike" kern="0" cap="none" spc="0" normalizeH="0" baseline="0" noProof="0">
            <a:ln>
              <a:noFill/>
            </a:ln>
            <a:solidFill>
              <a:srgbClr val="00B050"/>
            </a:solidFill>
            <a:effectLst/>
            <a:uLnTx/>
            <a:uFillTx/>
            <a:latin typeface="Vazirmatn FD" pitchFamily="2" charset="-78"/>
            <a:ea typeface="+mn-ea"/>
            <a:cs typeface="Vazirmatn FD" pitchFamily="2" charset="-78"/>
          </a:endParaRPr>
        </a:p>
      </xdr:txBody>
    </xdr:sp>
    <xdr:clientData/>
  </xdr:twoCellAnchor>
  <xdr:twoCellAnchor>
    <xdr:from>
      <xdr:col>1</xdr:col>
      <xdr:colOff>605204</xdr:colOff>
      <xdr:row>5</xdr:row>
      <xdr:rowOff>121627</xdr:rowOff>
    </xdr:from>
    <xdr:to>
      <xdr:col>4</xdr:col>
      <xdr:colOff>24911</xdr:colOff>
      <xdr:row>7</xdr:row>
      <xdr:rowOff>35170</xdr:rowOff>
    </xdr:to>
    <xdr:sp macro="" textlink="">
      <xdr:nvSpPr>
        <xdr:cNvPr id="121" name="TextBox 120">
          <a:extLst>
            <a:ext uri="{FF2B5EF4-FFF2-40B4-BE49-F238E27FC236}">
              <a16:creationId xmlns:a16="http://schemas.microsoft.com/office/drawing/2014/main" id="{947D9B42-1B95-42F4-BE8C-21778DC5D439}"/>
            </a:ext>
          </a:extLst>
        </xdr:cNvPr>
        <xdr:cNvSpPr txBox="1"/>
      </xdr:nvSpPr>
      <xdr:spPr>
        <a:xfrm>
          <a:off x="9985223089" y="1026502"/>
          <a:ext cx="1248507" cy="275493"/>
        </a:xfrm>
        <a:prstGeom prst="rect">
          <a:avLst/>
        </a:prstGeom>
        <a:noFill/>
        <a:ln w="9525" cmpd="sng">
          <a:noFill/>
        </a:ln>
        <a:effectLst/>
      </xdr:spPr>
      <xdr:txBody>
        <a:bodyPr vertOverflow="clip" horzOverflow="clip" wrap="square" lIns="0" tIns="0" rIns="0" bIns="0" rtlCol="0" anchor="ctr"/>
        <a:lstStyle/>
        <a:p>
          <a:pPr marL="0" marR="0" lvl="0" indent="0" algn="ctr" defTabSz="914400" rtl="1" eaLnBrk="1" fontAlgn="auto" latinLnBrk="0" hangingPunct="1">
            <a:lnSpc>
              <a:spcPct val="100000"/>
            </a:lnSpc>
            <a:spcBef>
              <a:spcPts val="0"/>
            </a:spcBef>
            <a:spcAft>
              <a:spcPts val="0"/>
            </a:spcAft>
            <a:buClrTx/>
            <a:buSzTx/>
            <a:buFontTx/>
            <a:buNone/>
            <a:tabLst/>
            <a:defRPr/>
          </a:pPr>
          <a:r>
            <a:rPr kumimoji="0" lang="fa-IR" sz="1100" b="0" i="0" u="none" strike="noStrike" kern="0" cap="none" spc="0" normalizeH="0" baseline="0" noProof="0">
              <a:ln>
                <a:noFill/>
              </a:ln>
              <a:solidFill>
                <a:sysClr val="window" lastClr="FFFFFF"/>
              </a:solidFill>
              <a:effectLst/>
              <a:uLnTx/>
              <a:uFillTx/>
              <a:latin typeface="Vazirmatn FD Black" pitchFamily="2" charset="-78"/>
              <a:ea typeface="+mn-ea"/>
              <a:cs typeface="Vazirmatn FD Black" pitchFamily="2" charset="-78"/>
            </a:rPr>
            <a:t>افزایش فروش </a:t>
          </a:r>
          <a:endParaRPr kumimoji="0" lang="en-US" sz="1100" b="0" i="0" u="none" strike="noStrike" kern="0" cap="none" spc="0" normalizeH="0" baseline="0" noProof="0">
            <a:ln>
              <a:noFill/>
            </a:ln>
            <a:solidFill>
              <a:sysClr val="window" lastClr="FFFFFF"/>
            </a:solidFill>
            <a:effectLst/>
            <a:uLnTx/>
            <a:uFillTx/>
            <a:latin typeface="Vazirmatn FD Black" pitchFamily="2" charset="-78"/>
            <a:ea typeface="+mn-ea"/>
            <a:cs typeface="Vazirmatn FD Black" pitchFamily="2" charset="-78"/>
          </a:endParaRPr>
        </a:p>
      </xdr:txBody>
    </xdr:sp>
    <xdr:clientData/>
  </xdr:twoCellAnchor>
  <xdr:twoCellAnchor>
    <xdr:from>
      <xdr:col>1</xdr:col>
      <xdr:colOff>590550</xdr:colOff>
      <xdr:row>8</xdr:row>
      <xdr:rowOff>107707</xdr:rowOff>
    </xdr:from>
    <xdr:to>
      <xdr:col>4</xdr:col>
      <xdr:colOff>10257</xdr:colOff>
      <xdr:row>10</xdr:row>
      <xdr:rowOff>21249</xdr:rowOff>
    </xdr:to>
    <xdr:sp macro="" textlink="">
      <xdr:nvSpPr>
        <xdr:cNvPr id="122" name="TextBox 121">
          <a:extLst>
            <a:ext uri="{FF2B5EF4-FFF2-40B4-BE49-F238E27FC236}">
              <a16:creationId xmlns:a16="http://schemas.microsoft.com/office/drawing/2014/main" id="{94E155A0-1703-4F2D-9D2D-5ED73265FA4E}"/>
            </a:ext>
          </a:extLst>
        </xdr:cNvPr>
        <xdr:cNvSpPr txBox="1"/>
      </xdr:nvSpPr>
      <xdr:spPr>
        <a:xfrm>
          <a:off x="9985237743" y="1555507"/>
          <a:ext cx="1248507" cy="275492"/>
        </a:xfrm>
        <a:prstGeom prst="rect">
          <a:avLst/>
        </a:prstGeom>
        <a:noFill/>
        <a:ln w="9525" cmpd="sng">
          <a:noFill/>
        </a:ln>
        <a:effectLst/>
      </xdr:spPr>
      <xdr:txBody>
        <a:bodyPr vertOverflow="clip" horzOverflow="clip" wrap="square" lIns="0" tIns="0" rIns="0" bIns="0" rtlCol="0" anchor="ctr"/>
        <a:lstStyle/>
        <a:p>
          <a:pPr marL="0" marR="0" lvl="0" indent="0" algn="ctr" defTabSz="914400" rtl="1" eaLnBrk="1" fontAlgn="auto" latinLnBrk="0" hangingPunct="1">
            <a:lnSpc>
              <a:spcPct val="100000"/>
            </a:lnSpc>
            <a:spcBef>
              <a:spcPts val="0"/>
            </a:spcBef>
            <a:spcAft>
              <a:spcPts val="0"/>
            </a:spcAft>
            <a:buClrTx/>
            <a:buSzTx/>
            <a:buFontTx/>
            <a:buNone/>
            <a:tabLst/>
            <a:defRPr/>
          </a:pPr>
          <a:r>
            <a:rPr kumimoji="0" lang="fa-IR" sz="800" b="0" i="0" u="none" strike="noStrike" kern="0" cap="none" spc="0" normalizeH="0" baseline="0" noProof="0">
              <a:ln>
                <a:noFill/>
              </a:ln>
              <a:solidFill>
                <a:sysClr val="window" lastClr="FFFFFF"/>
              </a:solidFill>
              <a:effectLst/>
              <a:uLnTx/>
              <a:uFillTx/>
              <a:latin typeface="Vazirmatn FD Black" pitchFamily="2" charset="-78"/>
              <a:ea typeface="+mn-ea"/>
              <a:cs typeface="Vazirmatn FD Black" pitchFamily="2" charset="-78"/>
            </a:rPr>
            <a:t>مقایسه با سال گذشته</a:t>
          </a:r>
          <a:endParaRPr kumimoji="0" lang="en-US" sz="800" b="0" i="0" u="none" strike="noStrike" kern="0" cap="none" spc="0" normalizeH="0" baseline="0" noProof="0">
            <a:ln>
              <a:noFill/>
            </a:ln>
            <a:solidFill>
              <a:sysClr val="window" lastClr="FFFFFF"/>
            </a:solidFill>
            <a:effectLst/>
            <a:uLnTx/>
            <a:uFillTx/>
            <a:latin typeface="Vazirmatn FD Black" pitchFamily="2" charset="-78"/>
            <a:ea typeface="+mn-ea"/>
            <a:cs typeface="Vazirmatn FD Black" pitchFamily="2" charset="-78"/>
          </a:endParaRPr>
        </a:p>
      </xdr:txBody>
    </xdr:sp>
    <xdr:clientData/>
  </xdr:twoCellAnchor>
  <xdr:twoCellAnchor>
    <xdr:from>
      <xdr:col>4</xdr:col>
      <xdr:colOff>252045</xdr:colOff>
      <xdr:row>7</xdr:row>
      <xdr:rowOff>35169</xdr:rowOff>
    </xdr:from>
    <xdr:to>
      <xdr:col>6</xdr:col>
      <xdr:colOff>313591</xdr:colOff>
      <xdr:row>8</xdr:row>
      <xdr:rowOff>129686</xdr:rowOff>
    </xdr:to>
    <xdr:sp macro="" textlink="pivot!B10">
      <xdr:nvSpPr>
        <xdr:cNvPr id="123" name="TextBox 122">
          <a:extLst>
            <a:ext uri="{FF2B5EF4-FFF2-40B4-BE49-F238E27FC236}">
              <a16:creationId xmlns:a16="http://schemas.microsoft.com/office/drawing/2014/main" id="{E9C3B17D-314B-40F2-93C3-59B50F905C08}"/>
            </a:ext>
          </a:extLst>
        </xdr:cNvPr>
        <xdr:cNvSpPr txBox="1"/>
      </xdr:nvSpPr>
      <xdr:spPr>
        <a:xfrm>
          <a:off x="9983715209" y="1301994"/>
          <a:ext cx="1280746" cy="275492"/>
        </a:xfrm>
        <a:prstGeom prst="rect">
          <a:avLst/>
        </a:prstGeom>
        <a:noFill/>
        <a:ln w="9525" cmpd="sng">
          <a:noFill/>
        </a:ln>
        <a:effectLst/>
      </xdr:spPr>
      <xdr:txBody>
        <a:bodyPr vertOverflow="clip" horzOverflow="clip" wrap="square" lIns="0" tIns="0" rIns="0" bIns="0" rtlCol="0" anchor="ctr"/>
        <a:lstStyle/>
        <a:p>
          <a:pPr marL="0" marR="0" lvl="0" indent="0" algn="ctr" defTabSz="914400" rtl="1" eaLnBrk="1" fontAlgn="auto" latinLnBrk="0" hangingPunct="1">
            <a:lnSpc>
              <a:spcPct val="100000"/>
            </a:lnSpc>
            <a:spcBef>
              <a:spcPts val="0"/>
            </a:spcBef>
            <a:spcAft>
              <a:spcPts val="0"/>
            </a:spcAft>
            <a:buClrTx/>
            <a:buSzTx/>
            <a:buFontTx/>
            <a:buNone/>
            <a:tabLst/>
            <a:defRPr/>
          </a:pPr>
          <a:fld id="{91F9A666-2910-43EC-A0EC-AD359B915D5D}" type="TxLink">
            <a:rPr kumimoji="0" lang="en-US" sz="1400" b="0" i="0" u="none" strike="noStrike" kern="0" cap="none" spc="0" normalizeH="0" baseline="0" noProof="0">
              <a:ln>
                <a:noFill/>
              </a:ln>
              <a:solidFill>
                <a:srgbClr val="FFDC2D"/>
              </a:solidFill>
              <a:effectLst/>
              <a:uLnTx/>
              <a:uFillTx/>
              <a:latin typeface="Vazirmatn FD" pitchFamily="2" charset="-78"/>
              <a:ea typeface="Calibri"/>
              <a:cs typeface="Vazirmatn FD" pitchFamily="2" charset="-78"/>
            </a:rPr>
            <a:pPr marL="0" marR="0" lvl="0" indent="0" algn="ctr" defTabSz="914400" rtl="1" eaLnBrk="1" fontAlgn="auto" latinLnBrk="0" hangingPunct="1">
              <a:lnSpc>
                <a:spcPct val="100000"/>
              </a:lnSpc>
              <a:spcBef>
                <a:spcPts val="0"/>
              </a:spcBef>
              <a:spcAft>
                <a:spcPts val="0"/>
              </a:spcAft>
              <a:buClrTx/>
              <a:buSzTx/>
              <a:buFontTx/>
              <a:buNone/>
              <a:tabLst/>
              <a:defRPr/>
            </a:pPr>
            <a:t>225,879</a:t>
          </a:fld>
          <a:endParaRPr kumimoji="0" lang="en-GB" sz="1800" b="0" i="0" u="none" strike="noStrike" kern="0" cap="none" spc="0" normalizeH="0" baseline="0" noProof="0">
            <a:ln>
              <a:noFill/>
            </a:ln>
            <a:solidFill>
              <a:srgbClr val="FFDC2D"/>
            </a:solidFill>
            <a:effectLst/>
            <a:uLnTx/>
            <a:uFillTx/>
            <a:latin typeface="Vazirmatn FD" pitchFamily="2" charset="-78"/>
            <a:ea typeface="+mn-ea"/>
            <a:cs typeface="Vazirmatn FD" pitchFamily="2" charset="-78"/>
          </a:endParaRPr>
        </a:p>
      </xdr:txBody>
    </xdr:sp>
    <xdr:clientData/>
  </xdr:twoCellAnchor>
  <xdr:twoCellAnchor>
    <xdr:from>
      <xdr:col>4</xdr:col>
      <xdr:colOff>266699</xdr:colOff>
      <xdr:row>5</xdr:row>
      <xdr:rowOff>121627</xdr:rowOff>
    </xdr:from>
    <xdr:to>
      <xdr:col>6</xdr:col>
      <xdr:colOff>328245</xdr:colOff>
      <xdr:row>7</xdr:row>
      <xdr:rowOff>35170</xdr:rowOff>
    </xdr:to>
    <xdr:sp macro="" textlink="">
      <xdr:nvSpPr>
        <xdr:cNvPr id="124" name="TextBox 123">
          <a:extLst>
            <a:ext uri="{FF2B5EF4-FFF2-40B4-BE49-F238E27FC236}">
              <a16:creationId xmlns:a16="http://schemas.microsoft.com/office/drawing/2014/main" id="{8E5DA4C1-6C0C-46BE-8EB9-661720E327FE}"/>
            </a:ext>
          </a:extLst>
        </xdr:cNvPr>
        <xdr:cNvSpPr txBox="1"/>
      </xdr:nvSpPr>
      <xdr:spPr>
        <a:xfrm>
          <a:off x="9983700555" y="1026502"/>
          <a:ext cx="1280746" cy="275493"/>
        </a:xfrm>
        <a:prstGeom prst="rect">
          <a:avLst/>
        </a:prstGeom>
        <a:noFill/>
        <a:ln w="9525" cmpd="sng">
          <a:noFill/>
        </a:ln>
        <a:effectLst/>
      </xdr:spPr>
      <xdr:txBody>
        <a:bodyPr vertOverflow="clip" horzOverflow="clip" wrap="square" lIns="0" tIns="0" rIns="0" bIns="0" rtlCol="0" anchor="ctr"/>
        <a:lstStyle/>
        <a:p>
          <a:pPr marL="0" marR="0" lvl="0" indent="0" algn="ctr" defTabSz="914400" rtl="1" eaLnBrk="1" fontAlgn="auto" latinLnBrk="0" hangingPunct="1">
            <a:lnSpc>
              <a:spcPct val="100000"/>
            </a:lnSpc>
            <a:spcBef>
              <a:spcPts val="0"/>
            </a:spcBef>
            <a:spcAft>
              <a:spcPts val="0"/>
            </a:spcAft>
            <a:buClrTx/>
            <a:buSzTx/>
            <a:buFontTx/>
            <a:buNone/>
            <a:tabLst/>
            <a:defRPr/>
          </a:pPr>
          <a:r>
            <a:rPr kumimoji="0" lang="fa-IR" sz="1100" b="0" i="0" u="none" strike="noStrike" kern="0" cap="none" spc="0" normalizeH="0" baseline="0" noProof="0">
              <a:ln>
                <a:noFill/>
              </a:ln>
              <a:solidFill>
                <a:sysClr val="window" lastClr="FFFFFF"/>
              </a:solidFill>
              <a:effectLst/>
              <a:uLnTx/>
              <a:uFillTx/>
              <a:latin typeface="Vazirmatn FD Black" pitchFamily="2" charset="-78"/>
              <a:ea typeface="+mn-ea"/>
              <a:cs typeface="Vazirmatn FD Black" pitchFamily="2" charset="-78"/>
            </a:rPr>
            <a:t>تعداد فروش</a:t>
          </a:r>
          <a:endParaRPr kumimoji="0" lang="en-US" sz="1100" b="0" i="0" u="none" strike="noStrike" kern="0" cap="none" spc="0" normalizeH="0" baseline="0" noProof="0">
            <a:ln>
              <a:noFill/>
            </a:ln>
            <a:solidFill>
              <a:sysClr val="window" lastClr="FFFFFF"/>
            </a:solidFill>
            <a:effectLst/>
            <a:uLnTx/>
            <a:uFillTx/>
            <a:latin typeface="Vazirmatn FD Black" pitchFamily="2" charset="-78"/>
            <a:ea typeface="+mn-ea"/>
            <a:cs typeface="Vazirmatn FD Black" pitchFamily="2" charset="-78"/>
          </a:endParaRPr>
        </a:p>
      </xdr:txBody>
    </xdr:sp>
    <xdr:clientData/>
  </xdr:twoCellAnchor>
  <xdr:twoCellAnchor>
    <xdr:from>
      <xdr:col>4</xdr:col>
      <xdr:colOff>252045</xdr:colOff>
      <xdr:row>8</xdr:row>
      <xdr:rowOff>107707</xdr:rowOff>
    </xdr:from>
    <xdr:to>
      <xdr:col>6</xdr:col>
      <xdr:colOff>313591</xdr:colOff>
      <xdr:row>10</xdr:row>
      <xdr:rowOff>21249</xdr:rowOff>
    </xdr:to>
    <xdr:sp macro="" textlink="">
      <xdr:nvSpPr>
        <xdr:cNvPr id="125" name="TextBox 124">
          <a:extLst>
            <a:ext uri="{FF2B5EF4-FFF2-40B4-BE49-F238E27FC236}">
              <a16:creationId xmlns:a16="http://schemas.microsoft.com/office/drawing/2014/main" id="{D8F65B6A-74B8-4982-94D0-F891928F22E3}"/>
            </a:ext>
          </a:extLst>
        </xdr:cNvPr>
        <xdr:cNvSpPr txBox="1"/>
      </xdr:nvSpPr>
      <xdr:spPr>
        <a:xfrm>
          <a:off x="9983715209" y="1555507"/>
          <a:ext cx="1280746" cy="275492"/>
        </a:xfrm>
        <a:prstGeom prst="rect">
          <a:avLst/>
        </a:prstGeom>
        <a:noFill/>
        <a:ln w="9525" cmpd="sng">
          <a:noFill/>
        </a:ln>
        <a:effectLst/>
      </xdr:spPr>
      <xdr:txBody>
        <a:bodyPr vertOverflow="clip" horzOverflow="clip" wrap="square" lIns="0" tIns="0" rIns="0" bIns="0" rtlCol="0" anchor="ctr"/>
        <a:lstStyle/>
        <a:p>
          <a:pPr marL="0" marR="0" lvl="0" indent="0" algn="ctr" defTabSz="914400" rtl="1" eaLnBrk="1" fontAlgn="auto" latinLnBrk="0" hangingPunct="1">
            <a:lnSpc>
              <a:spcPct val="100000"/>
            </a:lnSpc>
            <a:spcBef>
              <a:spcPts val="0"/>
            </a:spcBef>
            <a:spcAft>
              <a:spcPts val="0"/>
            </a:spcAft>
            <a:buClrTx/>
            <a:buSzTx/>
            <a:buFontTx/>
            <a:buNone/>
            <a:tabLst/>
            <a:defRPr/>
          </a:pPr>
          <a:r>
            <a:rPr kumimoji="0" lang="fa-IR" sz="800" b="0" i="0" u="none" strike="noStrike" kern="0" cap="none" spc="0" normalizeH="0" baseline="0" noProof="0">
              <a:ln>
                <a:noFill/>
              </a:ln>
              <a:solidFill>
                <a:sysClr val="window" lastClr="FFFFFF"/>
              </a:solidFill>
              <a:effectLst/>
              <a:uLnTx/>
              <a:uFillTx/>
              <a:latin typeface="Vazirmatn FD Black" pitchFamily="2" charset="-78"/>
              <a:ea typeface="+mn-ea"/>
              <a:cs typeface="Vazirmatn FD Black" pitchFamily="2" charset="-78"/>
            </a:rPr>
            <a:t>مجموع کالای فروخته شده</a:t>
          </a:r>
        </a:p>
      </xdr:txBody>
    </xdr:sp>
    <xdr:clientData/>
  </xdr:twoCellAnchor>
  <xdr:twoCellAnchor>
    <xdr:from>
      <xdr:col>6</xdr:col>
      <xdr:colOff>540726</xdr:colOff>
      <xdr:row>7</xdr:row>
      <xdr:rowOff>27842</xdr:rowOff>
    </xdr:from>
    <xdr:to>
      <xdr:col>8</xdr:col>
      <xdr:colOff>570033</xdr:colOff>
      <xdr:row>8</xdr:row>
      <xdr:rowOff>122359</xdr:rowOff>
    </xdr:to>
    <xdr:sp macro="" textlink="pivot!A14">
      <xdr:nvSpPr>
        <xdr:cNvPr id="126" name="TextBox 125">
          <a:extLst>
            <a:ext uri="{FF2B5EF4-FFF2-40B4-BE49-F238E27FC236}">
              <a16:creationId xmlns:a16="http://schemas.microsoft.com/office/drawing/2014/main" id="{C4182DFF-8084-47C5-A431-0C66EC86FD9D}"/>
            </a:ext>
          </a:extLst>
        </xdr:cNvPr>
        <xdr:cNvSpPr txBox="1"/>
      </xdr:nvSpPr>
      <xdr:spPr>
        <a:xfrm>
          <a:off x="9982239567" y="1294667"/>
          <a:ext cx="1248507" cy="275492"/>
        </a:xfrm>
        <a:prstGeom prst="rect">
          <a:avLst/>
        </a:prstGeom>
        <a:noFill/>
        <a:ln w="9525" cmpd="sng">
          <a:noFill/>
        </a:ln>
        <a:effectLst/>
      </xdr:spPr>
      <xdr:txBody>
        <a:bodyPr vertOverflow="clip" horzOverflow="clip" wrap="square" lIns="0" tIns="0" rIns="0" bIns="0" rtlCol="0" anchor="ctr"/>
        <a:lstStyle/>
        <a:p>
          <a:pPr marL="0" marR="0" lvl="0" indent="0" algn="ctr" defTabSz="914400" rtl="1" eaLnBrk="1" fontAlgn="auto" latinLnBrk="0" hangingPunct="1">
            <a:lnSpc>
              <a:spcPct val="100000"/>
            </a:lnSpc>
            <a:spcBef>
              <a:spcPts val="0"/>
            </a:spcBef>
            <a:spcAft>
              <a:spcPts val="0"/>
            </a:spcAft>
            <a:buClrTx/>
            <a:buSzTx/>
            <a:buFontTx/>
            <a:buNone/>
            <a:tabLst/>
            <a:defRPr/>
          </a:pPr>
          <a:fld id="{5F53BDC4-3088-4A27-8321-D0A1DE0C1790}" type="TxLink">
            <a:rPr kumimoji="0" lang="en-US" sz="1400" b="0" i="0" u="none" strike="noStrike" kern="0" cap="none" spc="0" normalizeH="0" baseline="0" noProof="0">
              <a:ln>
                <a:noFill/>
              </a:ln>
              <a:solidFill>
                <a:srgbClr val="FFDC2D"/>
              </a:solidFill>
              <a:effectLst/>
              <a:uLnTx/>
              <a:uFillTx/>
              <a:latin typeface="Vazirmatn FD" pitchFamily="2" charset="-78"/>
              <a:ea typeface="Calibri"/>
              <a:cs typeface="Vazirmatn FD" pitchFamily="2" charset="-78"/>
            </a:rPr>
            <a:pPr marL="0" marR="0" lvl="0" indent="0" algn="ctr" defTabSz="914400" rtl="1" eaLnBrk="1" fontAlgn="auto" latinLnBrk="0" hangingPunct="1">
              <a:lnSpc>
                <a:spcPct val="100000"/>
              </a:lnSpc>
              <a:spcBef>
                <a:spcPts val="0"/>
              </a:spcBef>
              <a:spcAft>
                <a:spcPts val="0"/>
              </a:spcAft>
              <a:buClrTx/>
              <a:buSzTx/>
              <a:buFontTx/>
              <a:buNone/>
              <a:tabLst/>
              <a:defRPr/>
            </a:pPr>
            <a:t>15</a:t>
          </a:fld>
          <a:endParaRPr kumimoji="0" lang="en-GB" sz="1400" b="0" i="0" u="none" strike="noStrike" kern="0" cap="none" spc="0" normalizeH="0" baseline="0" noProof="0">
            <a:ln>
              <a:noFill/>
            </a:ln>
            <a:solidFill>
              <a:srgbClr val="FFDC2D"/>
            </a:solidFill>
            <a:effectLst/>
            <a:uLnTx/>
            <a:uFillTx/>
            <a:latin typeface="Vazirmatn FD" pitchFamily="2" charset="-78"/>
            <a:ea typeface="Calibri"/>
            <a:cs typeface="Vazirmatn FD" pitchFamily="2" charset="-78"/>
          </a:endParaRPr>
        </a:p>
      </xdr:txBody>
    </xdr:sp>
    <xdr:clientData/>
  </xdr:twoCellAnchor>
  <xdr:twoCellAnchor>
    <xdr:from>
      <xdr:col>6</xdr:col>
      <xdr:colOff>555380</xdr:colOff>
      <xdr:row>5</xdr:row>
      <xdr:rowOff>114300</xdr:rowOff>
    </xdr:from>
    <xdr:to>
      <xdr:col>8</xdr:col>
      <xdr:colOff>584687</xdr:colOff>
      <xdr:row>7</xdr:row>
      <xdr:rowOff>27843</xdr:rowOff>
    </xdr:to>
    <xdr:sp macro="" textlink="">
      <xdr:nvSpPr>
        <xdr:cNvPr id="127" name="TextBox 126">
          <a:extLst>
            <a:ext uri="{FF2B5EF4-FFF2-40B4-BE49-F238E27FC236}">
              <a16:creationId xmlns:a16="http://schemas.microsoft.com/office/drawing/2014/main" id="{6C9F59DE-A140-4428-8401-1401F1912D54}"/>
            </a:ext>
          </a:extLst>
        </xdr:cNvPr>
        <xdr:cNvSpPr txBox="1"/>
      </xdr:nvSpPr>
      <xdr:spPr>
        <a:xfrm>
          <a:off x="9982224913" y="1019175"/>
          <a:ext cx="1248507" cy="275493"/>
        </a:xfrm>
        <a:prstGeom prst="rect">
          <a:avLst/>
        </a:prstGeom>
        <a:noFill/>
        <a:ln w="9525" cmpd="sng">
          <a:noFill/>
        </a:ln>
        <a:effectLst/>
      </xdr:spPr>
      <xdr:txBody>
        <a:bodyPr vertOverflow="clip" horzOverflow="clip" wrap="square" lIns="0" tIns="0" rIns="0" bIns="0" rtlCol="0" anchor="ctr"/>
        <a:lstStyle/>
        <a:p>
          <a:pPr marL="0" marR="0" lvl="0" indent="0" algn="ctr" defTabSz="914400" rtl="1" eaLnBrk="1" fontAlgn="auto" latinLnBrk="0" hangingPunct="1">
            <a:lnSpc>
              <a:spcPct val="100000"/>
            </a:lnSpc>
            <a:spcBef>
              <a:spcPts val="0"/>
            </a:spcBef>
            <a:spcAft>
              <a:spcPts val="0"/>
            </a:spcAft>
            <a:buClrTx/>
            <a:buSzTx/>
            <a:buFontTx/>
            <a:buNone/>
            <a:tabLst/>
            <a:defRPr/>
          </a:pPr>
          <a:r>
            <a:rPr kumimoji="0" lang="fa-IR" sz="1100" b="0" i="0" u="none" strike="noStrike" kern="0" cap="none" spc="0" normalizeH="0" baseline="0" noProof="0">
              <a:ln>
                <a:noFill/>
              </a:ln>
              <a:solidFill>
                <a:sysClr val="window" lastClr="FFFFFF"/>
              </a:solidFill>
              <a:effectLst/>
              <a:uLnTx/>
              <a:uFillTx/>
              <a:latin typeface="Vazirmatn FD Black" pitchFamily="2" charset="-78"/>
              <a:ea typeface="+mn-ea"/>
              <a:cs typeface="Vazirmatn FD Black" pitchFamily="2" charset="-78"/>
            </a:rPr>
            <a:t>مشتریان وفادار</a:t>
          </a:r>
          <a:endParaRPr kumimoji="0" lang="en-US" sz="1100" b="0" i="0" u="none" strike="noStrike" kern="0" cap="none" spc="0" normalizeH="0" baseline="0" noProof="0">
            <a:ln>
              <a:noFill/>
            </a:ln>
            <a:solidFill>
              <a:sysClr val="window" lastClr="FFFFFF"/>
            </a:solidFill>
            <a:effectLst/>
            <a:uLnTx/>
            <a:uFillTx/>
            <a:latin typeface="Vazirmatn FD Black" pitchFamily="2" charset="-78"/>
            <a:ea typeface="+mn-ea"/>
            <a:cs typeface="Vazirmatn FD Black" pitchFamily="2" charset="-78"/>
          </a:endParaRPr>
        </a:p>
      </xdr:txBody>
    </xdr:sp>
    <xdr:clientData/>
  </xdr:twoCellAnchor>
  <xdr:twoCellAnchor>
    <xdr:from>
      <xdr:col>6</xdr:col>
      <xdr:colOff>540726</xdr:colOff>
      <xdr:row>8</xdr:row>
      <xdr:rowOff>100380</xdr:rowOff>
    </xdr:from>
    <xdr:to>
      <xdr:col>8</xdr:col>
      <xdr:colOff>570033</xdr:colOff>
      <xdr:row>10</xdr:row>
      <xdr:rowOff>13922</xdr:rowOff>
    </xdr:to>
    <xdr:sp macro="" textlink="">
      <xdr:nvSpPr>
        <xdr:cNvPr id="128" name="TextBox 127">
          <a:extLst>
            <a:ext uri="{FF2B5EF4-FFF2-40B4-BE49-F238E27FC236}">
              <a16:creationId xmlns:a16="http://schemas.microsoft.com/office/drawing/2014/main" id="{7C0E6197-84E1-4837-AE04-D2A2428F39A5}"/>
            </a:ext>
          </a:extLst>
        </xdr:cNvPr>
        <xdr:cNvSpPr txBox="1"/>
      </xdr:nvSpPr>
      <xdr:spPr>
        <a:xfrm>
          <a:off x="9982239567" y="1548180"/>
          <a:ext cx="1248507" cy="275492"/>
        </a:xfrm>
        <a:prstGeom prst="rect">
          <a:avLst/>
        </a:prstGeom>
        <a:noFill/>
        <a:ln w="9525" cmpd="sng">
          <a:noFill/>
        </a:ln>
        <a:effectLst/>
      </xdr:spPr>
      <xdr:txBody>
        <a:bodyPr vertOverflow="clip" horzOverflow="clip" wrap="square" lIns="0" tIns="0" rIns="0" bIns="0" rtlCol="0" anchor="ctr"/>
        <a:lstStyle/>
        <a:p>
          <a:pPr marL="0" marR="0" lvl="0" indent="0" algn="ctr" defTabSz="914400" rtl="1" eaLnBrk="1" fontAlgn="auto" latinLnBrk="0" hangingPunct="1">
            <a:lnSpc>
              <a:spcPct val="100000"/>
            </a:lnSpc>
            <a:spcBef>
              <a:spcPts val="0"/>
            </a:spcBef>
            <a:spcAft>
              <a:spcPts val="0"/>
            </a:spcAft>
            <a:buClrTx/>
            <a:buSzTx/>
            <a:buFontTx/>
            <a:buNone/>
            <a:tabLst/>
            <a:defRPr/>
          </a:pPr>
          <a:r>
            <a:rPr kumimoji="0" lang="fa-IR" sz="800" b="0" i="0" u="none" strike="noStrike" kern="0" cap="none" spc="0" normalizeH="0" baseline="0" noProof="0">
              <a:ln>
                <a:noFill/>
              </a:ln>
              <a:solidFill>
                <a:sysClr val="window" lastClr="FFFFFF"/>
              </a:solidFill>
              <a:effectLst/>
              <a:uLnTx/>
              <a:uFillTx/>
              <a:latin typeface="Vazirmatn FD Black" pitchFamily="2" charset="-78"/>
              <a:ea typeface="+mn-ea"/>
              <a:cs typeface="Vazirmatn FD Black" pitchFamily="2" charset="-78"/>
            </a:rPr>
            <a:t>از سال 1398 تاکنون همراه ما</a:t>
          </a:r>
        </a:p>
      </xdr:txBody>
    </xdr:sp>
    <xdr:clientData/>
  </xdr:twoCellAnchor>
  <xdr:twoCellAnchor>
    <xdr:from>
      <xdr:col>9</xdr:col>
      <xdr:colOff>216877</xdr:colOff>
      <xdr:row>7</xdr:row>
      <xdr:rowOff>27842</xdr:rowOff>
    </xdr:from>
    <xdr:to>
      <xdr:col>11</xdr:col>
      <xdr:colOff>278423</xdr:colOff>
      <xdr:row>8</xdr:row>
      <xdr:rowOff>122359</xdr:rowOff>
    </xdr:to>
    <xdr:sp macro="" textlink="pivot!G18">
      <xdr:nvSpPr>
        <xdr:cNvPr id="129" name="TextBox 128">
          <a:extLst>
            <a:ext uri="{FF2B5EF4-FFF2-40B4-BE49-F238E27FC236}">
              <a16:creationId xmlns:a16="http://schemas.microsoft.com/office/drawing/2014/main" id="{A683D3DF-264C-4D64-AF69-F910665B1353}"/>
            </a:ext>
          </a:extLst>
        </xdr:cNvPr>
        <xdr:cNvSpPr txBox="1"/>
      </xdr:nvSpPr>
      <xdr:spPr>
        <a:xfrm>
          <a:off x="9980702377" y="1294667"/>
          <a:ext cx="1280746" cy="275492"/>
        </a:xfrm>
        <a:prstGeom prst="rect">
          <a:avLst/>
        </a:prstGeom>
        <a:noFill/>
        <a:ln w="9525" cmpd="sng">
          <a:noFill/>
        </a:ln>
        <a:effectLst/>
      </xdr:spPr>
      <xdr:txBody>
        <a:bodyPr vertOverflow="clip" horzOverflow="clip" wrap="square" lIns="0" tIns="0" rIns="0" bIns="0" rtlCol="0" anchor="ctr"/>
        <a:lstStyle/>
        <a:p>
          <a:pPr marL="0" marR="0" lvl="0" indent="0" algn="ctr" defTabSz="914400" rtl="1" eaLnBrk="1" fontAlgn="auto" latinLnBrk="0" hangingPunct="1">
            <a:lnSpc>
              <a:spcPct val="100000"/>
            </a:lnSpc>
            <a:spcBef>
              <a:spcPts val="0"/>
            </a:spcBef>
            <a:spcAft>
              <a:spcPts val="0"/>
            </a:spcAft>
            <a:buClrTx/>
            <a:buSzTx/>
            <a:buFontTx/>
            <a:buNone/>
            <a:tabLst/>
            <a:defRPr/>
          </a:pPr>
          <a:fld id="{5F55E7EE-3F5A-407E-BB9D-AA796F11291F}" type="TxLink">
            <a:rPr kumimoji="0" lang="en-US" sz="1400" b="0" i="0" u="none" strike="noStrike" kern="0" cap="none" spc="0" normalizeH="0" baseline="0" noProof="0">
              <a:ln>
                <a:noFill/>
              </a:ln>
              <a:solidFill>
                <a:srgbClr val="FFDC2D"/>
              </a:solidFill>
              <a:effectLst/>
              <a:uLnTx/>
              <a:uFillTx/>
              <a:latin typeface="Vazirmatn FD" pitchFamily="2" charset="-78"/>
              <a:ea typeface="Calibri"/>
              <a:cs typeface="Vazirmatn FD" pitchFamily="2" charset="-78"/>
            </a:rPr>
            <a:pPr marL="0" marR="0" lvl="0" indent="0" algn="ctr" defTabSz="914400" rtl="1" eaLnBrk="1" fontAlgn="auto" latinLnBrk="0" hangingPunct="1">
              <a:lnSpc>
                <a:spcPct val="100000"/>
              </a:lnSpc>
              <a:spcBef>
                <a:spcPts val="0"/>
              </a:spcBef>
              <a:spcAft>
                <a:spcPts val="0"/>
              </a:spcAft>
              <a:buClrTx/>
              <a:buSzTx/>
              <a:buFontTx/>
              <a:buNone/>
              <a:tabLst/>
              <a:defRPr/>
            </a:pPr>
            <a:t>12,830,314,754</a:t>
          </a:fld>
          <a:endParaRPr kumimoji="0" lang="en-GB" sz="1400" b="0" i="0" u="none" strike="noStrike" kern="0" cap="none" spc="0" normalizeH="0" baseline="0" noProof="0">
            <a:ln>
              <a:noFill/>
            </a:ln>
            <a:solidFill>
              <a:srgbClr val="FFDC2D"/>
            </a:solidFill>
            <a:effectLst/>
            <a:uLnTx/>
            <a:uFillTx/>
            <a:latin typeface="Vazirmatn FD" pitchFamily="2" charset="-78"/>
            <a:ea typeface="Calibri"/>
            <a:cs typeface="Vazirmatn FD" pitchFamily="2" charset="-78"/>
          </a:endParaRPr>
        </a:p>
      </xdr:txBody>
    </xdr:sp>
    <xdr:clientData/>
  </xdr:twoCellAnchor>
  <xdr:twoCellAnchor>
    <xdr:from>
      <xdr:col>9</xdr:col>
      <xdr:colOff>231531</xdr:colOff>
      <xdr:row>5</xdr:row>
      <xdr:rowOff>114300</xdr:rowOff>
    </xdr:from>
    <xdr:to>
      <xdr:col>11</xdr:col>
      <xdr:colOff>293077</xdr:colOff>
      <xdr:row>7</xdr:row>
      <xdr:rowOff>27843</xdr:rowOff>
    </xdr:to>
    <xdr:sp macro="" textlink="">
      <xdr:nvSpPr>
        <xdr:cNvPr id="130" name="TextBox 129">
          <a:extLst>
            <a:ext uri="{FF2B5EF4-FFF2-40B4-BE49-F238E27FC236}">
              <a16:creationId xmlns:a16="http://schemas.microsoft.com/office/drawing/2014/main" id="{FBD93F5D-6F29-41CE-9059-F1C40788A7C2}"/>
            </a:ext>
          </a:extLst>
        </xdr:cNvPr>
        <xdr:cNvSpPr txBox="1"/>
      </xdr:nvSpPr>
      <xdr:spPr>
        <a:xfrm>
          <a:off x="9980687723" y="1019175"/>
          <a:ext cx="1280746" cy="275493"/>
        </a:xfrm>
        <a:prstGeom prst="rect">
          <a:avLst/>
        </a:prstGeom>
        <a:noFill/>
        <a:ln w="9525" cmpd="sng">
          <a:noFill/>
        </a:ln>
        <a:effectLst/>
      </xdr:spPr>
      <xdr:txBody>
        <a:bodyPr vertOverflow="clip" horzOverflow="clip" wrap="square" lIns="0" tIns="0" rIns="0" bIns="0" rtlCol="0" anchor="ctr"/>
        <a:lstStyle/>
        <a:p>
          <a:pPr marL="0" marR="0" lvl="0" indent="0" algn="ctr" defTabSz="914400" rtl="1" eaLnBrk="1" fontAlgn="auto" latinLnBrk="0" hangingPunct="1">
            <a:lnSpc>
              <a:spcPct val="100000"/>
            </a:lnSpc>
            <a:spcBef>
              <a:spcPts val="0"/>
            </a:spcBef>
            <a:spcAft>
              <a:spcPts val="0"/>
            </a:spcAft>
            <a:buClrTx/>
            <a:buSzTx/>
            <a:buFontTx/>
            <a:buNone/>
            <a:tabLst/>
            <a:defRPr/>
          </a:pPr>
          <a:r>
            <a:rPr kumimoji="0" lang="fa-IR" sz="1100" b="0" i="0" u="none" strike="noStrike" kern="0" cap="none" spc="0" normalizeH="0" baseline="0" noProof="0">
              <a:ln>
                <a:noFill/>
              </a:ln>
              <a:solidFill>
                <a:sysClr val="window" lastClr="FFFFFF"/>
              </a:solidFill>
              <a:effectLst/>
              <a:uLnTx/>
              <a:uFillTx/>
              <a:latin typeface="Vazirmatn FD Black" pitchFamily="2" charset="-78"/>
              <a:ea typeface="+mn-ea"/>
              <a:cs typeface="Vazirmatn FD Black" pitchFamily="2" charset="-78"/>
            </a:rPr>
            <a:t>میزان سود</a:t>
          </a:r>
          <a:endParaRPr kumimoji="0" lang="en-US" sz="1100" b="0" i="0" u="none" strike="noStrike" kern="0" cap="none" spc="0" normalizeH="0" baseline="0" noProof="0">
            <a:ln>
              <a:noFill/>
            </a:ln>
            <a:solidFill>
              <a:sysClr val="window" lastClr="FFFFFF"/>
            </a:solidFill>
            <a:effectLst/>
            <a:uLnTx/>
            <a:uFillTx/>
            <a:latin typeface="Vazirmatn FD Black" pitchFamily="2" charset="-78"/>
            <a:ea typeface="+mn-ea"/>
            <a:cs typeface="Vazirmatn FD Black" pitchFamily="2" charset="-78"/>
          </a:endParaRPr>
        </a:p>
      </xdr:txBody>
    </xdr:sp>
    <xdr:clientData/>
  </xdr:twoCellAnchor>
  <xdr:twoCellAnchor>
    <xdr:from>
      <xdr:col>9</xdr:col>
      <xdr:colOff>216876</xdr:colOff>
      <xdr:row>8</xdr:row>
      <xdr:rowOff>93053</xdr:rowOff>
    </xdr:from>
    <xdr:to>
      <xdr:col>11</xdr:col>
      <xdr:colOff>278422</xdr:colOff>
      <xdr:row>10</xdr:row>
      <xdr:rowOff>6595</xdr:rowOff>
    </xdr:to>
    <xdr:sp macro="" textlink="">
      <xdr:nvSpPr>
        <xdr:cNvPr id="131" name="TextBox 130">
          <a:extLst>
            <a:ext uri="{FF2B5EF4-FFF2-40B4-BE49-F238E27FC236}">
              <a16:creationId xmlns:a16="http://schemas.microsoft.com/office/drawing/2014/main" id="{F69EA581-6C0E-4689-A8E6-FB4518E5B1A2}"/>
            </a:ext>
          </a:extLst>
        </xdr:cNvPr>
        <xdr:cNvSpPr txBox="1"/>
      </xdr:nvSpPr>
      <xdr:spPr>
        <a:xfrm>
          <a:off x="9980702378" y="1540853"/>
          <a:ext cx="1280746" cy="275492"/>
        </a:xfrm>
        <a:prstGeom prst="rect">
          <a:avLst/>
        </a:prstGeom>
        <a:noFill/>
        <a:ln w="9525" cmpd="sng">
          <a:noFill/>
        </a:ln>
        <a:effectLst/>
      </xdr:spPr>
      <xdr:txBody>
        <a:bodyPr vertOverflow="clip" horzOverflow="clip" wrap="square" lIns="0" tIns="0" rIns="0" bIns="0" rtlCol="0" anchor="ctr"/>
        <a:lstStyle/>
        <a:p>
          <a:pPr marL="0" marR="0" lvl="0" indent="0" algn="ctr" defTabSz="914400" rtl="1" eaLnBrk="1" fontAlgn="auto" latinLnBrk="0" hangingPunct="1">
            <a:lnSpc>
              <a:spcPct val="100000"/>
            </a:lnSpc>
            <a:spcBef>
              <a:spcPts val="0"/>
            </a:spcBef>
            <a:spcAft>
              <a:spcPts val="0"/>
            </a:spcAft>
            <a:buClrTx/>
            <a:buSzTx/>
            <a:buFontTx/>
            <a:buNone/>
            <a:tabLst/>
            <a:defRPr/>
          </a:pPr>
          <a:r>
            <a:rPr kumimoji="0" lang="fa-IR" sz="800" b="0" i="0" u="none" strike="noStrike" kern="0" cap="none" spc="0" normalizeH="0" baseline="0" noProof="0">
              <a:ln>
                <a:noFill/>
              </a:ln>
              <a:solidFill>
                <a:sysClr val="window" lastClr="FFFFFF"/>
              </a:solidFill>
              <a:effectLst/>
              <a:uLnTx/>
              <a:uFillTx/>
              <a:latin typeface="Vazirmatn FD Black" pitchFamily="2" charset="-78"/>
              <a:ea typeface="+mn-ea"/>
              <a:cs typeface="Vazirmatn FD Black" pitchFamily="2" charset="-78"/>
            </a:rPr>
            <a:t>در سال 1402</a:t>
          </a:r>
        </a:p>
      </xdr:txBody>
    </xdr:sp>
    <xdr:clientData/>
  </xdr:twoCellAnchor>
  <xdr:twoCellAnchor>
    <xdr:from>
      <xdr:col>11</xdr:col>
      <xdr:colOff>533400</xdr:colOff>
      <xdr:row>7</xdr:row>
      <xdr:rowOff>171450</xdr:rowOff>
    </xdr:from>
    <xdr:to>
      <xdr:col>16</xdr:col>
      <xdr:colOff>352424</xdr:colOff>
      <xdr:row>25</xdr:row>
      <xdr:rowOff>96982</xdr:rowOff>
    </xdr:to>
    <xdr:graphicFrame macro="">
      <xdr:nvGraphicFramePr>
        <xdr:cNvPr id="132" name="Chart 131">
          <a:extLst>
            <a:ext uri="{FF2B5EF4-FFF2-40B4-BE49-F238E27FC236}">
              <a16:creationId xmlns:a16="http://schemas.microsoft.com/office/drawing/2014/main" id="{6D9031B5-B03A-43F9-84DB-08D9F03F03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12</xdr:col>
      <xdr:colOff>297873</xdr:colOff>
      <xdr:row>6</xdr:row>
      <xdr:rowOff>41563</xdr:rowOff>
    </xdr:from>
    <xdr:to>
      <xdr:col>16</xdr:col>
      <xdr:colOff>27710</xdr:colOff>
      <xdr:row>7</xdr:row>
      <xdr:rowOff>135216</xdr:rowOff>
    </xdr:to>
    <xdr:sp macro="" textlink="">
      <xdr:nvSpPr>
        <xdr:cNvPr id="134" name="TextBox 133">
          <a:extLst>
            <a:ext uri="{FF2B5EF4-FFF2-40B4-BE49-F238E27FC236}">
              <a16:creationId xmlns:a16="http://schemas.microsoft.com/office/drawing/2014/main" id="{4E0DEEBB-9F8B-468B-9130-71331BD81B78}"/>
            </a:ext>
          </a:extLst>
        </xdr:cNvPr>
        <xdr:cNvSpPr txBox="1"/>
      </xdr:nvSpPr>
      <xdr:spPr>
        <a:xfrm>
          <a:off x="9977905090" y="1122218"/>
          <a:ext cx="2168237" cy="273762"/>
        </a:xfrm>
        <a:prstGeom prst="rect">
          <a:avLst/>
        </a:prstGeom>
        <a:noFill/>
        <a:ln w="9525" cmpd="sng">
          <a:noFill/>
        </a:ln>
        <a:effectLst/>
      </xdr:spPr>
      <xdr:txBody>
        <a:bodyPr vertOverflow="clip" horzOverflow="clip" wrap="square" lIns="0" tIns="0" rIns="0" bIns="0" rtlCol="0" anchor="ctr"/>
        <a:lstStyle/>
        <a:p>
          <a:pPr marL="0" marR="0" lvl="0" indent="0" algn="ctr" defTabSz="914400" rtl="1" eaLnBrk="1" fontAlgn="auto" latinLnBrk="0" hangingPunct="1">
            <a:lnSpc>
              <a:spcPct val="100000"/>
            </a:lnSpc>
            <a:spcBef>
              <a:spcPts val="0"/>
            </a:spcBef>
            <a:spcAft>
              <a:spcPts val="0"/>
            </a:spcAft>
            <a:buClrTx/>
            <a:buSzTx/>
            <a:buFontTx/>
            <a:buNone/>
            <a:tabLst/>
            <a:defRPr/>
          </a:pPr>
          <a:r>
            <a:rPr kumimoji="0" lang="fa-IR" sz="1100" b="0" i="0" u="none" strike="noStrike" kern="0" cap="none" spc="0" normalizeH="0" baseline="0" noProof="0">
              <a:ln>
                <a:noFill/>
              </a:ln>
              <a:solidFill>
                <a:sysClr val="window" lastClr="FFFFFF"/>
              </a:solidFill>
              <a:effectLst/>
              <a:uLnTx/>
              <a:uFillTx/>
              <a:latin typeface="Vazirmatn FD Black" pitchFamily="2" charset="-78"/>
              <a:ea typeface="+mn-ea"/>
              <a:cs typeface="Vazirmatn FD Black" pitchFamily="2" charset="-78"/>
            </a:rPr>
            <a:t>میزان سود به تفکیک کالا</a:t>
          </a:r>
          <a:r>
            <a:rPr kumimoji="0" lang="en-US" sz="1100" b="0" i="0" u="none" strike="noStrike" kern="0" cap="none" spc="0" normalizeH="0" baseline="0" noProof="0">
              <a:ln>
                <a:noFill/>
              </a:ln>
              <a:solidFill>
                <a:sysClr val="window" lastClr="FFFFFF"/>
              </a:solidFill>
              <a:effectLst/>
              <a:uLnTx/>
              <a:uFillTx/>
              <a:latin typeface="Vazirmatn FD Black" pitchFamily="2" charset="-78"/>
              <a:ea typeface="+mn-ea"/>
              <a:cs typeface="Vazirmatn FD Black" pitchFamily="2" charset="-78"/>
            </a:rPr>
            <a:t> </a:t>
          </a:r>
        </a:p>
      </xdr:txBody>
    </xdr:sp>
    <xdr:clientData/>
  </xdr:twoCellAnchor>
  <xdr:twoCellAnchor>
    <xdr:from>
      <xdr:col>7</xdr:col>
      <xdr:colOff>332509</xdr:colOff>
      <xdr:row>12</xdr:row>
      <xdr:rowOff>103909</xdr:rowOff>
    </xdr:from>
    <xdr:to>
      <xdr:col>11</xdr:col>
      <xdr:colOff>346363</xdr:colOff>
      <xdr:row>25</xdr:row>
      <xdr:rowOff>34637</xdr:rowOff>
    </xdr:to>
    <xdr:graphicFrame macro="">
      <xdr:nvGraphicFramePr>
        <xdr:cNvPr id="135" name="Chart 134">
          <a:extLst>
            <a:ext uri="{FF2B5EF4-FFF2-40B4-BE49-F238E27FC236}">
              <a16:creationId xmlns:a16="http://schemas.microsoft.com/office/drawing/2014/main" id="{4A806FC8-8981-43BE-9096-B96AC546C6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7</xdr:col>
      <xdr:colOff>367146</xdr:colOff>
      <xdr:row>11</xdr:row>
      <xdr:rowOff>83127</xdr:rowOff>
    </xdr:from>
    <xdr:to>
      <xdr:col>11</xdr:col>
      <xdr:colOff>96983</xdr:colOff>
      <xdr:row>12</xdr:row>
      <xdr:rowOff>176780</xdr:rowOff>
    </xdr:to>
    <xdr:sp macro="" textlink="">
      <xdr:nvSpPr>
        <xdr:cNvPr id="136" name="TextBox 135">
          <a:extLst>
            <a:ext uri="{FF2B5EF4-FFF2-40B4-BE49-F238E27FC236}">
              <a16:creationId xmlns:a16="http://schemas.microsoft.com/office/drawing/2014/main" id="{914AFDD1-ABA4-4781-8633-3AB0C2AA8EDB}"/>
            </a:ext>
          </a:extLst>
        </xdr:cNvPr>
        <xdr:cNvSpPr txBox="1"/>
      </xdr:nvSpPr>
      <xdr:spPr>
        <a:xfrm>
          <a:off x="9980883817" y="2064327"/>
          <a:ext cx="2168237" cy="273762"/>
        </a:xfrm>
        <a:prstGeom prst="rect">
          <a:avLst/>
        </a:prstGeom>
        <a:noFill/>
        <a:ln w="9525" cmpd="sng">
          <a:noFill/>
        </a:ln>
        <a:effectLst/>
      </xdr:spPr>
      <xdr:txBody>
        <a:bodyPr vertOverflow="clip" horzOverflow="clip" wrap="square" lIns="0" tIns="0" rIns="0" bIns="0" rtlCol="0" anchor="ctr"/>
        <a:lstStyle/>
        <a:p>
          <a:pPr marL="0" marR="0" lvl="0" indent="0" algn="ctr" defTabSz="914400" rtl="1" eaLnBrk="1" fontAlgn="auto" latinLnBrk="0" hangingPunct="1">
            <a:lnSpc>
              <a:spcPct val="100000"/>
            </a:lnSpc>
            <a:spcBef>
              <a:spcPts val="0"/>
            </a:spcBef>
            <a:spcAft>
              <a:spcPts val="0"/>
            </a:spcAft>
            <a:buClrTx/>
            <a:buSzTx/>
            <a:buFontTx/>
            <a:buNone/>
            <a:tabLst/>
            <a:defRPr/>
          </a:pPr>
          <a:r>
            <a:rPr kumimoji="0" lang="fa-IR" sz="1100" b="0" i="0" u="none" strike="noStrike" kern="0" cap="none" spc="0" normalizeH="0" baseline="0" noProof="0">
              <a:ln>
                <a:noFill/>
              </a:ln>
              <a:solidFill>
                <a:sysClr val="window" lastClr="FFFFFF"/>
              </a:solidFill>
              <a:effectLst/>
              <a:uLnTx/>
              <a:uFillTx/>
              <a:latin typeface="Vazirmatn FD Black" pitchFamily="2" charset="-78"/>
              <a:ea typeface="+mn-ea"/>
              <a:cs typeface="Vazirmatn FD Black" pitchFamily="2" charset="-78"/>
            </a:rPr>
            <a:t>میزان سود به تفکیک کالا</a:t>
          </a:r>
          <a:r>
            <a:rPr kumimoji="0" lang="en-US" sz="1100" b="0" i="0" u="none" strike="noStrike" kern="0" cap="none" spc="0" normalizeH="0" baseline="0" noProof="0">
              <a:ln>
                <a:noFill/>
              </a:ln>
              <a:solidFill>
                <a:sysClr val="window" lastClr="FFFFFF"/>
              </a:solidFill>
              <a:effectLst/>
              <a:uLnTx/>
              <a:uFillTx/>
              <a:latin typeface="Vazirmatn FD Black" pitchFamily="2" charset="-78"/>
              <a:ea typeface="+mn-ea"/>
              <a:cs typeface="Vazirmatn FD Black" pitchFamily="2" charset="-78"/>
            </a:rPr>
            <a:t> </a:t>
          </a:r>
        </a:p>
      </xdr:txBody>
    </xdr:sp>
    <xdr:clientData/>
  </xdr:twoCellAnchor>
  <xdr:twoCellAnchor>
    <xdr:from>
      <xdr:col>1</xdr:col>
      <xdr:colOff>526472</xdr:colOff>
      <xdr:row>11</xdr:row>
      <xdr:rowOff>41564</xdr:rowOff>
    </xdr:from>
    <xdr:to>
      <xdr:col>6</xdr:col>
      <xdr:colOff>422564</xdr:colOff>
      <xdr:row>18</xdr:row>
      <xdr:rowOff>55418</xdr:rowOff>
    </xdr:to>
    <xdr:graphicFrame macro="">
      <xdr:nvGraphicFramePr>
        <xdr:cNvPr id="137" name="Chart 136">
          <a:extLst>
            <a:ext uri="{FF2B5EF4-FFF2-40B4-BE49-F238E27FC236}">
              <a16:creationId xmlns:a16="http://schemas.microsoft.com/office/drawing/2014/main" id="{B103F92C-C1F9-4E7C-AE3F-45E31EEB88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3</xdr:col>
      <xdr:colOff>168918</xdr:colOff>
      <xdr:row>10</xdr:row>
      <xdr:rowOff>167520</xdr:rowOff>
    </xdr:from>
    <xdr:to>
      <xdr:col>5</xdr:col>
      <xdr:colOff>230464</xdr:colOff>
      <xdr:row>12</xdr:row>
      <xdr:rowOff>81064</xdr:rowOff>
    </xdr:to>
    <xdr:sp macro="" textlink="">
      <xdr:nvSpPr>
        <xdr:cNvPr id="138" name="TextBox 137">
          <a:extLst>
            <a:ext uri="{FF2B5EF4-FFF2-40B4-BE49-F238E27FC236}">
              <a16:creationId xmlns:a16="http://schemas.microsoft.com/office/drawing/2014/main" id="{883751EE-07BF-45F6-B59B-E34C0237A83F}"/>
            </a:ext>
          </a:extLst>
        </xdr:cNvPr>
        <xdr:cNvSpPr txBox="1"/>
      </xdr:nvSpPr>
      <xdr:spPr>
        <a:xfrm>
          <a:off x="9984407936" y="1968611"/>
          <a:ext cx="1280746" cy="273762"/>
        </a:xfrm>
        <a:prstGeom prst="rect">
          <a:avLst/>
        </a:prstGeom>
        <a:noFill/>
        <a:ln w="9525" cmpd="sng">
          <a:noFill/>
        </a:ln>
        <a:effectLst/>
      </xdr:spPr>
      <xdr:txBody>
        <a:bodyPr vertOverflow="clip" horzOverflow="clip" wrap="square" lIns="0" tIns="0" rIns="0" bIns="0" rtlCol="0" anchor="ctr"/>
        <a:lstStyle/>
        <a:p>
          <a:pPr marL="0" marR="0" lvl="0" indent="0" algn="ctr" defTabSz="914400" rtl="1" eaLnBrk="1" fontAlgn="auto" latinLnBrk="0" hangingPunct="1">
            <a:lnSpc>
              <a:spcPct val="100000"/>
            </a:lnSpc>
            <a:spcBef>
              <a:spcPts val="0"/>
            </a:spcBef>
            <a:spcAft>
              <a:spcPts val="0"/>
            </a:spcAft>
            <a:buClrTx/>
            <a:buSzTx/>
            <a:buFontTx/>
            <a:buNone/>
            <a:tabLst/>
            <a:defRPr/>
          </a:pPr>
          <a:r>
            <a:rPr kumimoji="0" lang="fa-IR" sz="1100" b="0" i="0" u="none" strike="noStrike" kern="0" cap="none" spc="0" normalizeH="0" baseline="0" noProof="0">
              <a:ln>
                <a:noFill/>
              </a:ln>
              <a:solidFill>
                <a:sysClr val="window" lastClr="FFFFFF"/>
              </a:solidFill>
              <a:effectLst/>
              <a:uLnTx/>
              <a:uFillTx/>
              <a:latin typeface="Vazirmatn FD Black" pitchFamily="2" charset="-78"/>
              <a:ea typeface="+mn-ea"/>
              <a:cs typeface="Vazirmatn FD Black" pitchFamily="2" charset="-78"/>
            </a:rPr>
            <a:t> فروش کل</a:t>
          </a:r>
          <a:endParaRPr kumimoji="0" lang="en-US" sz="1100" b="0" i="0" u="none" strike="noStrike" kern="0" cap="none" spc="0" normalizeH="0" baseline="0" noProof="0">
            <a:ln>
              <a:noFill/>
            </a:ln>
            <a:solidFill>
              <a:sysClr val="window" lastClr="FFFFFF"/>
            </a:solidFill>
            <a:effectLst/>
            <a:uLnTx/>
            <a:uFillTx/>
            <a:latin typeface="Vazirmatn FD Black" pitchFamily="2" charset="-78"/>
            <a:ea typeface="+mn-ea"/>
            <a:cs typeface="Vazirmatn FD Black" pitchFamily="2" charset="-78"/>
          </a:endParaRPr>
        </a:p>
      </xdr:txBody>
    </xdr:sp>
    <xdr:clientData/>
  </xdr:twoCellAnchor>
  <xdr:twoCellAnchor>
    <xdr:from>
      <xdr:col>1</xdr:col>
      <xdr:colOff>588818</xdr:colOff>
      <xdr:row>18</xdr:row>
      <xdr:rowOff>124690</xdr:rowOff>
    </xdr:from>
    <xdr:to>
      <xdr:col>6</xdr:col>
      <xdr:colOff>457185</xdr:colOff>
      <xdr:row>25</xdr:row>
      <xdr:rowOff>117764</xdr:rowOff>
    </xdr:to>
    <xdr:graphicFrame macro="">
      <xdr:nvGraphicFramePr>
        <xdr:cNvPr id="139" name="Chart 138">
          <a:extLst>
            <a:ext uri="{FF2B5EF4-FFF2-40B4-BE49-F238E27FC236}">
              <a16:creationId xmlns:a16="http://schemas.microsoft.com/office/drawing/2014/main" id="{5B6184BF-66D2-41F8-B14D-324240562C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AppData/Local/Temp/Rar$DIa9512.35370/&#1583;&#1575;&#1588;&#1576;&#1608;&#1585;&#1583;%20&#1601;&#1585;&#1608;&#1588;.xlsm" TargetMode="External"/><Relationship Id="rId2" Type="http://schemas.openxmlformats.org/officeDocument/2006/relationships/externalLinkPath" Target="file:///C:\Users\Armin\AppData\Local\Temp\Rar$DIa9512.35370\&#1583;&#1575;&#1588;&#1576;&#1608;&#1585;&#1583;%20&#1601;&#1585;&#1608;&#1588;.xlsm" TargetMode="External"/><Relationship Id="rId1" Type="http://schemas.openxmlformats.org/officeDocument/2006/relationships/externalLinkPath" Target="/Users/Armin/AppData/Local/Temp/Rar$DIa9512.35370/&#1583;&#1575;&#1588;&#1576;&#1608;&#1585;&#1583;%20&#1601;&#1585;&#1608;&#1588;.xlsm"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AppData/Local/Temp/Rar$DIa5312.20629/&#1583;&#1575;&#1588;&#1576;&#1608;&#1585;&#1583;%20&#1601;&#1585;&#1608;&#1588;.xlsm" TargetMode="External"/><Relationship Id="rId2" Type="http://schemas.openxmlformats.org/officeDocument/2006/relationships/externalLinkPath" Target="file:///C:\Users\Armin\AppData\Local\Temp\Rar$DIa5312.20629\&#1583;&#1575;&#1588;&#1576;&#1608;&#1585;&#1583;%20&#1601;&#1585;&#1608;&#1588;.xlsm" TargetMode="External"/><Relationship Id="rId1" Type="http://schemas.openxmlformats.org/officeDocument/2006/relationships/externalLinkPath" Target="/Users/Armin/AppData/Local/Temp/Rar$DIa5312.20629/&#1583;&#1575;&#1588;&#1576;&#1608;&#1585;&#1583;%20&#1601;&#1585;&#1608;&#1588;.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G1"/>
      <sheetName val="G2"/>
      <sheetName val="G3"/>
      <sheetName val="داشبورد فروش"/>
    </sheetNames>
    <definedNames>
      <definedName name="openmenu12"/>
      <definedName name="ShowMenuu"/>
    </definedNames>
    <sheetDataSet>
      <sheetData sheetId="0"/>
      <sheetData sheetId="1"/>
      <sheetData sheetId="2"/>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G1"/>
      <sheetName val="G2"/>
      <sheetName val="G3"/>
      <sheetName val="داشبورد فروش"/>
    </sheetNames>
    <definedNames>
      <definedName name="openmenu12"/>
      <definedName name="ShowMenuu"/>
    </definedNames>
    <sheetDataSet>
      <sheetData sheetId="0"/>
      <sheetData sheetId="1"/>
      <sheetData sheetId="2"/>
      <sheetData sheetId="3"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min Kaviani" refreshedDate="46165.75594664352" createdVersion="8" refreshedVersion="8" minRefreshableVersion="3" recordCount="430" xr:uid="{EBDD5C08-9A24-4D76-99CC-831D430F82A4}">
  <cacheSource type="worksheet">
    <worksheetSource name="Table1"/>
  </cacheSource>
  <cacheFields count="13">
    <cacheField name="تاریخ" numFmtId="0">
      <sharedItems/>
    </cacheField>
    <cacheField name="سال" numFmtId="0">
      <sharedItems count="6">
        <s v="1397"/>
        <s v="1398"/>
        <s v="1399"/>
        <s v="1400"/>
        <s v="1401"/>
        <s v="1402"/>
      </sharedItems>
    </cacheField>
    <cacheField name="فصل" numFmtId="0">
      <sharedItems count="4">
        <s v="بهار"/>
        <s v="تابستان"/>
        <s v="پاییز"/>
        <s v="زمستان"/>
      </sharedItems>
    </cacheField>
    <cacheField name="ماه" numFmtId="0">
      <sharedItems count="12">
        <s v="اردیبهشت"/>
        <s v="خرداد"/>
        <s v="تیر"/>
        <s v="مرداد"/>
        <s v="شهریور"/>
        <s v="مهر"/>
        <s v="آبان"/>
        <s v="آذر"/>
        <s v="دی"/>
        <s v="بهمن"/>
        <s v="اسفند"/>
        <s v="فروردین"/>
      </sharedItems>
    </cacheField>
    <cacheField name="شهر" numFmtId="0">
      <sharedItems/>
    </cacheField>
    <cacheField name="نام مشتری" numFmtId="0">
      <sharedItems/>
    </cacheField>
    <cacheField name="کالا" numFmtId="0">
      <sharedItems count="6">
        <s v="خودکار"/>
        <s v="زونکن"/>
        <s v="مداد"/>
        <s v="دفتر"/>
        <s v="کتاب"/>
        <s v="مدادپاکن"/>
      </sharedItems>
    </cacheField>
    <cacheField name="تعداد" numFmtId="3">
      <sharedItems containsSemiMixedTypes="0" containsString="0" containsNumber="1" containsInteger="1" minValue="1750" maxValue="4900"/>
    </cacheField>
    <cacheField name="قیمت" numFmtId="3">
      <sharedItems containsSemiMixedTypes="0" containsString="0" containsNumber="1" minValue="50037" maxValue="197484" count="430">
        <n v="67400"/>
        <n v="56642"/>
        <n v="117978"/>
        <n v="143846"/>
        <n v="142465"/>
        <n v="67936"/>
        <n v="128789"/>
        <n v="119636"/>
        <n v="111303"/>
        <n v="125385"/>
        <n v="57442"/>
        <n v="74529"/>
        <n v="73742"/>
        <n v="57395"/>
        <n v="55887"/>
        <n v="113889"/>
        <n v="76606"/>
        <n v="96529"/>
        <n v="107426"/>
        <n v="61868"/>
        <n v="105623"/>
        <n v="144619"/>
        <n v="130945"/>
        <n v="149533"/>
        <n v="69863"/>
        <n v="140265"/>
        <n v="132596"/>
        <n v="75122"/>
        <n v="127550"/>
        <n v="62601"/>
        <n v="71666"/>
        <n v="76637"/>
        <n v="110578"/>
        <n v="74567"/>
        <n v="74694"/>
        <n v="84205"/>
        <n v="55830"/>
        <n v="61309"/>
        <n v="86275"/>
        <n v="77161"/>
        <n v="69766"/>
        <n v="106271"/>
        <n v="126194"/>
        <n v="56372"/>
        <n v="75304"/>
        <n v="131118"/>
        <n v="63269"/>
        <n v="122441"/>
        <n v="129285"/>
        <n v="80427"/>
        <n v="95075"/>
        <n v="111543"/>
        <n v="60594"/>
        <n v="104873"/>
        <n v="55011"/>
        <n v="136134"/>
        <n v="57033"/>
        <n v="108124"/>
        <n v="90030"/>
        <n v="125022"/>
        <n v="134891"/>
        <n v="63195"/>
        <n v="51769"/>
        <n v="76378"/>
        <n v="124990"/>
        <n v="98879"/>
        <n v="125262"/>
        <n v="54063"/>
        <n v="64291"/>
        <n v="54187"/>
        <n v="132335"/>
        <n v="111255"/>
        <n v="91636"/>
        <n v="60332"/>
        <n v="104728"/>
        <n v="138740"/>
        <n v="74020"/>
        <n v="74538"/>
        <n v="148434"/>
        <n v="121095"/>
        <n v="145510"/>
        <n v="67377"/>
        <n v="85698"/>
        <n v="54527"/>
        <n v="50037"/>
        <n v="130273"/>
        <n v="118401"/>
        <n v="124728"/>
        <n v="125288"/>
        <n v="104852"/>
        <n v="95519"/>
        <n v="98145"/>
        <n v="71478"/>
        <n v="80534"/>
        <n v="61521"/>
        <n v="57506"/>
        <n v="59561"/>
        <n v="128915"/>
        <n v="50512"/>
        <n v="94316"/>
        <n v="117180"/>
        <n v="138387"/>
        <n v="119421"/>
        <n v="74849"/>
        <n v="144964"/>
        <n v="122970"/>
        <n v="141870"/>
        <n v="117022"/>
        <n v="65071"/>
        <n v="93989"/>
        <n v="128345"/>
        <n v="139537"/>
        <n v="103734"/>
        <n v="115914"/>
        <n v="60433"/>
        <n v="74347"/>
        <n v="75591"/>
        <n v="105011"/>
        <n v="59037"/>
        <n v="52466"/>
        <n v="129167"/>
        <n v="102315"/>
        <n v="94142"/>
        <n v="93022"/>
        <n v="81147"/>
        <n v="144261"/>
        <n v="55435"/>
        <n v="81697"/>
        <n v="106249"/>
        <n v="145453"/>
        <n v="87435"/>
        <n v="129209"/>
        <n v="63265"/>
        <n v="54129"/>
        <n v="73826"/>
        <n v="110610"/>
        <n v="50194"/>
        <n v="117577"/>
        <n v="79100"/>
        <n v="77139"/>
        <n v="50926"/>
        <n v="101992"/>
        <n v="53701"/>
        <n v="123978"/>
        <n v="138905"/>
        <n v="52505"/>
        <n v="83886"/>
        <n v="119094"/>
        <n v="53425"/>
        <n v="58091"/>
        <n v="117671"/>
        <n v="53433"/>
        <n v="143099"/>
        <n v="67354"/>
        <n v="142579"/>
        <n v="122700"/>
        <n v="120752"/>
        <n v="60229"/>
        <n v="136355"/>
        <n v="127996"/>
        <n v="70144"/>
        <n v="96740"/>
        <n v="76141"/>
        <n v="94881"/>
        <n v="95083"/>
        <n v="137600"/>
        <n v="74448"/>
        <n v="136934"/>
        <n v="105349"/>
        <n v="68859"/>
        <n v="55607"/>
        <n v="59204"/>
        <n v="149760"/>
        <n v="131149"/>
        <n v="98584"/>
        <n v="125921"/>
        <n v="147356"/>
        <n v="101218"/>
        <n v="102043"/>
        <n v="67273"/>
        <n v="64431"/>
        <n v="121054"/>
        <n v="141097"/>
        <n v="76706"/>
        <n v="50455"/>
        <n v="52169"/>
        <n v="83382"/>
        <n v="136409"/>
        <n v="142630"/>
        <n v="54996"/>
        <n v="148113"/>
        <n v="95161"/>
        <n v="142469"/>
        <n v="100830"/>
        <n v="74468"/>
        <n v="101617"/>
        <n v="99430"/>
        <n v="114661"/>
        <n v="118384"/>
        <n v="117032"/>
        <n v="90181"/>
        <n v="75016"/>
        <n v="101461"/>
        <n v="56858"/>
        <n v="143705"/>
        <n v="121626"/>
        <n v="143974"/>
        <n v="99130"/>
        <n v="70966"/>
        <n v="129292"/>
        <n v="81477"/>
        <n v="100366"/>
        <n v="109065"/>
        <n v="140119"/>
        <n v="76760"/>
        <n v="149771"/>
        <n v="73884"/>
        <n v="100107"/>
        <n v="51975"/>
        <n v="87759"/>
        <n v="86461"/>
        <n v="147626"/>
        <n v="130591"/>
        <n v="58612"/>
        <n v="78217"/>
        <n v="114024"/>
        <n v="145274"/>
        <n v="139445"/>
        <n v="113603"/>
        <n v="94716"/>
        <n v="88720"/>
        <n v="56659"/>
        <n v="75621"/>
        <n v="64508"/>
        <n v="64419"/>
        <n v="76790"/>
        <n v="74281"/>
        <n v="52542"/>
        <n v="101968"/>
        <n v="109487"/>
        <n v="125545"/>
        <n v="53039"/>
        <n v="111979"/>
        <n v="138032"/>
        <n v="71926"/>
        <n v="50832"/>
        <n v="105445"/>
        <n v="116757"/>
        <n v="129914"/>
        <n v="141638"/>
        <n v="116475"/>
        <n v="114813"/>
        <n v="57240"/>
        <n v="86823"/>
        <n v="96979"/>
        <n v="122553"/>
        <n v="146134"/>
        <n v="126823"/>
        <n v="115734"/>
        <n v="78058"/>
        <n v="85202"/>
        <n v="75154"/>
        <n v="106887"/>
        <n v="128554"/>
        <n v="96462"/>
        <n v="72240"/>
        <n v="124746"/>
        <n v="143508"/>
        <n v="64531"/>
        <n v="94016"/>
        <n v="112920"/>
        <n v="60392"/>
        <n v="114484"/>
        <n v="102363"/>
        <n v="88898"/>
        <n v="99303"/>
        <n v="76476"/>
        <n v="66762"/>
        <n v="133633"/>
        <n v="149634"/>
        <n v="124390"/>
        <n v="85465"/>
        <n v="65587"/>
        <n v="148043"/>
        <n v="92951"/>
        <n v="97888"/>
        <n v="54093"/>
        <n v="120937"/>
        <n v="113005"/>
        <n v="72460"/>
        <n v="133221"/>
        <n v="98753"/>
        <n v="109503"/>
        <n v="128417"/>
        <n v="98081"/>
        <n v="115452"/>
        <n v="90374"/>
        <n v="84645"/>
        <n v="99366"/>
        <n v="129282"/>
        <n v="95604"/>
        <n v="131704"/>
        <n v="146155"/>
        <n v="85072"/>
        <n v="60117"/>
        <n v="132101"/>
        <n v="73109"/>
        <n v="51868"/>
        <n v="105848"/>
        <n v="59121"/>
        <n v="131583"/>
        <n v="130569"/>
        <n v="96190"/>
        <n v="149605"/>
        <n v="72400"/>
        <n v="128939"/>
        <n v="52821"/>
        <n v="112061"/>
        <n v="72128"/>
        <n v="97968"/>
        <n v="146921"/>
        <n v="83001"/>
        <n v="117670"/>
        <n v="62675"/>
        <n v="145778"/>
        <n v="77717"/>
        <n v="145324"/>
        <n v="131974"/>
        <n v="126480"/>
        <n v="104705"/>
        <n v="79538"/>
        <n v="90043"/>
        <n v="98158"/>
        <n v="97013"/>
        <n v="70647"/>
        <n v="97578"/>
        <n v="103567"/>
        <n v="107231"/>
        <n v="115512"/>
        <n v="142125"/>
        <n v="64162"/>
        <n v="85713"/>
        <n v="74959"/>
        <n v="117590"/>
        <n v="138853"/>
        <n v="142114"/>
        <n v="117008"/>
        <n v="132939"/>
        <n v="118220"/>
        <n v="59374"/>
        <n v="70863"/>
        <n v="93222"/>
        <n v="91911"/>
        <n v="87280"/>
        <n v="50783"/>
        <n v="76993"/>
        <n v="106222"/>
        <n v="129938"/>
        <n v="117238"/>
        <n v="107375"/>
        <n v="56337"/>
        <n v="134169"/>
        <n v="50523"/>
        <n v="83494"/>
        <n v="113599"/>
        <n v="89395"/>
        <n v="115110"/>
        <n v="88527"/>
        <n v="112314"/>
        <n v="124835"/>
        <n v="125603"/>
        <n v="71446"/>
        <n v="73025"/>
        <n v="102780"/>
        <n v="74770"/>
        <n v="135905"/>
        <n v="65351"/>
        <n v="126920"/>
        <n v="54133"/>
        <n v="83641"/>
        <n v="55003"/>
        <n v="97235"/>
        <n v="103804"/>
        <n v="144686"/>
        <n v="68124"/>
        <n v="50699"/>
        <n v="62680"/>
        <n v="140571"/>
        <n v="132739"/>
        <n v="135639"/>
        <n v="80960"/>
        <n v="61835"/>
        <n v="77429"/>
        <n v="95774"/>
        <n v="116182"/>
        <n v="95550"/>
        <n v="115769"/>
        <n v="106946"/>
        <n v="60911"/>
        <n v="145141"/>
        <n v="85908"/>
        <n v="161405.33333333334"/>
        <n v="188129.33333333334"/>
        <n v="102274.66666666667"/>
        <n v="67273.333333333328"/>
        <n v="69558.666666666672"/>
        <n v="111176"/>
        <n v="181878.66666666666"/>
        <n v="190173.33333333334"/>
        <n v="73328"/>
        <n v="197484"/>
        <n v="126881.33333333333"/>
        <n v="189958.66666666666"/>
        <n v="134440"/>
        <n v="99290.666666666672"/>
        <n v="135489.33333333334"/>
        <n v="132573.33333333334"/>
        <n v="152881.33333333334"/>
        <n v="157845.33333333334"/>
        <n v="156042.66666666666"/>
        <n v="120241.33333333333"/>
        <n v="100021.33333333333"/>
        <n v="135281.33333333334"/>
        <n v="75810.666666666672"/>
        <n v="191606.66666666666"/>
        <n v="162168"/>
        <n v="191965.33333333334"/>
        <n v="132173.33333333334"/>
        <n v="94621.333333333328"/>
        <n v="172389.33333333334"/>
      </sharedItems>
    </cacheField>
    <cacheField name="قیمت کل" numFmtId="3">
      <sharedItems containsSemiMixedTypes="0" containsString="0" containsNumber="1" minValue="91931840" maxValue="842086769.33333325"/>
    </cacheField>
    <cacheField name="سود از فروش" numFmtId="3">
      <sharedItems containsSemiMixedTypes="0" containsString="0" containsNumber="1" containsInteger="1" minValue="1349782" maxValue="772637034"/>
    </cacheField>
    <cacheField name="سهم فروشنده" numFmtId="3">
      <sharedItems containsSemiMixedTypes="0" containsString="0" containsNumber="1" containsInteger="1" minValue="238562" maxValue="222489774"/>
    </cacheField>
    <cacheField name="سود به سهم" numFmtId="0" formula="'سود از فروش'/'قیمت کل'" databaseField="0"/>
  </cacheFields>
  <extLst>
    <ext xmlns:x14="http://schemas.microsoft.com/office/spreadsheetml/2009/9/main" uri="{725AE2AE-9491-48be-B2B4-4EB974FC3084}">
      <x14:pivotCacheDefinition pivotCacheId="127377998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min Kaviani" refreshedDate="46165.76996597222" backgroundQuery="1" createdVersion="8" refreshedVersion="8" minRefreshableVersion="3" recordCount="0" supportSubquery="1" supportAdvancedDrill="1" xr:uid="{9122B2B6-492B-4C28-9666-88F42F3BE384}">
  <cacheSource type="external" connectionId="1"/>
  <cacheFields count="1">
    <cacheField name="[Measures].[Distinct Count of نام مشتری]" caption="Distinct Count of نام مشتری" numFmtId="0" hierarchy="15" level="32767"/>
  </cacheFields>
  <cacheHierarchies count="16">
    <cacheHierarchy uniqueName="[Table1].[تاریخ]" caption="تاریخ" attribute="1" defaultMemberUniqueName="[Table1].[تاریخ].[All]" allUniqueName="[Table1].[تاریخ].[All]" dimensionUniqueName="[Table1]" displayFolder="" count="0" memberValueDatatype="130" unbalanced="0"/>
    <cacheHierarchy uniqueName="[Table1].[سال]" caption="سال" attribute="1" defaultMemberUniqueName="[Table1].[سال].[All]" allUniqueName="[Table1].[سال].[All]" dimensionUniqueName="[Table1]" displayFolder="" count="0" memberValueDatatype="130" unbalanced="0"/>
    <cacheHierarchy uniqueName="[Table1].[فصل]" caption="فصل" attribute="1" defaultMemberUniqueName="[Table1].[فصل].[All]" allUniqueName="[Table1].[فصل].[All]" dimensionUniqueName="[Table1]" displayFolder="" count="0" memberValueDatatype="130" unbalanced="0"/>
    <cacheHierarchy uniqueName="[Table1].[ماه]" caption="ماه" attribute="1" defaultMemberUniqueName="[Table1].[ماه].[All]" allUniqueName="[Table1].[ماه].[All]" dimensionUniqueName="[Table1]" displayFolder="" count="0" memberValueDatatype="130" unbalanced="0"/>
    <cacheHierarchy uniqueName="[Table1].[شهر]" caption="شهر" attribute="1" defaultMemberUniqueName="[Table1].[شهر].[All]" allUniqueName="[Table1].[شهر].[All]" dimensionUniqueName="[Table1]" displayFolder="" count="0" memberValueDatatype="130" unbalanced="0"/>
    <cacheHierarchy uniqueName="[Table1].[نام مشتری]" caption="نام مشتری" attribute="1" defaultMemberUniqueName="[Table1].[نام مشتری].[All]" allUniqueName="[Table1].[نام مشتری].[All]" dimensionUniqueName="[Table1]" displayFolder="" count="0" memberValueDatatype="130" unbalanced="0"/>
    <cacheHierarchy uniqueName="[Table1].[کالا]" caption="کالا" attribute="1" defaultMemberUniqueName="[Table1].[کالا].[All]" allUniqueName="[Table1].[کالا].[All]" dimensionUniqueName="[Table1]" displayFolder="" count="0" memberValueDatatype="130" unbalanced="0"/>
    <cacheHierarchy uniqueName="[Table1].[تعداد]" caption="تعداد" attribute="1" defaultMemberUniqueName="[Table1].[تعداد].[All]" allUniqueName="[Table1].[تعداد].[All]" dimensionUniqueName="[Table1]" displayFolder="" count="0" memberValueDatatype="20" unbalanced="0"/>
    <cacheHierarchy uniqueName="[Table1].[قیمت]" caption="قیمت" attribute="1" defaultMemberUniqueName="[Table1].[قیمت].[All]" allUniqueName="[Table1].[قیمت].[All]" dimensionUniqueName="[Table1]" displayFolder="" count="0" memberValueDatatype="5" unbalanced="0"/>
    <cacheHierarchy uniqueName="[Table1].[قیمت کل]" caption="قیمت کل" attribute="1" defaultMemberUniqueName="[Table1].[قیمت کل].[All]" allUniqueName="[Table1].[قیمت کل].[All]" dimensionUniqueName="[Table1]" displayFolder="" count="0" memberValueDatatype="5" unbalanced="0"/>
    <cacheHierarchy uniqueName="[Table1].[سود از فروش]" caption="سود از فروش" attribute="1" defaultMemberUniqueName="[Table1].[سود از فروش].[All]" allUniqueName="[Table1].[سود از فروش].[All]" dimensionUniqueName="[Table1]" displayFolder="" count="0" memberValueDatatype="20" unbalanced="0"/>
    <cacheHierarchy uniqueName="[Table1].[سهم فروشنده]" caption="سهم فروشنده" attribute="1" defaultMemberUniqueName="[Table1].[سهم فروشنده].[All]" allUniqueName="[Table1].[سهم فروشنده].[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نام مشتری]" caption="Count of نام مشتری" measure="1" displayFolder="" measureGroup="Table1" count="0" hidden="1">
      <extLst>
        <ext xmlns:x15="http://schemas.microsoft.com/office/spreadsheetml/2010/11/main" uri="{B97F6D7D-B522-45F9-BDA1-12C45D357490}">
          <x15:cacheHierarchy aggregatedColumn="5"/>
        </ext>
      </extLst>
    </cacheHierarchy>
    <cacheHierarchy uniqueName="[Measures].[Distinct Count of نام مشتری]" caption="Distinct Count of نام مشتری" measure="1" displayFolder="" measureGroup="Table1" count="0" oneField="1" hidden="1">
      <fieldsUsage count="1">
        <fieldUsage x="0"/>
      </fieldsUsage>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30">
  <r>
    <s v="1397/02/16"/>
    <x v="0"/>
    <x v="0"/>
    <x v="0"/>
    <s v="تهران"/>
    <s v="ایرج"/>
    <x v="0"/>
    <n v="3850"/>
    <x v="0"/>
    <n v="259490000"/>
    <n v="203543622"/>
    <n v="63970424"/>
  </r>
  <r>
    <s v="1397/02/21"/>
    <x v="0"/>
    <x v="0"/>
    <x v="0"/>
    <s v="d"/>
    <s v="فرهاد"/>
    <x v="1"/>
    <n v="2730"/>
    <x v="1"/>
    <n v="154632660"/>
    <n v="88147857"/>
    <n v="43541619"/>
  </r>
  <r>
    <s v="1397/02/26"/>
    <x v="0"/>
    <x v="0"/>
    <x v="0"/>
    <s v="مشهد    "/>
    <s v="علی"/>
    <x v="2"/>
    <n v="3395"/>
    <x v="2"/>
    <n v="400535310"/>
    <n v="319521755"/>
    <n v="56916473"/>
  </r>
  <r>
    <s v="1397/02/31"/>
    <x v="0"/>
    <x v="0"/>
    <x v="0"/>
    <s v="تبريز"/>
    <s v="مینا"/>
    <x v="3"/>
    <n v="2625"/>
    <x v="3"/>
    <n v="377595750"/>
    <n v="272013182"/>
    <n v="81405129"/>
  </r>
  <r>
    <s v="1397/03/05"/>
    <x v="0"/>
    <x v="0"/>
    <x v="1"/>
    <s v="اصفهان"/>
    <s v="حسنا"/>
    <x v="4"/>
    <n v="3780"/>
    <x v="4"/>
    <n v="538517700"/>
    <n v="384515021"/>
    <n v="11844040"/>
  </r>
  <r>
    <s v="1397/03/10"/>
    <x v="0"/>
    <x v="0"/>
    <x v="1"/>
    <s v="يزد"/>
    <s v="حسین"/>
    <x v="5"/>
    <n v="3850"/>
    <x v="5"/>
    <n v="261553600"/>
    <n v="171940858"/>
    <n v="50656692"/>
  </r>
  <r>
    <s v="1397/03/15"/>
    <x v="0"/>
    <x v="0"/>
    <x v="1"/>
    <s v="شيراز"/>
    <s v="محسن"/>
    <x v="0"/>
    <n v="3640"/>
    <x v="6"/>
    <n v="468791960"/>
    <n v="334840090"/>
    <n v="55364116"/>
  </r>
  <r>
    <s v="1397/03/20"/>
    <x v="0"/>
    <x v="0"/>
    <x v="1"/>
    <s v="سمنانی"/>
    <s v="موبینا"/>
    <x v="1"/>
    <n v="3045"/>
    <x v="7"/>
    <n v="364291620"/>
    <n v="299090806"/>
    <n v="80449658"/>
  </r>
  <r>
    <s v="1397/03/25"/>
    <x v="0"/>
    <x v="0"/>
    <x v="1"/>
    <s v="گییلان"/>
    <s v="هانیه"/>
    <x v="2"/>
    <n v="1855"/>
    <x v="8"/>
    <n v="206467065"/>
    <n v="84326451"/>
    <n v="15382047"/>
  </r>
  <r>
    <s v="1397/03/30"/>
    <x v="0"/>
    <x v="0"/>
    <x v="1"/>
    <s v="مازندران"/>
    <s v="دنیا"/>
    <x v="3"/>
    <n v="2065"/>
    <x v="9"/>
    <n v="258920025"/>
    <n v="191900882"/>
    <n v="59597910"/>
  </r>
  <r>
    <s v="1397/04/04"/>
    <x v="0"/>
    <x v="1"/>
    <x v="2"/>
    <s v="ارومیه"/>
    <s v="ساغر"/>
    <x v="4"/>
    <n v="2870"/>
    <x v="10"/>
    <n v="164858540"/>
    <n v="8732309"/>
    <n v="19966509"/>
  </r>
  <r>
    <s v="1397/04/09"/>
    <x v="0"/>
    <x v="1"/>
    <x v="2"/>
    <s v="تهران"/>
    <s v="هدا"/>
    <x v="4"/>
    <n v="2170"/>
    <x v="11"/>
    <n v="161727930"/>
    <n v="13805262"/>
    <n v="38837744"/>
  </r>
  <r>
    <s v="1397/04/14"/>
    <x v="0"/>
    <x v="1"/>
    <x v="2"/>
    <s v="کرج"/>
    <s v="سبهان"/>
    <x v="5"/>
    <n v="3465"/>
    <x v="12"/>
    <n v="255516030"/>
    <n v="27487289"/>
    <n v="28961156"/>
  </r>
  <r>
    <s v="1397/04/19"/>
    <x v="0"/>
    <x v="1"/>
    <x v="2"/>
    <s v="مشهد"/>
    <s v="فاطمه"/>
    <x v="0"/>
    <n v="1855"/>
    <x v="13"/>
    <n v="106467725"/>
    <n v="53867317"/>
    <n v="30052727"/>
  </r>
  <r>
    <s v="1397/04/24"/>
    <x v="0"/>
    <x v="1"/>
    <x v="2"/>
    <s v="تبریز"/>
    <s v="زهرا"/>
    <x v="1"/>
    <n v="3675"/>
    <x v="14"/>
    <n v="205384725"/>
    <n v="129655771"/>
    <n v="61375040"/>
  </r>
  <r>
    <s v="1397/04/29"/>
    <x v="0"/>
    <x v="1"/>
    <x v="2"/>
    <s v="اصفهان"/>
    <s v="ایرج"/>
    <x v="2"/>
    <n v="2660"/>
    <x v="15"/>
    <n v="302944740"/>
    <n v="3944460"/>
    <n v="35265341"/>
  </r>
  <r>
    <s v="1397/05/03"/>
    <x v="0"/>
    <x v="1"/>
    <x v="3"/>
    <s v="یزد"/>
    <s v="فرهاد"/>
    <x v="3"/>
    <n v="2940"/>
    <x v="16"/>
    <n v="225221640"/>
    <n v="212084580"/>
    <n v="58347214"/>
  </r>
  <r>
    <s v="1397/05/08"/>
    <x v="0"/>
    <x v="1"/>
    <x v="3"/>
    <s v="شیراز"/>
    <s v="علی"/>
    <x v="4"/>
    <n v="2030"/>
    <x v="17"/>
    <n v="195953870"/>
    <n v="81906736"/>
    <n v="13273120"/>
  </r>
  <r>
    <s v="1397/05/13"/>
    <x v="0"/>
    <x v="1"/>
    <x v="3"/>
    <s v="سمنان"/>
    <s v="مینا"/>
    <x v="4"/>
    <n v="2800"/>
    <x v="18"/>
    <n v="300792800"/>
    <n v="139915237"/>
    <n v="90116633"/>
  </r>
  <r>
    <s v="1397/05/18"/>
    <x v="0"/>
    <x v="1"/>
    <x v="3"/>
    <s v="گیلان"/>
    <s v="حسنا"/>
    <x v="5"/>
    <n v="2450"/>
    <x v="19"/>
    <n v="151576600"/>
    <n v="110261284"/>
    <n v="17516028"/>
  </r>
  <r>
    <s v="1397/05/23"/>
    <x v="0"/>
    <x v="1"/>
    <x v="3"/>
    <s v="مازندران"/>
    <s v="حسین"/>
    <x v="0"/>
    <n v="3185"/>
    <x v="20"/>
    <n v="336409255"/>
    <n v="205145864"/>
    <n v="42704084"/>
  </r>
  <r>
    <s v="1397/05/28"/>
    <x v="0"/>
    <x v="1"/>
    <x v="3"/>
    <s v="ارومیه"/>
    <s v="محسن"/>
    <x v="1"/>
    <n v="2695"/>
    <x v="21"/>
    <n v="389748205"/>
    <n v="209778260"/>
    <n v="44876600"/>
  </r>
  <r>
    <s v="1397/06/02"/>
    <x v="0"/>
    <x v="1"/>
    <x v="4"/>
    <s v="تهران"/>
    <s v="موبینا"/>
    <x v="2"/>
    <n v="3465"/>
    <x v="22"/>
    <n v="453724425"/>
    <n v="220549950"/>
    <n v="86959409"/>
  </r>
  <r>
    <s v="1397/06/07"/>
    <x v="0"/>
    <x v="1"/>
    <x v="4"/>
    <s v="کرج"/>
    <s v="هانیه"/>
    <x v="3"/>
    <n v="1995"/>
    <x v="23"/>
    <n v="298318335"/>
    <n v="174144780"/>
    <n v="56085973"/>
  </r>
  <r>
    <s v="1397/06/12"/>
    <x v="0"/>
    <x v="1"/>
    <x v="4"/>
    <s v="مشهد"/>
    <s v="دنیا"/>
    <x v="4"/>
    <n v="2450"/>
    <x v="24"/>
    <n v="171164350"/>
    <n v="14116938"/>
    <n v="49156001"/>
  </r>
  <r>
    <s v="1397/06/17"/>
    <x v="0"/>
    <x v="1"/>
    <x v="4"/>
    <s v="تبریز"/>
    <s v="ساغر"/>
    <x v="4"/>
    <n v="2555"/>
    <x v="25"/>
    <n v="358377075"/>
    <n v="292258338"/>
    <n v="65152408"/>
  </r>
  <r>
    <s v="1397/06/22"/>
    <x v="0"/>
    <x v="1"/>
    <x v="4"/>
    <s v="اصفهان"/>
    <s v="هدا"/>
    <x v="5"/>
    <n v="2695"/>
    <x v="26"/>
    <n v="357346220"/>
    <n v="34740397"/>
    <n v="35957005"/>
  </r>
  <r>
    <s v="1397/06/27"/>
    <x v="0"/>
    <x v="1"/>
    <x v="4"/>
    <s v="یزد"/>
    <s v="سبهان"/>
    <x v="0"/>
    <n v="2205"/>
    <x v="27"/>
    <n v="165644010"/>
    <n v="91516267"/>
    <n v="35760173"/>
  </r>
  <r>
    <s v="1397/07/01"/>
    <x v="0"/>
    <x v="2"/>
    <x v="5"/>
    <s v="شیراز"/>
    <s v="فاطمه"/>
    <x v="1"/>
    <n v="2240"/>
    <x v="28"/>
    <n v="285712000"/>
    <n v="136173540"/>
    <n v="30926325"/>
  </r>
  <r>
    <s v="1397/07/06"/>
    <x v="0"/>
    <x v="2"/>
    <x v="5"/>
    <s v="سمنان"/>
    <s v="زهرا"/>
    <x v="2"/>
    <n v="3185"/>
    <x v="29"/>
    <n v="199384185"/>
    <n v="132834658"/>
    <n v="11880258"/>
  </r>
  <r>
    <s v="1397/07/11"/>
    <x v="0"/>
    <x v="2"/>
    <x v="5"/>
    <s v="گیلان"/>
    <s v="ایرج"/>
    <x v="3"/>
    <n v="3290"/>
    <x v="30"/>
    <n v="235781140"/>
    <n v="145192129"/>
    <n v="52947014"/>
  </r>
  <r>
    <s v="1397/07/16"/>
    <x v="0"/>
    <x v="2"/>
    <x v="5"/>
    <s v="مازندران"/>
    <s v="فرهاد"/>
    <x v="4"/>
    <n v="3710"/>
    <x v="31"/>
    <n v="284323270"/>
    <n v="51319049"/>
    <n v="30407600"/>
  </r>
  <r>
    <s v="1397/07/21"/>
    <x v="0"/>
    <x v="2"/>
    <x v="5"/>
    <s v="ارومیه"/>
    <s v="علی"/>
    <x v="4"/>
    <n v="2135"/>
    <x v="32"/>
    <n v="236084030"/>
    <n v="214837813"/>
    <n v="22555934"/>
  </r>
  <r>
    <s v="1397/07/26"/>
    <x v="0"/>
    <x v="2"/>
    <x v="5"/>
    <s v="تهران"/>
    <s v="مینا"/>
    <x v="5"/>
    <n v="2520"/>
    <x v="33"/>
    <n v="187908840"/>
    <n v="37934351"/>
    <n v="17664037"/>
  </r>
  <r>
    <s v="1397/08/01"/>
    <x v="0"/>
    <x v="2"/>
    <x v="6"/>
    <s v="کرج"/>
    <s v="حسنا"/>
    <x v="0"/>
    <n v="2100"/>
    <x v="34"/>
    <n v="156857400"/>
    <n v="57244305"/>
    <n v="8946434"/>
  </r>
  <r>
    <s v="1397/08/06"/>
    <x v="0"/>
    <x v="2"/>
    <x v="6"/>
    <s v="مشهد"/>
    <s v="حسین"/>
    <x v="1"/>
    <n v="2345"/>
    <x v="35"/>
    <n v="197460725"/>
    <n v="134224894"/>
    <n v="27666204"/>
  </r>
  <r>
    <s v="1397/08/11"/>
    <x v="0"/>
    <x v="2"/>
    <x v="6"/>
    <s v="تبریز"/>
    <s v="محسن"/>
    <x v="2"/>
    <n v="3185"/>
    <x v="36"/>
    <n v="177818550"/>
    <n v="30330975"/>
    <n v="19975188"/>
  </r>
  <r>
    <s v="1397/08/16"/>
    <x v="0"/>
    <x v="2"/>
    <x v="6"/>
    <s v="اصفهان"/>
    <s v="موبینا"/>
    <x v="3"/>
    <n v="3500"/>
    <x v="37"/>
    <n v="214581500"/>
    <n v="104707205"/>
    <n v="55106933"/>
  </r>
  <r>
    <s v="1397/08/21"/>
    <x v="0"/>
    <x v="2"/>
    <x v="6"/>
    <s v="یزد"/>
    <s v="هانیه"/>
    <x v="4"/>
    <n v="3290"/>
    <x v="38"/>
    <n v="283844750"/>
    <n v="7086165"/>
    <n v="11127541"/>
  </r>
  <r>
    <s v="1397/08/26"/>
    <x v="0"/>
    <x v="2"/>
    <x v="6"/>
    <s v="شیراز"/>
    <s v="دنیا"/>
    <x v="4"/>
    <n v="3815"/>
    <x v="39"/>
    <n v="294369215"/>
    <n v="109970751"/>
    <n v="54415167"/>
  </r>
  <r>
    <s v="1397/09/01"/>
    <x v="0"/>
    <x v="2"/>
    <x v="7"/>
    <s v="سمنان"/>
    <s v="ساغر"/>
    <x v="5"/>
    <n v="2870"/>
    <x v="40"/>
    <n v="200228420"/>
    <n v="30467928"/>
    <n v="581064"/>
  </r>
  <r>
    <s v="1397/09/06"/>
    <x v="0"/>
    <x v="2"/>
    <x v="7"/>
    <s v="گیلان"/>
    <s v="هدا"/>
    <x v="0"/>
    <n v="3500"/>
    <x v="41"/>
    <n v="371948500"/>
    <n v="152239778"/>
    <n v="7873305"/>
  </r>
  <r>
    <s v="1397/09/11"/>
    <x v="0"/>
    <x v="2"/>
    <x v="7"/>
    <s v="مازندران"/>
    <s v="سبهان"/>
    <x v="1"/>
    <n v="3850"/>
    <x v="42"/>
    <n v="485846900"/>
    <n v="386924062"/>
    <n v="126866904"/>
  </r>
  <r>
    <s v="1397/09/16"/>
    <x v="0"/>
    <x v="2"/>
    <x v="7"/>
    <s v="ارومیه"/>
    <s v="فاطمه"/>
    <x v="2"/>
    <n v="3220"/>
    <x v="43"/>
    <n v="181517840"/>
    <n v="154804308"/>
    <n v="4982485"/>
  </r>
  <r>
    <s v="1397/09/21"/>
    <x v="0"/>
    <x v="2"/>
    <x v="7"/>
    <s v="تهران"/>
    <s v="زهرا"/>
    <x v="3"/>
    <n v="2870"/>
    <x v="44"/>
    <n v="216122480"/>
    <n v="214488507"/>
    <n v="40009556"/>
  </r>
  <r>
    <s v="1397/09/26"/>
    <x v="0"/>
    <x v="2"/>
    <x v="7"/>
    <s v="کرج"/>
    <s v="ایرج"/>
    <x v="4"/>
    <n v="1890"/>
    <x v="45"/>
    <n v="247813020"/>
    <n v="182845331"/>
    <n v="34483247"/>
  </r>
  <r>
    <s v="1397/10/01"/>
    <x v="0"/>
    <x v="3"/>
    <x v="8"/>
    <s v="مشهد"/>
    <s v="فرهاد"/>
    <x v="4"/>
    <n v="1995"/>
    <x v="46"/>
    <n v="126221655"/>
    <n v="110509696"/>
    <n v="9595008"/>
  </r>
  <r>
    <s v="1397/10/06"/>
    <x v="0"/>
    <x v="3"/>
    <x v="8"/>
    <s v="تبریز"/>
    <s v="علی"/>
    <x v="5"/>
    <n v="2065"/>
    <x v="47"/>
    <n v="252840665"/>
    <n v="122840830"/>
    <n v="12438359"/>
  </r>
  <r>
    <s v="1397/10/11"/>
    <x v="0"/>
    <x v="3"/>
    <x v="8"/>
    <s v="اصفهان"/>
    <s v="مینا"/>
    <x v="0"/>
    <n v="3815"/>
    <x v="48"/>
    <n v="493222275"/>
    <n v="114159065"/>
    <n v="34732867"/>
  </r>
  <r>
    <s v="1397/10/16"/>
    <x v="0"/>
    <x v="3"/>
    <x v="8"/>
    <s v="یزد"/>
    <s v="حسنا"/>
    <x v="1"/>
    <n v="1960"/>
    <x v="49"/>
    <n v="157636920"/>
    <n v="141097378"/>
    <n v="18414557"/>
  </r>
  <r>
    <s v="1397/10/21"/>
    <x v="0"/>
    <x v="3"/>
    <x v="8"/>
    <s v="شیراز"/>
    <s v="حسین"/>
    <x v="2"/>
    <n v="3290"/>
    <x v="50"/>
    <n v="312796750"/>
    <n v="83287392"/>
    <n v="74622593"/>
  </r>
  <r>
    <s v="1397/10/26"/>
    <x v="0"/>
    <x v="3"/>
    <x v="8"/>
    <s v="سمنان"/>
    <s v="محسن"/>
    <x v="3"/>
    <n v="3220"/>
    <x v="51"/>
    <n v="359168460"/>
    <n v="155467884"/>
    <n v="60531761"/>
  </r>
  <r>
    <s v="1397/11/01"/>
    <x v="0"/>
    <x v="3"/>
    <x v="9"/>
    <s v="گیلان"/>
    <s v="موبینا"/>
    <x v="4"/>
    <n v="3500"/>
    <x v="52"/>
    <n v="212079000"/>
    <n v="18231758"/>
    <n v="51003085"/>
  </r>
  <r>
    <s v="1397/11/06"/>
    <x v="0"/>
    <x v="3"/>
    <x v="9"/>
    <s v="مازندران"/>
    <s v="هانیه"/>
    <x v="4"/>
    <n v="1960"/>
    <x v="53"/>
    <n v="205551080"/>
    <n v="121285139"/>
    <n v="55541839"/>
  </r>
  <r>
    <s v="1397/11/11"/>
    <x v="0"/>
    <x v="3"/>
    <x v="9"/>
    <s v="ارومیه"/>
    <s v="دنیا"/>
    <x v="5"/>
    <n v="1960"/>
    <x v="54"/>
    <n v="107821560"/>
    <n v="19115366"/>
    <n v="7990348"/>
  </r>
  <r>
    <s v="1397/11/16"/>
    <x v="0"/>
    <x v="3"/>
    <x v="9"/>
    <s v="تهران"/>
    <s v="ساغر"/>
    <x v="0"/>
    <n v="2625"/>
    <x v="55"/>
    <n v="357351750"/>
    <n v="232015618"/>
    <n v="97799498"/>
  </r>
  <r>
    <s v="1397/11/21"/>
    <x v="0"/>
    <x v="3"/>
    <x v="9"/>
    <s v="کرج"/>
    <s v="هدا"/>
    <x v="1"/>
    <n v="2450"/>
    <x v="56"/>
    <n v="139730850"/>
    <n v="100006977"/>
    <n v="39466892"/>
  </r>
  <r>
    <s v="1397/11/26"/>
    <x v="0"/>
    <x v="3"/>
    <x v="9"/>
    <s v="مشهد"/>
    <s v="سبهان"/>
    <x v="2"/>
    <n v="2100"/>
    <x v="57"/>
    <n v="227060400"/>
    <n v="169258100"/>
    <n v="6245290"/>
  </r>
  <r>
    <s v="1397/12/01"/>
    <x v="0"/>
    <x v="3"/>
    <x v="10"/>
    <s v="تبریز"/>
    <s v="فاطمه"/>
    <x v="3"/>
    <n v="2520"/>
    <x v="58"/>
    <n v="226875600"/>
    <n v="106729614"/>
    <n v="18594653"/>
  </r>
  <r>
    <s v="1397/12/06"/>
    <x v="0"/>
    <x v="3"/>
    <x v="10"/>
    <s v="اصفهان"/>
    <s v="زهرا"/>
    <x v="4"/>
    <n v="2275"/>
    <x v="59"/>
    <n v="284425050"/>
    <n v="160464741"/>
    <n v="46694499"/>
  </r>
  <r>
    <s v="1397/12/11"/>
    <x v="0"/>
    <x v="3"/>
    <x v="10"/>
    <s v="یزد"/>
    <s v="ایرج"/>
    <x v="4"/>
    <n v="1925"/>
    <x v="60"/>
    <n v="259665175"/>
    <n v="205200207"/>
    <n v="59979615"/>
  </r>
  <r>
    <s v="1397/12/16"/>
    <x v="0"/>
    <x v="3"/>
    <x v="10"/>
    <s v="شیراز"/>
    <s v="فرهاد"/>
    <x v="5"/>
    <n v="3045"/>
    <x v="61"/>
    <n v="192428775"/>
    <n v="41595385"/>
    <n v="53032940"/>
  </r>
  <r>
    <s v="1397/12/21"/>
    <x v="0"/>
    <x v="3"/>
    <x v="10"/>
    <s v="سمنان"/>
    <s v="علی"/>
    <x v="0"/>
    <n v="3570"/>
    <x v="62"/>
    <n v="184815330"/>
    <n v="64659902"/>
    <n v="48765853"/>
  </r>
  <r>
    <s v="1397/12/26"/>
    <x v="0"/>
    <x v="3"/>
    <x v="10"/>
    <s v="گیلان"/>
    <s v="مینا"/>
    <x v="1"/>
    <n v="2415"/>
    <x v="63"/>
    <n v="184452870"/>
    <n v="113811457"/>
    <n v="14544875"/>
  </r>
  <r>
    <s v="1398/01/02"/>
    <x v="1"/>
    <x v="0"/>
    <x v="11"/>
    <s v="مازندران"/>
    <s v="حسنا"/>
    <x v="2"/>
    <n v="3605"/>
    <x v="64"/>
    <n v="450588950"/>
    <n v="117153793"/>
    <n v="112045348"/>
  </r>
  <r>
    <s v="1398/01/07"/>
    <x v="1"/>
    <x v="0"/>
    <x v="11"/>
    <s v="ارومیه"/>
    <s v="حسین"/>
    <x v="3"/>
    <n v="3570"/>
    <x v="65"/>
    <n v="352998030"/>
    <n v="226929361"/>
    <n v="47843140"/>
  </r>
  <r>
    <s v="1398/01/12"/>
    <x v="1"/>
    <x v="0"/>
    <x v="11"/>
    <s v="تهران"/>
    <s v="محسن"/>
    <x v="4"/>
    <n v="3255"/>
    <x v="66"/>
    <n v="407727810"/>
    <n v="185425991"/>
    <n v="42978572"/>
  </r>
  <r>
    <s v="1398/01/17"/>
    <x v="1"/>
    <x v="0"/>
    <x v="11"/>
    <s v="کرج"/>
    <s v="موبینا"/>
    <x v="4"/>
    <n v="2100"/>
    <x v="67"/>
    <n v="113532300"/>
    <n v="61425131"/>
    <n v="28034972"/>
  </r>
  <r>
    <s v="1398/01/22"/>
    <x v="1"/>
    <x v="0"/>
    <x v="11"/>
    <s v="مشهد"/>
    <s v="هانیه"/>
    <x v="5"/>
    <n v="1820"/>
    <x v="68"/>
    <n v="117009620"/>
    <n v="109902309"/>
    <n v="24238131"/>
  </r>
  <r>
    <s v="1398/01/27"/>
    <x v="1"/>
    <x v="0"/>
    <x v="11"/>
    <s v="تبریز"/>
    <s v="دنیا"/>
    <x v="0"/>
    <n v="1925"/>
    <x v="69"/>
    <n v="104309975"/>
    <n v="11382371"/>
    <n v="9396183"/>
  </r>
  <r>
    <s v="1398/02/01"/>
    <x v="1"/>
    <x v="0"/>
    <x v="0"/>
    <s v="اصفهان"/>
    <s v="ساغر"/>
    <x v="1"/>
    <n v="2520"/>
    <x v="70"/>
    <n v="333484200"/>
    <n v="39503006"/>
    <n v="94196785"/>
  </r>
  <r>
    <s v="1398/02/06"/>
    <x v="1"/>
    <x v="0"/>
    <x v="0"/>
    <s v="یزد"/>
    <s v="هدا"/>
    <x v="2"/>
    <n v="2275"/>
    <x v="71"/>
    <n v="253105125"/>
    <n v="217097500"/>
    <n v="39791930"/>
  </r>
  <r>
    <s v="1398/02/11"/>
    <x v="1"/>
    <x v="0"/>
    <x v="0"/>
    <s v="شیراز"/>
    <s v="سبهان"/>
    <x v="3"/>
    <n v="3815"/>
    <x v="72"/>
    <n v="349591340"/>
    <n v="346736298"/>
    <n v="61932234"/>
  </r>
  <r>
    <s v="1398/02/16"/>
    <x v="1"/>
    <x v="0"/>
    <x v="0"/>
    <s v="سمنان"/>
    <s v="فاطمه"/>
    <x v="4"/>
    <n v="2240"/>
    <x v="73"/>
    <n v="135143680"/>
    <n v="99864899"/>
    <n v="12539953"/>
  </r>
  <r>
    <s v="1398/02/21"/>
    <x v="1"/>
    <x v="0"/>
    <x v="0"/>
    <s v="گیلان"/>
    <s v="زهرا"/>
    <x v="4"/>
    <n v="2240"/>
    <x v="74"/>
    <n v="234590720"/>
    <n v="126738225"/>
    <n v="61600277"/>
  </r>
  <r>
    <s v="1398/02/26"/>
    <x v="1"/>
    <x v="0"/>
    <x v="0"/>
    <s v="مازندران"/>
    <s v="ایرج"/>
    <x v="5"/>
    <n v="2380"/>
    <x v="75"/>
    <n v="330201200"/>
    <n v="86910723"/>
    <n v="97919734"/>
  </r>
  <r>
    <s v="1398/02/31"/>
    <x v="1"/>
    <x v="0"/>
    <x v="0"/>
    <s v="ارومیه"/>
    <s v="فرهاد"/>
    <x v="0"/>
    <n v="3535"/>
    <x v="76"/>
    <n v="261660700"/>
    <n v="33461672"/>
    <n v="8094094"/>
  </r>
  <r>
    <s v="1398/03/05"/>
    <x v="1"/>
    <x v="0"/>
    <x v="1"/>
    <s v="تهران"/>
    <s v="علی"/>
    <x v="1"/>
    <n v="2940"/>
    <x v="77"/>
    <n v="219141720"/>
    <n v="138129352"/>
    <n v="52804138"/>
  </r>
  <r>
    <s v="1398/03/10"/>
    <x v="1"/>
    <x v="0"/>
    <x v="1"/>
    <s v="کرج"/>
    <s v="مینا"/>
    <x v="2"/>
    <n v="2975"/>
    <x v="78"/>
    <n v="441591150"/>
    <n v="62250644"/>
    <n v="130142790"/>
  </r>
  <r>
    <s v="1398/03/15"/>
    <x v="1"/>
    <x v="0"/>
    <x v="1"/>
    <s v="مشهد"/>
    <s v="حسنا"/>
    <x v="3"/>
    <n v="1925"/>
    <x v="79"/>
    <n v="233107875"/>
    <n v="106059989"/>
    <n v="35403166"/>
  </r>
  <r>
    <s v="1398/03/20"/>
    <x v="1"/>
    <x v="0"/>
    <x v="1"/>
    <s v="تبریز"/>
    <s v="حسین"/>
    <x v="4"/>
    <n v="2450"/>
    <x v="80"/>
    <n v="356499500"/>
    <n v="334921626"/>
    <n v="2870556"/>
  </r>
  <r>
    <s v="1398/03/25"/>
    <x v="1"/>
    <x v="0"/>
    <x v="1"/>
    <s v="اصفهان"/>
    <s v="محسن"/>
    <x v="4"/>
    <n v="2555"/>
    <x v="81"/>
    <n v="172148235"/>
    <n v="147307570"/>
    <n v="23756602"/>
  </r>
  <r>
    <s v="1398/03/30"/>
    <x v="1"/>
    <x v="0"/>
    <x v="1"/>
    <s v="یزد"/>
    <s v="موبینا"/>
    <x v="5"/>
    <n v="3605"/>
    <x v="82"/>
    <n v="308941290"/>
    <n v="218953564"/>
    <n v="56647625"/>
  </r>
  <r>
    <s v="1398/04/04"/>
    <x v="1"/>
    <x v="1"/>
    <x v="2"/>
    <s v="شیراز"/>
    <s v="هانیه"/>
    <x v="0"/>
    <n v="2205"/>
    <x v="83"/>
    <n v="120232035"/>
    <n v="52104045"/>
    <n v="12191606"/>
  </r>
  <r>
    <s v="1398/04/09"/>
    <x v="1"/>
    <x v="1"/>
    <x v="2"/>
    <s v="سمنان"/>
    <s v="دنیا"/>
    <x v="1"/>
    <n v="2975"/>
    <x v="84"/>
    <n v="148860075"/>
    <n v="34302348"/>
    <n v="32163982"/>
  </r>
  <r>
    <s v="1398/04/14"/>
    <x v="1"/>
    <x v="1"/>
    <x v="2"/>
    <s v="گیلان"/>
    <s v="ساغر"/>
    <x v="2"/>
    <n v="3780"/>
    <x v="85"/>
    <n v="492431940"/>
    <n v="210085774"/>
    <n v="131914801"/>
  </r>
  <r>
    <s v="1398/04/19"/>
    <x v="1"/>
    <x v="1"/>
    <x v="2"/>
    <s v="مازندران"/>
    <s v="هدا"/>
    <x v="3"/>
    <n v="3465"/>
    <x v="86"/>
    <n v="410259465"/>
    <n v="249320157"/>
    <n v="91559298"/>
  </r>
  <r>
    <s v="1398/04/24"/>
    <x v="1"/>
    <x v="1"/>
    <x v="2"/>
    <s v="ارومیه"/>
    <s v="سبهان"/>
    <x v="4"/>
    <n v="2940"/>
    <x v="87"/>
    <n v="366700320"/>
    <n v="281753048"/>
    <n v="109768070"/>
  </r>
  <r>
    <s v="1398/04/29"/>
    <x v="1"/>
    <x v="1"/>
    <x v="2"/>
    <s v="تهران"/>
    <s v="فاطمه"/>
    <x v="4"/>
    <n v="3710"/>
    <x v="88"/>
    <n v="464818480"/>
    <n v="325660486"/>
    <n v="83518842"/>
  </r>
  <r>
    <s v="1398/05/03"/>
    <x v="1"/>
    <x v="1"/>
    <x v="3"/>
    <s v="کرج"/>
    <s v="زهرا"/>
    <x v="5"/>
    <n v="2555"/>
    <x v="89"/>
    <n v="267896860"/>
    <n v="171502615"/>
    <n v="75397163"/>
  </r>
  <r>
    <s v="1398/05/08"/>
    <x v="1"/>
    <x v="1"/>
    <x v="3"/>
    <s v="مشهد"/>
    <s v="ایرج"/>
    <x v="0"/>
    <n v="1855"/>
    <x v="90"/>
    <n v="177187745"/>
    <n v="26421417"/>
    <n v="13896955"/>
  </r>
  <r>
    <s v="1398/05/13"/>
    <x v="1"/>
    <x v="1"/>
    <x v="3"/>
    <s v="تبریز"/>
    <s v="فرهاد"/>
    <x v="1"/>
    <n v="2905"/>
    <x v="91"/>
    <n v="285111225"/>
    <n v="149627127"/>
    <n v="27673673"/>
  </r>
  <r>
    <s v="1398/05/18"/>
    <x v="1"/>
    <x v="1"/>
    <x v="3"/>
    <s v="اصفهان"/>
    <s v="علی"/>
    <x v="2"/>
    <n v="1960"/>
    <x v="92"/>
    <n v="140096880"/>
    <n v="129857508"/>
    <n v="12149328"/>
  </r>
  <r>
    <s v="1398/05/23"/>
    <x v="1"/>
    <x v="1"/>
    <x v="3"/>
    <s v="یزد"/>
    <s v="مینا"/>
    <x v="3"/>
    <n v="2730"/>
    <x v="93"/>
    <n v="219857820"/>
    <n v="26924440"/>
    <n v="2302371"/>
  </r>
  <r>
    <s v="1398/05/28"/>
    <x v="1"/>
    <x v="1"/>
    <x v="3"/>
    <s v="شیراز"/>
    <s v="حسنا"/>
    <x v="4"/>
    <n v="2450"/>
    <x v="94"/>
    <n v="150726450"/>
    <n v="90273128"/>
    <n v="29546750"/>
  </r>
  <r>
    <s v="1398/06/02"/>
    <x v="1"/>
    <x v="1"/>
    <x v="4"/>
    <s v="سمنان"/>
    <s v="حسین"/>
    <x v="4"/>
    <n v="2835"/>
    <x v="95"/>
    <n v="163029510"/>
    <n v="81309166"/>
    <n v="24746417"/>
  </r>
  <r>
    <s v="1398/06/07"/>
    <x v="1"/>
    <x v="1"/>
    <x v="4"/>
    <s v="گیلان"/>
    <s v="محسن"/>
    <x v="5"/>
    <n v="2730"/>
    <x v="96"/>
    <n v="162601530"/>
    <n v="18458445"/>
    <n v="41997778"/>
  </r>
  <r>
    <s v="1398/06/12"/>
    <x v="1"/>
    <x v="1"/>
    <x v="4"/>
    <s v="مازندران"/>
    <s v="موبینا"/>
    <x v="0"/>
    <n v="3535"/>
    <x v="97"/>
    <n v="455714525"/>
    <n v="376488001"/>
    <n v="52327960"/>
  </r>
  <r>
    <s v="1398/06/17"/>
    <x v="1"/>
    <x v="1"/>
    <x v="4"/>
    <s v="ارومیه"/>
    <s v="هانیه"/>
    <x v="1"/>
    <n v="1820"/>
    <x v="98"/>
    <n v="91931840"/>
    <n v="80351773"/>
    <n v="1202953"/>
  </r>
  <r>
    <s v="1398/06/22"/>
    <x v="1"/>
    <x v="1"/>
    <x v="4"/>
    <s v="تهران"/>
    <s v="دنیا"/>
    <x v="2"/>
    <n v="2590"/>
    <x v="99"/>
    <n v="244278440"/>
    <n v="128130611"/>
    <n v="28061677"/>
  </r>
  <r>
    <s v="1398/06/27"/>
    <x v="1"/>
    <x v="1"/>
    <x v="4"/>
    <s v="کرج"/>
    <s v="ساغر"/>
    <x v="3"/>
    <n v="3465"/>
    <x v="100"/>
    <n v="406028700"/>
    <n v="329638955"/>
    <n v="45931929"/>
  </r>
  <r>
    <s v="1398/07/01"/>
    <x v="1"/>
    <x v="2"/>
    <x v="5"/>
    <s v="مشهد"/>
    <s v="هدا"/>
    <x v="4"/>
    <n v="3535"/>
    <x v="101"/>
    <n v="489198045"/>
    <n v="185167723"/>
    <n v="112898280"/>
  </r>
  <r>
    <s v="1398/07/06"/>
    <x v="1"/>
    <x v="2"/>
    <x v="5"/>
    <s v="تبریز"/>
    <s v="سبهان"/>
    <x v="4"/>
    <n v="2415"/>
    <x v="102"/>
    <n v="288401715"/>
    <n v="260174685"/>
    <n v="9288886"/>
  </r>
  <r>
    <s v="1398/07/11"/>
    <x v="1"/>
    <x v="2"/>
    <x v="5"/>
    <s v="اصفهان"/>
    <s v="فاطمه"/>
    <x v="5"/>
    <n v="3220"/>
    <x v="103"/>
    <n v="241013780"/>
    <n v="93264323"/>
    <n v="20490437"/>
  </r>
  <r>
    <s v="1398/07/16"/>
    <x v="1"/>
    <x v="2"/>
    <x v="5"/>
    <s v="یزد"/>
    <s v="زهرا"/>
    <x v="0"/>
    <n v="2310"/>
    <x v="104"/>
    <n v="334866840"/>
    <n v="157594307"/>
    <n v="3073085"/>
  </r>
  <r>
    <s v="1398/07/21"/>
    <x v="1"/>
    <x v="2"/>
    <x v="5"/>
    <s v="شیراز"/>
    <s v="ایرج"/>
    <x v="1"/>
    <n v="3465"/>
    <x v="105"/>
    <n v="426091050"/>
    <n v="108429635"/>
    <n v="7522241"/>
  </r>
  <r>
    <s v="1398/07/26"/>
    <x v="1"/>
    <x v="2"/>
    <x v="5"/>
    <s v="سمنان"/>
    <s v="فرهاد"/>
    <x v="2"/>
    <n v="2835"/>
    <x v="106"/>
    <n v="402201450"/>
    <n v="17422464"/>
    <n v="40195048"/>
  </r>
  <r>
    <s v="1398/08/01"/>
    <x v="1"/>
    <x v="2"/>
    <x v="6"/>
    <s v="گیلان"/>
    <s v="علی"/>
    <x v="3"/>
    <n v="1820"/>
    <x v="107"/>
    <n v="212980040"/>
    <n v="180953944"/>
    <n v="6276075"/>
  </r>
  <r>
    <s v="1398/08/06"/>
    <x v="1"/>
    <x v="2"/>
    <x v="6"/>
    <s v="مازندران"/>
    <s v="مینا"/>
    <x v="4"/>
    <n v="3430"/>
    <x v="108"/>
    <n v="223193530"/>
    <n v="147679953"/>
    <n v="22611907"/>
  </r>
  <r>
    <s v="1398/08/11"/>
    <x v="1"/>
    <x v="2"/>
    <x v="6"/>
    <s v="ارومیه"/>
    <s v="حسنا"/>
    <x v="4"/>
    <n v="2170"/>
    <x v="109"/>
    <n v="203956130"/>
    <n v="160876845"/>
    <n v="31168977"/>
  </r>
  <r>
    <s v="1398/08/16"/>
    <x v="1"/>
    <x v="2"/>
    <x v="6"/>
    <s v="تهران"/>
    <s v="حسین"/>
    <x v="5"/>
    <n v="3150"/>
    <x v="110"/>
    <n v="404286750"/>
    <n v="97827049"/>
    <n v="35519189"/>
  </r>
  <r>
    <s v="1398/08/21"/>
    <x v="1"/>
    <x v="2"/>
    <x v="6"/>
    <s v="کرج"/>
    <s v="محسن"/>
    <x v="0"/>
    <n v="2415"/>
    <x v="111"/>
    <n v="336981855"/>
    <n v="231978024"/>
    <n v="77896253"/>
  </r>
  <r>
    <s v="1398/08/26"/>
    <x v="1"/>
    <x v="2"/>
    <x v="6"/>
    <s v="مشهد"/>
    <s v="موبینا"/>
    <x v="1"/>
    <n v="2100"/>
    <x v="112"/>
    <n v="217841400"/>
    <n v="65026332"/>
    <n v="25415804"/>
  </r>
  <r>
    <s v="1398/09/01"/>
    <x v="1"/>
    <x v="2"/>
    <x v="7"/>
    <s v="تبریز"/>
    <s v="هانیه"/>
    <x v="2"/>
    <n v="3430"/>
    <x v="113"/>
    <n v="397585020"/>
    <n v="341125534"/>
    <n v="34427502"/>
  </r>
  <r>
    <s v="1398/09/06"/>
    <x v="1"/>
    <x v="2"/>
    <x v="7"/>
    <s v="اصفهان"/>
    <s v="دنیا"/>
    <x v="3"/>
    <n v="3220"/>
    <x v="114"/>
    <n v="194594260"/>
    <n v="122382739"/>
    <n v="56982706"/>
  </r>
  <r>
    <s v="1398/09/11"/>
    <x v="1"/>
    <x v="2"/>
    <x v="7"/>
    <s v="یزد"/>
    <s v="ساغر"/>
    <x v="4"/>
    <n v="3290"/>
    <x v="115"/>
    <n v="244601630"/>
    <n v="236266115"/>
    <n v="73078685"/>
  </r>
  <r>
    <s v="1398/09/16"/>
    <x v="1"/>
    <x v="2"/>
    <x v="7"/>
    <s v="شیراز"/>
    <s v="هدا"/>
    <x v="4"/>
    <n v="2345"/>
    <x v="116"/>
    <n v="177260895"/>
    <n v="68155610"/>
    <n v="52602309"/>
  </r>
  <r>
    <s v="1398/09/21"/>
    <x v="1"/>
    <x v="2"/>
    <x v="7"/>
    <s v="سمنان"/>
    <s v="سبهان"/>
    <x v="5"/>
    <n v="3290"/>
    <x v="117"/>
    <n v="345486190"/>
    <n v="190610793"/>
    <n v="26081170"/>
  </r>
  <r>
    <s v="1398/09/26"/>
    <x v="1"/>
    <x v="2"/>
    <x v="7"/>
    <s v="گیلان"/>
    <s v="فاطمه"/>
    <x v="0"/>
    <n v="3080"/>
    <x v="118"/>
    <n v="181833960"/>
    <n v="121925005"/>
    <n v="50372211"/>
  </r>
  <r>
    <s v="1398/10/01"/>
    <x v="1"/>
    <x v="3"/>
    <x v="8"/>
    <s v="مازندران"/>
    <s v="زهرا"/>
    <x v="1"/>
    <n v="3185"/>
    <x v="119"/>
    <n v="167104210"/>
    <n v="156557460"/>
    <n v="12269531"/>
  </r>
  <r>
    <s v="1398/10/06"/>
    <x v="1"/>
    <x v="3"/>
    <x v="8"/>
    <s v="ارومیه"/>
    <s v="ایرج"/>
    <x v="2"/>
    <n v="2555"/>
    <x v="120"/>
    <n v="330021685"/>
    <n v="202476999"/>
    <n v="59014154"/>
  </r>
  <r>
    <s v="1398/10/11"/>
    <x v="1"/>
    <x v="3"/>
    <x v="8"/>
    <s v="تهران"/>
    <s v="فرهاد"/>
    <x v="3"/>
    <n v="2485"/>
    <x v="121"/>
    <n v="254252775"/>
    <n v="157210705"/>
    <n v="36083563"/>
  </r>
  <r>
    <s v="1398/10/16"/>
    <x v="1"/>
    <x v="3"/>
    <x v="8"/>
    <s v="کرج"/>
    <s v="علی"/>
    <x v="4"/>
    <n v="3780"/>
    <x v="122"/>
    <n v="355856760"/>
    <n v="339831513"/>
    <n v="84369534"/>
  </r>
  <r>
    <s v="1398/10/21"/>
    <x v="1"/>
    <x v="3"/>
    <x v="8"/>
    <s v="مشهد"/>
    <s v="مینا"/>
    <x v="4"/>
    <n v="2555"/>
    <x v="123"/>
    <n v="237671210"/>
    <n v="94612967"/>
    <n v="41102604"/>
  </r>
  <r>
    <s v="1398/10/26"/>
    <x v="1"/>
    <x v="3"/>
    <x v="8"/>
    <s v="تبریز"/>
    <s v="حسنا"/>
    <x v="5"/>
    <n v="3150"/>
    <x v="124"/>
    <n v="255613050"/>
    <n v="22104506"/>
    <n v="2398668"/>
  </r>
  <r>
    <s v="1398/11/01"/>
    <x v="1"/>
    <x v="3"/>
    <x v="9"/>
    <s v="اصفهان"/>
    <s v="حسین"/>
    <x v="0"/>
    <n v="2765"/>
    <x v="125"/>
    <n v="398881665"/>
    <n v="262932251"/>
    <n v="93773642"/>
  </r>
  <r>
    <s v="1398/11/06"/>
    <x v="1"/>
    <x v="3"/>
    <x v="9"/>
    <s v="یزد"/>
    <s v="محسن"/>
    <x v="1"/>
    <n v="3710"/>
    <x v="126"/>
    <n v="205663850"/>
    <n v="187861633"/>
    <n v="40017714"/>
  </r>
  <r>
    <s v="1398/11/11"/>
    <x v="1"/>
    <x v="3"/>
    <x v="9"/>
    <s v="شیراز"/>
    <s v="موبینا"/>
    <x v="2"/>
    <n v="1890"/>
    <x v="127"/>
    <n v="154407330"/>
    <n v="65190932"/>
    <n v="28969153"/>
  </r>
  <r>
    <s v="1398/11/16"/>
    <x v="1"/>
    <x v="3"/>
    <x v="9"/>
    <s v="سمنان"/>
    <s v="هانیه"/>
    <x v="3"/>
    <n v="2240"/>
    <x v="128"/>
    <n v="237997760"/>
    <n v="138180001"/>
    <n v="5814740"/>
  </r>
  <r>
    <s v="1398/11/21"/>
    <x v="1"/>
    <x v="3"/>
    <x v="9"/>
    <s v="گیلان"/>
    <s v="دنیا"/>
    <x v="4"/>
    <n v="3290"/>
    <x v="129"/>
    <n v="478540370"/>
    <n v="59237932"/>
    <n v="87171521"/>
  </r>
  <r>
    <s v="1398/11/26"/>
    <x v="1"/>
    <x v="3"/>
    <x v="9"/>
    <s v="مازندران"/>
    <s v="ساغر"/>
    <x v="4"/>
    <n v="3430"/>
    <x v="130"/>
    <n v="299902050"/>
    <n v="7895013"/>
    <n v="83610812"/>
  </r>
  <r>
    <s v="1398/12/01"/>
    <x v="1"/>
    <x v="3"/>
    <x v="10"/>
    <s v="ارومیه"/>
    <s v="هدا"/>
    <x v="5"/>
    <n v="2520"/>
    <x v="131"/>
    <n v="325606680"/>
    <n v="282773729"/>
    <n v="96773346"/>
  </r>
  <r>
    <s v="1398/12/06"/>
    <x v="1"/>
    <x v="3"/>
    <x v="10"/>
    <s v="تهران"/>
    <s v="سبهان"/>
    <x v="0"/>
    <n v="2800"/>
    <x v="132"/>
    <n v="177142000"/>
    <n v="173097486"/>
    <n v="1801297"/>
  </r>
  <r>
    <s v="1398/12/11"/>
    <x v="1"/>
    <x v="3"/>
    <x v="10"/>
    <s v="کرج"/>
    <s v="فاطمه"/>
    <x v="1"/>
    <n v="3290"/>
    <x v="133"/>
    <n v="178084410"/>
    <n v="31613798"/>
    <n v="44334005"/>
  </r>
  <r>
    <s v="1398/12/16"/>
    <x v="1"/>
    <x v="3"/>
    <x v="10"/>
    <s v="مشهد"/>
    <s v="زهرا"/>
    <x v="2"/>
    <n v="1785"/>
    <x v="134"/>
    <n v="131779410"/>
    <n v="23004905"/>
    <n v="1414512"/>
  </r>
  <r>
    <s v="1398/12/21"/>
    <x v="1"/>
    <x v="3"/>
    <x v="10"/>
    <s v="تبریز"/>
    <s v="ایرج"/>
    <x v="3"/>
    <n v="2065"/>
    <x v="135"/>
    <n v="228409650"/>
    <n v="212226116"/>
    <n v="18934217"/>
  </r>
  <r>
    <s v="1398/12/26"/>
    <x v="1"/>
    <x v="3"/>
    <x v="10"/>
    <s v="اصفهان"/>
    <s v="فرهاد"/>
    <x v="4"/>
    <n v="3010"/>
    <x v="136"/>
    <n v="151083940"/>
    <n v="94215367"/>
    <n v="5734781"/>
  </r>
  <r>
    <s v="1399/01/02"/>
    <x v="2"/>
    <x v="0"/>
    <x v="11"/>
    <s v="یزد"/>
    <s v="علی"/>
    <x v="4"/>
    <n v="3570"/>
    <x v="137"/>
    <n v="419749890"/>
    <n v="170179813"/>
    <n v="59440273"/>
  </r>
  <r>
    <s v="1399/01/07"/>
    <x v="2"/>
    <x v="0"/>
    <x v="11"/>
    <s v="شیراز"/>
    <s v="مینا"/>
    <x v="5"/>
    <n v="2450"/>
    <x v="138"/>
    <n v="193795000"/>
    <n v="172692574"/>
    <n v="46357911"/>
  </r>
  <r>
    <s v="1399/01/12"/>
    <x v="2"/>
    <x v="0"/>
    <x v="11"/>
    <s v="سمنان"/>
    <s v="حسنا"/>
    <x v="0"/>
    <n v="3290"/>
    <x v="139"/>
    <n v="253787310"/>
    <n v="248387034"/>
    <n v="72001255"/>
  </r>
  <r>
    <s v="1399/01/17"/>
    <x v="2"/>
    <x v="0"/>
    <x v="11"/>
    <s v="گیلان"/>
    <s v="حسین"/>
    <x v="1"/>
    <n v="2940"/>
    <x v="140"/>
    <n v="149722440"/>
    <n v="27085125"/>
    <n v="26100288"/>
  </r>
  <r>
    <s v="1399/01/22"/>
    <x v="2"/>
    <x v="0"/>
    <x v="11"/>
    <s v="مازندران"/>
    <s v="محسن"/>
    <x v="2"/>
    <n v="2660"/>
    <x v="141"/>
    <n v="271298720"/>
    <n v="232581721"/>
    <n v="76688374"/>
  </r>
  <r>
    <s v="1399/01/27"/>
    <x v="2"/>
    <x v="0"/>
    <x v="11"/>
    <s v="ارومیه"/>
    <s v="موبینا"/>
    <x v="3"/>
    <n v="1785"/>
    <x v="142"/>
    <n v="95856285"/>
    <n v="42153807"/>
    <n v="9472760"/>
  </r>
  <r>
    <s v="1399/02/01"/>
    <x v="2"/>
    <x v="0"/>
    <x v="0"/>
    <s v="تهران"/>
    <s v="هانیه"/>
    <x v="4"/>
    <n v="2590"/>
    <x v="143"/>
    <n v="321103020"/>
    <n v="299598915"/>
    <n v="69991713"/>
  </r>
  <r>
    <s v="1399/02/06"/>
    <x v="2"/>
    <x v="0"/>
    <x v="0"/>
    <s v="کرج"/>
    <s v="دنیا"/>
    <x v="4"/>
    <n v="3850"/>
    <x v="144"/>
    <n v="534784250"/>
    <n v="152401805"/>
    <n v="40223286"/>
  </r>
  <r>
    <s v="1399/02/11"/>
    <x v="2"/>
    <x v="0"/>
    <x v="0"/>
    <s v="مشهد"/>
    <s v="ساغر"/>
    <x v="5"/>
    <n v="2695"/>
    <x v="145"/>
    <n v="141500975"/>
    <n v="115103454"/>
    <n v="1748889"/>
  </r>
  <r>
    <s v="1399/02/16"/>
    <x v="2"/>
    <x v="0"/>
    <x v="0"/>
    <s v="تبریز"/>
    <s v="هدا"/>
    <x v="0"/>
    <n v="2730"/>
    <x v="146"/>
    <n v="229008780"/>
    <n v="205637795"/>
    <n v="61411634"/>
  </r>
  <r>
    <s v="1399/02/21"/>
    <x v="2"/>
    <x v="0"/>
    <x v="0"/>
    <s v="اصفهان"/>
    <s v="سبهان"/>
    <x v="1"/>
    <n v="2100"/>
    <x v="147"/>
    <n v="250097400"/>
    <n v="43591561"/>
    <n v="64155171"/>
  </r>
  <r>
    <s v="1399/02/26"/>
    <x v="2"/>
    <x v="0"/>
    <x v="0"/>
    <s v="یزد"/>
    <s v="فاطمه"/>
    <x v="2"/>
    <n v="3465"/>
    <x v="148"/>
    <n v="185117625"/>
    <n v="97122673"/>
    <n v="4551214"/>
  </r>
  <r>
    <s v="1399/02/31"/>
    <x v="2"/>
    <x v="0"/>
    <x v="0"/>
    <s v="شیراز"/>
    <s v="زهرا"/>
    <x v="3"/>
    <n v="2380"/>
    <x v="149"/>
    <n v="138256580"/>
    <n v="60112963"/>
    <n v="36251783"/>
  </r>
  <r>
    <s v="1399/03/05"/>
    <x v="2"/>
    <x v="0"/>
    <x v="1"/>
    <s v="سمنان"/>
    <s v="ایرج"/>
    <x v="4"/>
    <n v="1890"/>
    <x v="150"/>
    <n v="222398190"/>
    <n v="138712925"/>
    <n v="32898556"/>
  </r>
  <r>
    <s v="1399/03/10"/>
    <x v="2"/>
    <x v="0"/>
    <x v="1"/>
    <s v="گیلان"/>
    <s v="فرهاد"/>
    <x v="4"/>
    <n v="2975"/>
    <x v="151"/>
    <n v="158963175"/>
    <n v="154500311"/>
    <n v="31104083"/>
  </r>
  <r>
    <s v="1399/03/15"/>
    <x v="2"/>
    <x v="0"/>
    <x v="1"/>
    <s v="مازندران"/>
    <s v="علی"/>
    <x v="5"/>
    <n v="3290"/>
    <x v="152"/>
    <n v="470795710"/>
    <n v="82318636"/>
    <n v="104452509"/>
  </r>
  <r>
    <s v="1399/03/20"/>
    <x v="2"/>
    <x v="0"/>
    <x v="1"/>
    <s v="ارومیه"/>
    <s v="مینا"/>
    <x v="0"/>
    <n v="3605"/>
    <x v="153"/>
    <n v="242811170"/>
    <n v="61281247"/>
    <n v="39970991"/>
  </r>
  <r>
    <s v="1399/03/25"/>
    <x v="2"/>
    <x v="0"/>
    <x v="1"/>
    <s v="تهران"/>
    <s v="حسنا"/>
    <x v="1"/>
    <n v="3220"/>
    <x v="154"/>
    <n v="459104380"/>
    <n v="34076270"/>
    <n v="9868108"/>
  </r>
  <r>
    <s v="1399/03/30"/>
    <x v="2"/>
    <x v="0"/>
    <x v="1"/>
    <s v="کرج"/>
    <s v="حسین"/>
    <x v="2"/>
    <n v="2135"/>
    <x v="155"/>
    <n v="261964500"/>
    <n v="39949931"/>
    <n v="77989744"/>
  </r>
  <r>
    <s v="1399/04/04"/>
    <x v="2"/>
    <x v="1"/>
    <x v="2"/>
    <s v="مشهد"/>
    <s v="محسن"/>
    <x v="3"/>
    <n v="2275"/>
    <x v="156"/>
    <n v="274710800"/>
    <n v="18263385"/>
    <n v="47869434"/>
  </r>
  <r>
    <s v="1399/04/09"/>
    <x v="2"/>
    <x v="1"/>
    <x v="2"/>
    <s v="تبریز"/>
    <s v="موبینا"/>
    <x v="4"/>
    <n v="2065"/>
    <x v="157"/>
    <n v="124372885"/>
    <n v="77373058"/>
    <n v="5037425"/>
  </r>
  <r>
    <s v="1399/04/14"/>
    <x v="2"/>
    <x v="1"/>
    <x v="2"/>
    <s v="اصفهان"/>
    <s v="هانیه"/>
    <x v="4"/>
    <n v="3080"/>
    <x v="158"/>
    <n v="419973400"/>
    <n v="32798602"/>
    <n v="67972067"/>
  </r>
  <r>
    <s v="1399/04/19"/>
    <x v="2"/>
    <x v="1"/>
    <x v="2"/>
    <s v="یزد"/>
    <s v="دنیا"/>
    <x v="5"/>
    <n v="2695"/>
    <x v="159"/>
    <n v="344949220"/>
    <n v="30990762"/>
    <n v="75479542"/>
  </r>
  <r>
    <s v="1399/04/24"/>
    <x v="2"/>
    <x v="1"/>
    <x v="2"/>
    <s v="شیراز"/>
    <s v="ساغر"/>
    <x v="0"/>
    <n v="3780"/>
    <x v="160"/>
    <n v="265144320"/>
    <n v="261955761"/>
    <n v="57688309"/>
  </r>
  <r>
    <s v="1399/04/29"/>
    <x v="2"/>
    <x v="1"/>
    <x v="2"/>
    <s v="سمنان"/>
    <s v="هدا"/>
    <x v="1"/>
    <n v="3675"/>
    <x v="161"/>
    <n v="355519500"/>
    <n v="295570536"/>
    <n v="106530513"/>
  </r>
  <r>
    <s v="1399/05/03"/>
    <x v="2"/>
    <x v="1"/>
    <x v="3"/>
    <s v="گیلان"/>
    <s v="سبهان"/>
    <x v="2"/>
    <n v="2555"/>
    <x v="162"/>
    <n v="194540255"/>
    <n v="140580519"/>
    <n v="28236693"/>
  </r>
  <r>
    <s v="1399/05/08"/>
    <x v="2"/>
    <x v="1"/>
    <x v="3"/>
    <s v="مازندران"/>
    <s v="فاطمه"/>
    <x v="3"/>
    <n v="3815"/>
    <x v="163"/>
    <n v="361971015"/>
    <n v="49932921"/>
    <n v="105540223"/>
  </r>
  <r>
    <s v="1399/05/13"/>
    <x v="2"/>
    <x v="1"/>
    <x v="3"/>
    <s v="ارومیه"/>
    <s v="زهرا"/>
    <x v="4"/>
    <n v="2170"/>
    <x v="164"/>
    <n v="206330110"/>
    <n v="88067060"/>
    <n v="3613506"/>
  </r>
  <r>
    <s v="1399/05/18"/>
    <x v="2"/>
    <x v="1"/>
    <x v="3"/>
    <s v="تهران"/>
    <s v="ایرج"/>
    <x v="4"/>
    <n v="1820"/>
    <x v="165"/>
    <n v="250432000"/>
    <n v="70862616"/>
    <n v="64803193"/>
  </r>
  <r>
    <s v="1399/05/23"/>
    <x v="2"/>
    <x v="1"/>
    <x v="3"/>
    <s v="کرج"/>
    <s v="فرهاد"/>
    <x v="5"/>
    <n v="2800"/>
    <x v="166"/>
    <n v="208454400"/>
    <n v="4214297"/>
    <n v="42969897"/>
  </r>
  <r>
    <s v="1399/05/28"/>
    <x v="2"/>
    <x v="1"/>
    <x v="3"/>
    <s v="مشهد"/>
    <s v="علی"/>
    <x v="0"/>
    <n v="2835"/>
    <x v="167"/>
    <n v="388207890"/>
    <n v="372567076"/>
    <n v="34703886"/>
  </r>
  <r>
    <s v="1399/06/02"/>
    <x v="2"/>
    <x v="1"/>
    <x v="4"/>
    <s v="تبریز"/>
    <s v="مینا"/>
    <x v="1"/>
    <n v="3150"/>
    <x v="168"/>
    <n v="331849350"/>
    <n v="74478554"/>
    <n v="52224681"/>
  </r>
  <r>
    <s v="1399/06/07"/>
    <x v="2"/>
    <x v="1"/>
    <x v="4"/>
    <s v="اصفهان"/>
    <s v="حسنا"/>
    <x v="2"/>
    <n v="3675"/>
    <x v="169"/>
    <n v="253056825"/>
    <n v="245590472"/>
    <n v="56773694"/>
  </r>
  <r>
    <s v="1399/06/12"/>
    <x v="2"/>
    <x v="1"/>
    <x v="4"/>
    <s v="یزد"/>
    <s v="حسین"/>
    <x v="3"/>
    <n v="2065"/>
    <x v="170"/>
    <n v="114828455"/>
    <n v="25160154"/>
    <n v="20106832"/>
  </r>
  <r>
    <s v="1399/06/17"/>
    <x v="2"/>
    <x v="1"/>
    <x v="4"/>
    <s v="شیراز"/>
    <s v="محسن"/>
    <x v="4"/>
    <n v="2870"/>
    <x v="171"/>
    <n v="169915480"/>
    <n v="141774442"/>
    <n v="26451160"/>
  </r>
  <r>
    <s v="1399/06/22"/>
    <x v="2"/>
    <x v="1"/>
    <x v="4"/>
    <s v="سمنان"/>
    <s v="موبینا"/>
    <x v="4"/>
    <n v="3360"/>
    <x v="172"/>
    <n v="503193600"/>
    <n v="143895850"/>
    <n v="20823215"/>
  </r>
  <r>
    <s v="1399/06/27"/>
    <x v="2"/>
    <x v="1"/>
    <x v="4"/>
    <s v="گیلان"/>
    <s v="هانیه"/>
    <x v="5"/>
    <n v="3080"/>
    <x v="173"/>
    <n v="403938920"/>
    <n v="362450780"/>
    <n v="87870310"/>
  </r>
  <r>
    <s v="1399/07/01"/>
    <x v="2"/>
    <x v="2"/>
    <x v="5"/>
    <s v="مازندران"/>
    <s v="دنیا"/>
    <x v="0"/>
    <n v="3325"/>
    <x v="174"/>
    <n v="327791800"/>
    <n v="308607224"/>
    <n v="75576425"/>
  </r>
  <r>
    <s v="1399/07/06"/>
    <x v="2"/>
    <x v="2"/>
    <x v="5"/>
    <s v="ارومیه"/>
    <s v="ساغر"/>
    <x v="1"/>
    <n v="2170"/>
    <x v="175"/>
    <n v="273248570"/>
    <n v="181977401"/>
    <n v="21275707"/>
  </r>
  <r>
    <s v="1399/07/11"/>
    <x v="2"/>
    <x v="2"/>
    <x v="5"/>
    <s v="تهران"/>
    <s v="هدا"/>
    <x v="2"/>
    <n v="3430"/>
    <x v="176"/>
    <n v="505431080"/>
    <n v="209040324"/>
    <n v="18460452"/>
  </r>
  <r>
    <s v="1399/07/16"/>
    <x v="2"/>
    <x v="2"/>
    <x v="5"/>
    <s v="کرج"/>
    <s v="سبهان"/>
    <x v="3"/>
    <n v="3325"/>
    <x v="177"/>
    <n v="336549850"/>
    <n v="144224487"/>
    <n v="18971582"/>
  </r>
  <r>
    <s v="1399/07/21"/>
    <x v="2"/>
    <x v="2"/>
    <x v="5"/>
    <s v="مشهد"/>
    <s v="فاطمه"/>
    <x v="4"/>
    <n v="2485"/>
    <x v="178"/>
    <n v="253576855"/>
    <n v="13071820"/>
    <n v="47887945"/>
  </r>
  <r>
    <s v="1399/07/26"/>
    <x v="2"/>
    <x v="2"/>
    <x v="5"/>
    <s v="تبریز"/>
    <s v="زهرا"/>
    <x v="4"/>
    <n v="2975"/>
    <x v="179"/>
    <n v="200137175"/>
    <n v="88475615"/>
    <n v="54493438"/>
  </r>
  <r>
    <s v="1399/08/01"/>
    <x v="2"/>
    <x v="2"/>
    <x v="6"/>
    <s v="اصفهان"/>
    <s v="ایرج"/>
    <x v="5"/>
    <n v="2065"/>
    <x v="180"/>
    <n v="133050015"/>
    <n v="116710197"/>
    <n v="29947451"/>
  </r>
  <r>
    <s v="1399/08/06"/>
    <x v="2"/>
    <x v="2"/>
    <x v="6"/>
    <s v="یزد"/>
    <s v="فرهاد"/>
    <x v="0"/>
    <n v="3255"/>
    <x v="181"/>
    <n v="394030770"/>
    <n v="386318517"/>
    <n v="111244887"/>
  </r>
  <r>
    <s v="1399/08/11"/>
    <x v="2"/>
    <x v="2"/>
    <x v="6"/>
    <s v="شیراز"/>
    <s v="علی"/>
    <x v="1"/>
    <n v="2870"/>
    <x v="182"/>
    <n v="404948390"/>
    <n v="143385892"/>
    <n v="82194450"/>
  </r>
  <r>
    <s v="1399/08/16"/>
    <x v="2"/>
    <x v="2"/>
    <x v="6"/>
    <s v="سمنان"/>
    <s v="مینا"/>
    <x v="2"/>
    <n v="3220"/>
    <x v="183"/>
    <n v="246993320"/>
    <n v="50967847"/>
    <n v="55022236"/>
  </r>
  <r>
    <s v="1399/08/21"/>
    <x v="2"/>
    <x v="2"/>
    <x v="6"/>
    <s v="گیلان"/>
    <s v="حسنا"/>
    <x v="3"/>
    <n v="2345"/>
    <x v="184"/>
    <n v="118316975"/>
    <n v="32685947"/>
    <n v="5544198"/>
  </r>
  <r>
    <s v="1399/08/26"/>
    <x v="2"/>
    <x v="2"/>
    <x v="6"/>
    <s v="مازندران"/>
    <s v="حسین"/>
    <x v="4"/>
    <n v="3535"/>
    <x v="185"/>
    <n v="184417415"/>
    <n v="62258703"/>
    <n v="52442356"/>
  </r>
  <r>
    <s v="1399/09/01"/>
    <x v="2"/>
    <x v="2"/>
    <x v="7"/>
    <s v="ارومیه"/>
    <s v="محسن"/>
    <x v="4"/>
    <n v="1925"/>
    <x v="186"/>
    <n v="160510350"/>
    <n v="33638169"/>
    <n v="26392960"/>
  </r>
  <r>
    <s v="1399/09/06"/>
    <x v="2"/>
    <x v="2"/>
    <x v="7"/>
    <s v="تهران"/>
    <s v="موبینا"/>
    <x v="5"/>
    <n v="2485"/>
    <x v="187"/>
    <n v="338976365"/>
    <n v="330105747"/>
    <n v="56173778"/>
  </r>
  <r>
    <s v="1399/09/11"/>
    <x v="2"/>
    <x v="2"/>
    <x v="7"/>
    <s v="کرج"/>
    <s v="هانیه"/>
    <x v="0"/>
    <n v="1855"/>
    <x v="188"/>
    <n v="264578650"/>
    <n v="3530960"/>
    <n v="27787880"/>
  </r>
  <r>
    <s v="1399/09/16"/>
    <x v="2"/>
    <x v="2"/>
    <x v="7"/>
    <s v="مشهد"/>
    <s v="دنیا"/>
    <x v="1"/>
    <n v="3675"/>
    <x v="189"/>
    <n v="202110300"/>
    <n v="177807428"/>
    <n v="41677035"/>
  </r>
  <r>
    <s v="1399/09/21"/>
    <x v="2"/>
    <x v="2"/>
    <x v="7"/>
    <s v="تبریز"/>
    <s v="ساغر"/>
    <x v="2"/>
    <n v="1925"/>
    <x v="190"/>
    <n v="285117525"/>
    <n v="55512027"/>
    <n v="25221834"/>
  </r>
  <r>
    <s v="1399/09/26"/>
    <x v="2"/>
    <x v="2"/>
    <x v="7"/>
    <s v="اصفهان"/>
    <s v="هدا"/>
    <x v="3"/>
    <n v="3185"/>
    <x v="191"/>
    <n v="303087785"/>
    <n v="51920414"/>
    <n v="71729519"/>
  </r>
  <r>
    <s v="1399/10/01"/>
    <x v="2"/>
    <x v="3"/>
    <x v="8"/>
    <s v="یزد"/>
    <s v="سبهان"/>
    <x v="4"/>
    <n v="3325"/>
    <x v="192"/>
    <n v="473709425"/>
    <n v="377073560"/>
    <n v="26561832"/>
  </r>
  <r>
    <s v="1399/10/06"/>
    <x v="2"/>
    <x v="3"/>
    <x v="8"/>
    <s v="شیراز"/>
    <s v="فاطمه"/>
    <x v="4"/>
    <n v="3255"/>
    <x v="193"/>
    <n v="328201650"/>
    <n v="17656388"/>
    <n v="36260648"/>
  </r>
  <r>
    <s v="1399/10/11"/>
    <x v="2"/>
    <x v="3"/>
    <x v="8"/>
    <s v="سمنان"/>
    <s v="زهرا"/>
    <x v="5"/>
    <n v="1890"/>
    <x v="194"/>
    <n v="140744520"/>
    <n v="120207286"/>
    <n v="14299399"/>
  </r>
  <r>
    <s v="1399/10/16"/>
    <x v="2"/>
    <x v="3"/>
    <x v="8"/>
    <s v="گیلان"/>
    <s v="ایرج"/>
    <x v="0"/>
    <n v="1960"/>
    <x v="195"/>
    <n v="199169320"/>
    <n v="146456083"/>
    <n v="29844837"/>
  </r>
  <r>
    <s v="1399/10/21"/>
    <x v="2"/>
    <x v="3"/>
    <x v="8"/>
    <s v="مازندران"/>
    <s v="فرهاد"/>
    <x v="1"/>
    <n v="2275"/>
    <x v="196"/>
    <n v="226203250"/>
    <n v="36404739"/>
    <n v="28102177"/>
  </r>
  <r>
    <s v="1399/10/26"/>
    <x v="2"/>
    <x v="3"/>
    <x v="8"/>
    <s v="ارومیه"/>
    <s v="علی"/>
    <x v="2"/>
    <n v="2485"/>
    <x v="197"/>
    <n v="284932585"/>
    <n v="17978027"/>
    <n v="83719885"/>
  </r>
  <r>
    <s v="1399/11/01"/>
    <x v="2"/>
    <x v="3"/>
    <x v="9"/>
    <s v="تهران"/>
    <s v="مینا"/>
    <x v="3"/>
    <n v="3185"/>
    <x v="198"/>
    <n v="377053040"/>
    <n v="213274192"/>
    <n v="24504500"/>
  </r>
  <r>
    <s v="1399/11/06"/>
    <x v="2"/>
    <x v="3"/>
    <x v="9"/>
    <s v="کرج"/>
    <s v="حسنا"/>
    <x v="4"/>
    <n v="2940"/>
    <x v="199"/>
    <n v="344074080"/>
    <n v="128050742"/>
    <n v="1056124"/>
  </r>
  <r>
    <s v="1399/11/11"/>
    <x v="2"/>
    <x v="3"/>
    <x v="9"/>
    <s v="مشهد"/>
    <s v="حسین"/>
    <x v="4"/>
    <n v="1820"/>
    <x v="200"/>
    <n v="164129420"/>
    <n v="120870231"/>
    <n v="48255642"/>
  </r>
  <r>
    <s v="1399/11/16"/>
    <x v="2"/>
    <x v="3"/>
    <x v="9"/>
    <s v="تبریز"/>
    <s v="محسن"/>
    <x v="5"/>
    <n v="2520"/>
    <x v="201"/>
    <n v="189040320"/>
    <n v="129855943"/>
    <n v="54887340"/>
  </r>
  <r>
    <s v="1399/11/21"/>
    <x v="2"/>
    <x v="3"/>
    <x v="9"/>
    <s v="اصفهان"/>
    <s v="موبینا"/>
    <x v="0"/>
    <n v="3150"/>
    <x v="202"/>
    <n v="319602150"/>
    <n v="167140693"/>
    <n v="90772539"/>
  </r>
  <r>
    <s v="1399/11/26"/>
    <x v="2"/>
    <x v="3"/>
    <x v="9"/>
    <s v="یزد"/>
    <s v="هانیه"/>
    <x v="1"/>
    <n v="1960"/>
    <x v="203"/>
    <n v="111441680"/>
    <n v="49874076"/>
    <n v="20824748"/>
  </r>
  <r>
    <s v="1399/12/01"/>
    <x v="2"/>
    <x v="3"/>
    <x v="10"/>
    <s v="شیراز"/>
    <s v="دنیا"/>
    <x v="2"/>
    <n v="2030"/>
    <x v="204"/>
    <n v="291721150"/>
    <n v="166171859"/>
    <n v="42623169"/>
  </r>
  <r>
    <s v="1399/12/06"/>
    <x v="2"/>
    <x v="3"/>
    <x v="10"/>
    <s v="سمنان"/>
    <s v="ساغر"/>
    <x v="3"/>
    <n v="2240"/>
    <x v="205"/>
    <n v="272442240"/>
    <n v="253326999"/>
    <n v="33073786"/>
  </r>
  <r>
    <s v="1399/12/11"/>
    <x v="2"/>
    <x v="3"/>
    <x v="10"/>
    <s v="گیلان"/>
    <s v="هدا"/>
    <x v="4"/>
    <n v="1820"/>
    <x v="206"/>
    <n v="262032680"/>
    <n v="73596770"/>
    <n v="13251512"/>
  </r>
  <r>
    <s v="1399/12/16"/>
    <x v="2"/>
    <x v="3"/>
    <x v="10"/>
    <s v="مازندران"/>
    <s v="سبهان"/>
    <x v="4"/>
    <n v="3395"/>
    <x v="207"/>
    <n v="336546350"/>
    <n v="200118634"/>
    <n v="78719655"/>
  </r>
  <r>
    <s v="1399/12/21"/>
    <x v="2"/>
    <x v="3"/>
    <x v="10"/>
    <s v="ارومیه"/>
    <s v="فاطمه"/>
    <x v="5"/>
    <n v="2660"/>
    <x v="208"/>
    <n v="188769560"/>
    <n v="187403789"/>
    <n v="42302671"/>
  </r>
  <r>
    <s v="1399/12/26"/>
    <x v="2"/>
    <x v="3"/>
    <x v="10"/>
    <s v="تهران"/>
    <s v="زهرا"/>
    <x v="0"/>
    <n v="2415"/>
    <x v="209"/>
    <n v="312240180"/>
    <n v="29187382"/>
    <n v="52964626"/>
  </r>
  <r>
    <s v="1400/01/01"/>
    <x v="3"/>
    <x v="0"/>
    <x v="11"/>
    <s v="کرج"/>
    <s v="ایرج"/>
    <x v="1"/>
    <n v="1995"/>
    <x v="210"/>
    <n v="162546615"/>
    <n v="8191333"/>
    <n v="25687309"/>
  </r>
  <r>
    <s v="1400/01/06"/>
    <x v="3"/>
    <x v="0"/>
    <x v="11"/>
    <s v="مشهد"/>
    <s v="فرهاد"/>
    <x v="2"/>
    <n v="3500"/>
    <x v="211"/>
    <n v="351281000"/>
    <n v="296658862"/>
    <n v="39041490"/>
  </r>
  <r>
    <s v="1400/01/11"/>
    <x v="3"/>
    <x v="0"/>
    <x v="11"/>
    <s v="تبریز"/>
    <s v="علی"/>
    <x v="3"/>
    <n v="1925"/>
    <x v="212"/>
    <n v="209950125"/>
    <n v="47800189"/>
    <n v="56111962"/>
  </r>
  <r>
    <s v="1400/01/16"/>
    <x v="3"/>
    <x v="0"/>
    <x v="11"/>
    <s v="اصفهان"/>
    <s v="مینا"/>
    <x v="4"/>
    <n v="1785"/>
    <x v="213"/>
    <n v="250112415"/>
    <n v="7569628"/>
    <n v="62087210"/>
  </r>
  <r>
    <s v="1400/01/21"/>
    <x v="3"/>
    <x v="0"/>
    <x v="11"/>
    <s v="یزد"/>
    <s v="حسنا"/>
    <x v="4"/>
    <n v="2555"/>
    <x v="214"/>
    <n v="196121800"/>
    <n v="75425761"/>
    <n v="24918422"/>
  </r>
  <r>
    <s v="1400/01/26"/>
    <x v="3"/>
    <x v="0"/>
    <x v="11"/>
    <s v="شیراز"/>
    <s v="حسین"/>
    <x v="5"/>
    <n v="2730"/>
    <x v="215"/>
    <n v="408874830"/>
    <n v="289035509"/>
    <n v="115184018"/>
  </r>
  <r>
    <s v="1400/01/31"/>
    <x v="3"/>
    <x v="0"/>
    <x v="11"/>
    <s v="سمنان"/>
    <s v="محسن"/>
    <x v="0"/>
    <n v="2065"/>
    <x v="216"/>
    <n v="152570460"/>
    <n v="4065953"/>
    <n v="36189149"/>
  </r>
  <r>
    <s v="1400/02/05"/>
    <x v="3"/>
    <x v="0"/>
    <x v="0"/>
    <s v="گیلان"/>
    <s v="موبینا"/>
    <x v="1"/>
    <n v="3290"/>
    <x v="217"/>
    <n v="329352030"/>
    <n v="166134359"/>
    <n v="91730302"/>
  </r>
  <r>
    <s v="1400/02/10"/>
    <x v="3"/>
    <x v="0"/>
    <x v="0"/>
    <s v="مازندران"/>
    <s v="هانیه"/>
    <x v="2"/>
    <n v="3325"/>
    <x v="218"/>
    <n v="172816875"/>
    <n v="18126812"/>
    <n v="7929125"/>
  </r>
  <r>
    <s v="1400/02/15"/>
    <x v="3"/>
    <x v="0"/>
    <x v="0"/>
    <s v="ارومیه"/>
    <s v="دنیا"/>
    <x v="3"/>
    <n v="3290"/>
    <x v="219"/>
    <n v="288727110"/>
    <n v="108575760"/>
    <n v="68754894"/>
  </r>
  <r>
    <s v="1400/02/20"/>
    <x v="3"/>
    <x v="0"/>
    <x v="0"/>
    <s v="تهران"/>
    <s v="ساغر"/>
    <x v="4"/>
    <n v="2940"/>
    <x v="220"/>
    <n v="254195340"/>
    <n v="183800762"/>
    <n v="42355069"/>
  </r>
  <r>
    <s v="1400/02/25"/>
    <x v="3"/>
    <x v="0"/>
    <x v="0"/>
    <s v="کرج"/>
    <s v="هدا"/>
    <x v="4"/>
    <n v="2625"/>
    <x v="221"/>
    <n v="387518250"/>
    <n v="146633388"/>
    <n v="10161878"/>
  </r>
  <r>
    <s v="1400/02/30"/>
    <x v="3"/>
    <x v="0"/>
    <x v="0"/>
    <s v="مشهد"/>
    <s v="سبهان"/>
    <x v="5"/>
    <n v="2695"/>
    <x v="222"/>
    <n v="351942745"/>
    <n v="319013864"/>
    <n v="53662579"/>
  </r>
  <r>
    <s v="1400/03/04"/>
    <x v="3"/>
    <x v="0"/>
    <x v="1"/>
    <s v="تبریز"/>
    <s v="فاطمه"/>
    <x v="0"/>
    <n v="2415"/>
    <x v="223"/>
    <n v="141547980"/>
    <n v="9102104"/>
    <n v="20752766"/>
  </r>
  <r>
    <s v="1400/03/09"/>
    <x v="3"/>
    <x v="0"/>
    <x v="1"/>
    <s v="اصفهان"/>
    <s v="زهرا"/>
    <x v="1"/>
    <n v="3220"/>
    <x v="224"/>
    <n v="251858740"/>
    <n v="84289234"/>
    <n v="16519134"/>
  </r>
  <r>
    <s v="1400/03/14"/>
    <x v="3"/>
    <x v="0"/>
    <x v="1"/>
    <s v="یزد"/>
    <s v="ایرج"/>
    <x v="2"/>
    <n v="2590"/>
    <x v="225"/>
    <n v="295322160"/>
    <n v="49739627"/>
    <n v="45178257"/>
  </r>
  <r>
    <s v="1400/03/19"/>
    <x v="3"/>
    <x v="0"/>
    <x v="1"/>
    <s v="شیراز"/>
    <s v="فرهاد"/>
    <x v="3"/>
    <n v="1750"/>
    <x v="226"/>
    <n v="254229500"/>
    <n v="76969076"/>
    <n v="30338821"/>
  </r>
  <r>
    <s v="1400/03/24"/>
    <x v="3"/>
    <x v="0"/>
    <x v="1"/>
    <s v="سمنان"/>
    <s v="علی"/>
    <x v="4"/>
    <n v="2975"/>
    <x v="227"/>
    <n v="414848875"/>
    <n v="85978015"/>
    <n v="93625737"/>
  </r>
  <r>
    <s v="1400/03/29"/>
    <x v="3"/>
    <x v="0"/>
    <x v="1"/>
    <s v="گیلان"/>
    <s v="مینا"/>
    <x v="4"/>
    <n v="1855"/>
    <x v="228"/>
    <n v="210733565"/>
    <n v="4328046"/>
    <n v="27749007"/>
  </r>
  <r>
    <s v="1400/04/03"/>
    <x v="3"/>
    <x v="1"/>
    <x v="2"/>
    <s v="مازندران"/>
    <s v="حسنا"/>
    <x v="5"/>
    <n v="3185"/>
    <x v="229"/>
    <n v="301670460"/>
    <n v="254994729"/>
    <n v="5980539"/>
  </r>
  <r>
    <s v="1400/04/08"/>
    <x v="3"/>
    <x v="1"/>
    <x v="2"/>
    <s v="ارومیه"/>
    <s v="حسین"/>
    <x v="0"/>
    <n v="3850"/>
    <x v="230"/>
    <n v="341572000"/>
    <n v="16707012"/>
    <n v="14263885"/>
  </r>
  <r>
    <s v="1400/04/13"/>
    <x v="3"/>
    <x v="1"/>
    <x v="2"/>
    <s v="تهران"/>
    <s v="محسن"/>
    <x v="1"/>
    <n v="3255"/>
    <x v="231"/>
    <n v="184425045"/>
    <n v="85429930"/>
    <n v="22108291"/>
  </r>
  <r>
    <s v="1400/04/18"/>
    <x v="3"/>
    <x v="1"/>
    <x v="2"/>
    <s v="کرج"/>
    <s v="موبینا"/>
    <x v="2"/>
    <n v="3360"/>
    <x v="232"/>
    <n v="254086560"/>
    <n v="102915324"/>
    <n v="40711043"/>
  </r>
  <r>
    <s v="1400/04/23"/>
    <x v="3"/>
    <x v="1"/>
    <x v="2"/>
    <s v="مشهد"/>
    <s v="هانیه"/>
    <x v="3"/>
    <n v="3255"/>
    <x v="233"/>
    <n v="209973540"/>
    <n v="22964844"/>
    <n v="22158327"/>
  </r>
  <r>
    <s v="1400/04/28"/>
    <x v="3"/>
    <x v="1"/>
    <x v="2"/>
    <s v="تبریز"/>
    <s v="دنیا"/>
    <x v="4"/>
    <n v="2205"/>
    <x v="234"/>
    <n v="142043895"/>
    <n v="54329769"/>
    <n v="13613877"/>
  </r>
  <r>
    <s v="1400/05/02"/>
    <x v="3"/>
    <x v="1"/>
    <x v="3"/>
    <s v="اصفهان"/>
    <s v="ساغر"/>
    <x v="4"/>
    <n v="3710"/>
    <x v="235"/>
    <n v="284890900"/>
    <n v="219430297"/>
    <n v="40621067"/>
  </r>
  <r>
    <s v="1400/05/07"/>
    <x v="3"/>
    <x v="1"/>
    <x v="3"/>
    <s v="یزد"/>
    <s v="هدا"/>
    <x v="5"/>
    <n v="2415"/>
    <x v="236"/>
    <n v="179388615"/>
    <n v="11029817"/>
    <n v="17375017"/>
  </r>
  <r>
    <s v="1400/05/12"/>
    <x v="3"/>
    <x v="1"/>
    <x v="3"/>
    <s v="شیراز"/>
    <s v="سبهان"/>
    <x v="0"/>
    <n v="3325"/>
    <x v="237"/>
    <n v="174702150"/>
    <n v="59259644"/>
    <n v="15462294"/>
  </r>
  <r>
    <s v="1400/05/17"/>
    <x v="3"/>
    <x v="1"/>
    <x v="3"/>
    <s v="سمنان"/>
    <s v="فاطمه"/>
    <x v="1"/>
    <n v="3465"/>
    <x v="238"/>
    <n v="353319120"/>
    <n v="190319918"/>
    <n v="105466127"/>
  </r>
  <r>
    <s v="1400/05/22"/>
    <x v="3"/>
    <x v="1"/>
    <x v="3"/>
    <s v="گیلان"/>
    <s v="زهرا"/>
    <x v="2"/>
    <n v="1995"/>
    <x v="239"/>
    <n v="218426565"/>
    <n v="85984890"/>
    <n v="62860685"/>
  </r>
  <r>
    <s v="1400/05/27"/>
    <x v="3"/>
    <x v="1"/>
    <x v="3"/>
    <s v="مازندران"/>
    <s v="ایرج"/>
    <x v="3"/>
    <n v="1750"/>
    <x v="240"/>
    <n v="219703750"/>
    <n v="131962301"/>
    <n v="27046741"/>
  </r>
  <r>
    <s v="1400/06/01"/>
    <x v="3"/>
    <x v="1"/>
    <x v="4"/>
    <s v="ارومیه"/>
    <s v="فرهاد"/>
    <x v="4"/>
    <n v="3605"/>
    <x v="241"/>
    <n v="191205595"/>
    <n v="33572310"/>
    <n v="42769855"/>
  </r>
  <r>
    <s v="1400/06/06"/>
    <x v="3"/>
    <x v="1"/>
    <x v="4"/>
    <s v="تهران"/>
    <s v="علی"/>
    <x v="4"/>
    <n v="3290"/>
    <x v="242"/>
    <n v="368410910"/>
    <n v="26524101"/>
    <n v="492784"/>
  </r>
  <r>
    <s v="1400/06/11"/>
    <x v="3"/>
    <x v="1"/>
    <x v="4"/>
    <s v="کرج"/>
    <s v="مینا"/>
    <x v="5"/>
    <n v="3220"/>
    <x v="243"/>
    <n v="444463040"/>
    <n v="76698234"/>
    <n v="34898195"/>
  </r>
  <r>
    <s v="1400/06/16"/>
    <x v="3"/>
    <x v="1"/>
    <x v="4"/>
    <s v="مشهد"/>
    <s v="حسنا"/>
    <x v="0"/>
    <n v="3080"/>
    <x v="244"/>
    <n v="221532080"/>
    <n v="24574413"/>
    <n v="8502371"/>
  </r>
  <r>
    <s v="1400/06/21"/>
    <x v="3"/>
    <x v="1"/>
    <x v="4"/>
    <s v="تبریز"/>
    <s v="حسین"/>
    <x v="1"/>
    <n v="3290"/>
    <x v="245"/>
    <n v="167237280"/>
    <n v="74667906"/>
    <n v="40951835"/>
  </r>
  <r>
    <s v="1400/06/26"/>
    <x v="3"/>
    <x v="1"/>
    <x v="4"/>
    <s v="اصفهان"/>
    <s v="محسن"/>
    <x v="2"/>
    <n v="2275"/>
    <x v="246"/>
    <n v="239887375"/>
    <n v="194814225"/>
    <n v="5665989"/>
  </r>
  <r>
    <s v="1400/06/31"/>
    <x v="3"/>
    <x v="1"/>
    <x v="4"/>
    <s v="یزد"/>
    <s v="موبینا"/>
    <x v="3"/>
    <n v="2240"/>
    <x v="247"/>
    <n v="261535680"/>
    <n v="223480957"/>
    <n v="73498333"/>
  </r>
  <r>
    <s v="1400/07/05"/>
    <x v="3"/>
    <x v="2"/>
    <x v="5"/>
    <s v="شیراز"/>
    <s v="هانیه"/>
    <x v="4"/>
    <n v="2695"/>
    <x v="248"/>
    <n v="350118230"/>
    <n v="4163490"/>
    <n v="34258694"/>
  </r>
  <r>
    <s v="1400/07/10"/>
    <x v="3"/>
    <x v="2"/>
    <x v="5"/>
    <s v="سمنان"/>
    <s v="دنیا"/>
    <x v="4"/>
    <n v="3395"/>
    <x v="249"/>
    <n v="480861010"/>
    <n v="157937116"/>
    <n v="30011083"/>
  </r>
  <r>
    <s v="1400/07/15"/>
    <x v="3"/>
    <x v="2"/>
    <x v="5"/>
    <s v="گیلان"/>
    <s v="ساغر"/>
    <x v="5"/>
    <n v="3850"/>
    <x v="250"/>
    <n v="448428750"/>
    <n v="402946210"/>
    <n v="128737402"/>
  </r>
  <r>
    <s v="1400/07/20"/>
    <x v="3"/>
    <x v="2"/>
    <x v="5"/>
    <s v="مازندران"/>
    <s v="هدا"/>
    <x v="0"/>
    <n v="3640"/>
    <x v="251"/>
    <n v="417919320"/>
    <n v="40331077"/>
    <n v="47249384"/>
  </r>
  <r>
    <s v="1400/07/25"/>
    <x v="3"/>
    <x v="2"/>
    <x v="5"/>
    <s v="ارومیه"/>
    <s v="سبهان"/>
    <x v="1"/>
    <n v="3185"/>
    <x v="252"/>
    <n v="182309400"/>
    <n v="178019645"/>
    <n v="53963274"/>
  </r>
  <r>
    <s v="1400/07/30"/>
    <x v="3"/>
    <x v="2"/>
    <x v="5"/>
    <s v="تهران"/>
    <s v="فاطمه"/>
    <x v="2"/>
    <n v="2835"/>
    <x v="253"/>
    <n v="246143205"/>
    <n v="80976187"/>
    <n v="65044756"/>
  </r>
  <r>
    <s v="1400/08/05"/>
    <x v="3"/>
    <x v="2"/>
    <x v="6"/>
    <s v="کرج"/>
    <s v="زهرا"/>
    <x v="3"/>
    <n v="3290"/>
    <x v="254"/>
    <n v="319060910"/>
    <n v="211282822"/>
    <n v="79464644"/>
  </r>
  <r>
    <s v="1400/08/10"/>
    <x v="3"/>
    <x v="2"/>
    <x v="6"/>
    <s v="مشهد"/>
    <s v="ایرج"/>
    <x v="4"/>
    <n v="3255"/>
    <x v="255"/>
    <n v="398910015"/>
    <n v="90234231"/>
    <n v="30705602"/>
  </r>
  <r>
    <s v="1400/08/15"/>
    <x v="3"/>
    <x v="2"/>
    <x v="6"/>
    <s v="تبریز"/>
    <s v="فرهاد"/>
    <x v="4"/>
    <n v="1750"/>
    <x v="256"/>
    <n v="255734500"/>
    <n v="242583070"/>
    <n v="26717451"/>
  </r>
  <r>
    <s v="1400/08/20"/>
    <x v="3"/>
    <x v="2"/>
    <x v="6"/>
    <s v="اصفهان"/>
    <s v="علی"/>
    <x v="5"/>
    <n v="3395"/>
    <x v="257"/>
    <n v="430564085"/>
    <n v="396265603"/>
    <n v="85826793"/>
  </r>
  <r>
    <s v="1400/08/25"/>
    <x v="3"/>
    <x v="2"/>
    <x v="6"/>
    <s v="یزد"/>
    <s v="مینا"/>
    <x v="0"/>
    <n v="2380"/>
    <x v="258"/>
    <n v="275446920"/>
    <n v="33291827"/>
    <n v="7596620"/>
  </r>
  <r>
    <s v="1400/08/30"/>
    <x v="3"/>
    <x v="2"/>
    <x v="6"/>
    <s v="شیراز"/>
    <s v="حسنا"/>
    <x v="1"/>
    <n v="2205"/>
    <x v="259"/>
    <n v="172117890"/>
    <n v="115820095"/>
    <n v="15453578"/>
  </r>
  <r>
    <s v="1400/09/05"/>
    <x v="3"/>
    <x v="2"/>
    <x v="7"/>
    <s v="سمنان"/>
    <s v="حسین"/>
    <x v="2"/>
    <n v="1995"/>
    <x v="260"/>
    <n v="169977990"/>
    <n v="29495466"/>
    <n v="13591299"/>
  </r>
  <r>
    <s v="1400/09/10"/>
    <x v="3"/>
    <x v="2"/>
    <x v="7"/>
    <s v="گیلان"/>
    <s v="محسن"/>
    <x v="3"/>
    <n v="2905"/>
    <x v="261"/>
    <n v="218322370"/>
    <n v="174358445"/>
    <n v="18864911"/>
  </r>
  <r>
    <s v="1400/09/15"/>
    <x v="3"/>
    <x v="2"/>
    <x v="7"/>
    <s v="مازندران"/>
    <s v="موبینا"/>
    <x v="4"/>
    <n v="2835"/>
    <x v="262"/>
    <n v="303024645"/>
    <n v="142721362"/>
    <n v="84203583"/>
  </r>
  <r>
    <s v="1400/09/20"/>
    <x v="3"/>
    <x v="2"/>
    <x v="7"/>
    <s v="ارومیه"/>
    <s v="هانیه"/>
    <x v="4"/>
    <n v="1750"/>
    <x v="263"/>
    <n v="224969500"/>
    <n v="42516074"/>
    <n v="51537258"/>
  </r>
  <r>
    <s v="1400/09/25"/>
    <x v="3"/>
    <x v="2"/>
    <x v="7"/>
    <s v="تهران"/>
    <s v="دنیا"/>
    <x v="5"/>
    <n v="3710"/>
    <x v="264"/>
    <n v="357874020"/>
    <n v="43946894"/>
    <n v="91301374"/>
  </r>
  <r>
    <s v="1400/09/30"/>
    <x v="3"/>
    <x v="2"/>
    <x v="7"/>
    <s v="کرج"/>
    <s v="ساغر"/>
    <x v="0"/>
    <n v="3115"/>
    <x v="265"/>
    <n v="225027600"/>
    <n v="210861169"/>
    <n v="66293837"/>
  </r>
  <r>
    <s v="1400/10/05"/>
    <x v="3"/>
    <x v="3"/>
    <x v="8"/>
    <s v="مشهد"/>
    <s v="هدا"/>
    <x v="1"/>
    <n v="2555"/>
    <x v="266"/>
    <n v="318726030"/>
    <n v="132854414"/>
    <n v="63169370"/>
  </r>
  <r>
    <s v="1400/10/10"/>
    <x v="3"/>
    <x v="3"/>
    <x v="8"/>
    <s v="تبریز"/>
    <s v="سبهان"/>
    <x v="2"/>
    <n v="1820"/>
    <x v="267"/>
    <n v="261184560"/>
    <n v="222502417"/>
    <n v="23725695"/>
  </r>
  <r>
    <s v="1400/10/15"/>
    <x v="3"/>
    <x v="3"/>
    <x v="8"/>
    <s v="اصفهان"/>
    <s v="فاطمه"/>
    <x v="3"/>
    <n v="1995"/>
    <x v="268"/>
    <n v="128739345"/>
    <n v="58996033"/>
    <n v="31945151"/>
  </r>
  <r>
    <s v="1400/10/20"/>
    <x v="3"/>
    <x v="3"/>
    <x v="8"/>
    <s v="یزد"/>
    <s v="زهرا"/>
    <x v="4"/>
    <n v="2135"/>
    <x v="269"/>
    <n v="200724160"/>
    <n v="7636553"/>
    <n v="36692608"/>
  </r>
  <r>
    <s v="1400/10/25"/>
    <x v="3"/>
    <x v="3"/>
    <x v="8"/>
    <s v="شیراز"/>
    <s v="ایرج"/>
    <x v="4"/>
    <n v="2240"/>
    <x v="270"/>
    <n v="252940800"/>
    <n v="234642630"/>
    <n v="47887894"/>
  </r>
  <r>
    <s v="1400/10/30"/>
    <x v="3"/>
    <x v="3"/>
    <x v="8"/>
    <s v="سمنان"/>
    <s v="فرهاد"/>
    <x v="5"/>
    <n v="2030"/>
    <x v="271"/>
    <n v="122595760"/>
    <n v="42237333"/>
    <n v="4478701"/>
  </r>
  <r>
    <s v="1400/11/05"/>
    <x v="3"/>
    <x v="3"/>
    <x v="9"/>
    <s v="گیلان"/>
    <s v="علی"/>
    <x v="0"/>
    <n v="1925"/>
    <x v="272"/>
    <n v="220381700"/>
    <n v="212533115"/>
    <n v="60210569"/>
  </r>
  <r>
    <s v="1400/11/10"/>
    <x v="3"/>
    <x v="3"/>
    <x v="9"/>
    <s v="مازندران"/>
    <s v="مینا"/>
    <x v="1"/>
    <n v="2660"/>
    <x v="273"/>
    <n v="272285580"/>
    <n v="18457643"/>
    <n v="20033642"/>
  </r>
  <r>
    <s v="1400/11/15"/>
    <x v="3"/>
    <x v="3"/>
    <x v="9"/>
    <s v="ارومیه"/>
    <s v="حسنا"/>
    <x v="2"/>
    <n v="2555"/>
    <x v="274"/>
    <n v="227134390"/>
    <n v="18968480"/>
    <n v="46202481"/>
  </r>
  <r>
    <s v="1400/11/20"/>
    <x v="3"/>
    <x v="3"/>
    <x v="9"/>
    <s v="تهران"/>
    <s v="حسین"/>
    <x v="3"/>
    <n v="2030"/>
    <x v="275"/>
    <n v="201585090"/>
    <n v="70805718"/>
    <n v="5016739"/>
  </r>
  <r>
    <s v="1400/11/25"/>
    <x v="3"/>
    <x v="3"/>
    <x v="9"/>
    <s v="کرج"/>
    <s v="محسن"/>
    <x v="4"/>
    <n v="2765"/>
    <x v="276"/>
    <n v="211456140"/>
    <n v="99756228"/>
    <n v="19813066"/>
  </r>
  <r>
    <s v="1400/11/30"/>
    <x v="3"/>
    <x v="3"/>
    <x v="9"/>
    <s v="مشهد"/>
    <s v="موبینا"/>
    <x v="4"/>
    <n v="2170"/>
    <x v="277"/>
    <n v="144873540"/>
    <n v="64107238"/>
    <n v="1225304"/>
  </r>
  <r>
    <s v="1400/12/05"/>
    <x v="3"/>
    <x v="3"/>
    <x v="10"/>
    <s v="تبریز"/>
    <s v="هانیه"/>
    <x v="5"/>
    <n v="2940"/>
    <x v="278"/>
    <n v="392881020"/>
    <n v="67395087"/>
    <n v="65203831"/>
  </r>
  <r>
    <s v="1400/12/10"/>
    <x v="3"/>
    <x v="3"/>
    <x v="10"/>
    <s v="اصفهان"/>
    <s v="دنیا"/>
    <x v="0"/>
    <n v="2590"/>
    <x v="279"/>
    <n v="387552060"/>
    <n v="207738149"/>
    <n v="9280161"/>
  </r>
  <r>
    <s v="1400/12/15"/>
    <x v="3"/>
    <x v="3"/>
    <x v="10"/>
    <s v="یزد"/>
    <s v="ساغر"/>
    <x v="1"/>
    <n v="3115"/>
    <x v="280"/>
    <n v="387474850"/>
    <n v="73933822"/>
    <n v="41466999"/>
  </r>
  <r>
    <s v="1400/12/20"/>
    <x v="3"/>
    <x v="3"/>
    <x v="10"/>
    <s v="شیراز"/>
    <s v="هدا"/>
    <x v="2"/>
    <n v="1855"/>
    <x v="281"/>
    <n v="158537575"/>
    <n v="145288382"/>
    <n v="6568154"/>
  </r>
  <r>
    <s v="1400/12/25"/>
    <x v="3"/>
    <x v="3"/>
    <x v="10"/>
    <s v="سمنان"/>
    <s v="سبهان"/>
    <x v="3"/>
    <n v="3465"/>
    <x v="282"/>
    <n v="227258955"/>
    <n v="106780387"/>
    <n v="8086609"/>
  </r>
  <r>
    <s v="1401/01/01"/>
    <x v="4"/>
    <x v="0"/>
    <x v="11"/>
    <s v="گیلان"/>
    <s v="فاطمه"/>
    <x v="4"/>
    <n v="2555"/>
    <x v="283"/>
    <n v="378249865"/>
    <n v="11488681"/>
    <n v="99483752"/>
  </r>
  <r>
    <s v="1401/01/06"/>
    <x v="4"/>
    <x v="0"/>
    <x v="11"/>
    <s v="مازندران"/>
    <s v="زهرا"/>
    <x v="4"/>
    <n v="2135"/>
    <x v="284"/>
    <n v="198450385"/>
    <n v="170641589"/>
    <n v="47350246"/>
  </r>
  <r>
    <s v="1401/01/11"/>
    <x v="4"/>
    <x v="0"/>
    <x v="11"/>
    <s v="ارومیه"/>
    <s v="ایرج"/>
    <x v="5"/>
    <n v="2310"/>
    <x v="285"/>
    <n v="226121280"/>
    <n v="197438088"/>
    <n v="3437120"/>
  </r>
  <r>
    <s v="1401/01/16"/>
    <x v="4"/>
    <x v="0"/>
    <x v="11"/>
    <s v="تهران"/>
    <s v="فرهاد"/>
    <x v="0"/>
    <n v="1925"/>
    <x v="286"/>
    <n v="104129025"/>
    <n v="89944263"/>
    <n v="2854511"/>
  </r>
  <r>
    <s v="1401/01/21"/>
    <x v="4"/>
    <x v="0"/>
    <x v="11"/>
    <s v="کرج"/>
    <s v="علی"/>
    <x v="1"/>
    <n v="2625"/>
    <x v="287"/>
    <n v="317459625"/>
    <n v="189871978"/>
    <n v="71754693"/>
  </r>
  <r>
    <s v="1401/01/26"/>
    <x v="4"/>
    <x v="0"/>
    <x v="11"/>
    <s v="مشهد"/>
    <s v="مینا"/>
    <x v="2"/>
    <n v="3465"/>
    <x v="288"/>
    <n v="391562325"/>
    <n v="178391559"/>
    <n v="7599061"/>
  </r>
  <r>
    <s v="1401/01/31"/>
    <x v="4"/>
    <x v="0"/>
    <x v="11"/>
    <s v="تبریز"/>
    <s v="حسنا"/>
    <x v="3"/>
    <n v="3640"/>
    <x v="289"/>
    <n v="263754400"/>
    <n v="91274463"/>
    <n v="25913553"/>
  </r>
  <r>
    <s v="1401/02/05"/>
    <x v="4"/>
    <x v="0"/>
    <x v="0"/>
    <s v="اصفهان"/>
    <s v="حسین"/>
    <x v="4"/>
    <n v="2310"/>
    <x v="290"/>
    <n v="307740510"/>
    <n v="138691258"/>
    <n v="41573067"/>
  </r>
  <r>
    <s v="1401/02/10"/>
    <x v="4"/>
    <x v="0"/>
    <x v="0"/>
    <s v="یزد"/>
    <s v="محسن"/>
    <x v="4"/>
    <n v="2275"/>
    <x v="291"/>
    <n v="224663075"/>
    <n v="33062398"/>
    <n v="60916018"/>
  </r>
  <r>
    <s v="1401/02/15"/>
    <x v="4"/>
    <x v="0"/>
    <x v="0"/>
    <s v="شیراز"/>
    <s v="موبینا"/>
    <x v="5"/>
    <n v="3290"/>
    <x v="292"/>
    <n v="360264870"/>
    <n v="160535419"/>
    <n v="40125163"/>
  </r>
  <r>
    <s v="1401/02/20"/>
    <x v="4"/>
    <x v="0"/>
    <x v="0"/>
    <s v="سمنان"/>
    <s v="هانیه"/>
    <x v="0"/>
    <n v="3465"/>
    <x v="293"/>
    <n v="444964905"/>
    <n v="211480417"/>
    <n v="48676361"/>
  </r>
  <r>
    <s v="1401/02/25"/>
    <x v="4"/>
    <x v="0"/>
    <x v="0"/>
    <s v="گیلان"/>
    <s v="دنیا"/>
    <x v="1"/>
    <n v="3430"/>
    <x v="294"/>
    <n v="336417830"/>
    <n v="91104844"/>
    <n v="11498590"/>
  </r>
  <r>
    <s v="1401/02/30"/>
    <x v="4"/>
    <x v="0"/>
    <x v="0"/>
    <s v="مازندران"/>
    <s v="ساغر"/>
    <x v="2"/>
    <n v="1960"/>
    <x v="295"/>
    <n v="226285920"/>
    <n v="22122344"/>
    <n v="11385337"/>
  </r>
  <r>
    <s v="1401/03/04"/>
    <x v="4"/>
    <x v="0"/>
    <x v="1"/>
    <s v="ارومیه"/>
    <s v="هدا"/>
    <x v="3"/>
    <n v="2975"/>
    <x v="296"/>
    <n v="268862650"/>
    <n v="189672563"/>
    <n v="63624733"/>
  </r>
  <r>
    <s v="1401/03/09"/>
    <x v="4"/>
    <x v="0"/>
    <x v="1"/>
    <s v="تهران"/>
    <s v="سبهان"/>
    <x v="4"/>
    <n v="2660"/>
    <x v="297"/>
    <n v="225155700"/>
    <n v="217812178"/>
    <n v="47711119"/>
  </r>
  <r>
    <s v="1401/03/14"/>
    <x v="4"/>
    <x v="0"/>
    <x v="1"/>
    <s v="کرج"/>
    <s v="فاطمه"/>
    <x v="4"/>
    <n v="2100"/>
    <x v="298"/>
    <n v="208668600"/>
    <n v="69586003"/>
    <n v="20923564"/>
  </r>
  <r>
    <s v="1401/03/19"/>
    <x v="4"/>
    <x v="0"/>
    <x v="1"/>
    <s v="مشهد"/>
    <s v="زهرا"/>
    <x v="5"/>
    <n v="2800"/>
    <x v="299"/>
    <n v="361989600"/>
    <n v="158625707"/>
    <n v="11290457"/>
  </r>
  <r>
    <s v="1401/03/24"/>
    <x v="4"/>
    <x v="0"/>
    <x v="1"/>
    <s v="تبریز"/>
    <s v="ایرج"/>
    <x v="0"/>
    <n v="1995"/>
    <x v="300"/>
    <n v="190729980"/>
    <n v="84998518"/>
    <n v="12622172"/>
  </r>
  <r>
    <s v="1401/03/29"/>
    <x v="4"/>
    <x v="0"/>
    <x v="1"/>
    <s v="اصفهان"/>
    <s v="فرهاد"/>
    <x v="1"/>
    <n v="3290"/>
    <x v="301"/>
    <n v="433306160"/>
    <n v="109946539"/>
    <n v="61278926"/>
  </r>
  <r>
    <s v="1401/04/03"/>
    <x v="4"/>
    <x v="1"/>
    <x v="2"/>
    <s v="یزد"/>
    <s v="علی"/>
    <x v="2"/>
    <n v="3325"/>
    <x v="302"/>
    <n v="485965375"/>
    <n v="230912486"/>
    <n v="99180979"/>
  </r>
  <r>
    <s v="1401/04/08"/>
    <x v="4"/>
    <x v="1"/>
    <x v="2"/>
    <s v="شیراز"/>
    <s v="مینا"/>
    <x v="3"/>
    <n v="2730"/>
    <x v="303"/>
    <n v="232246560"/>
    <n v="19389698"/>
    <n v="9434626"/>
  </r>
  <r>
    <s v="1401/04/13"/>
    <x v="4"/>
    <x v="1"/>
    <x v="2"/>
    <s v="سمنان"/>
    <s v="حسنا"/>
    <x v="4"/>
    <n v="2940"/>
    <x v="304"/>
    <n v="176743980"/>
    <n v="122097085"/>
    <n v="24322626"/>
  </r>
  <r>
    <s v="1401/04/18"/>
    <x v="4"/>
    <x v="1"/>
    <x v="2"/>
    <s v="گیلان"/>
    <s v="حسین"/>
    <x v="4"/>
    <n v="2870"/>
    <x v="305"/>
    <n v="379129870"/>
    <n v="76330450"/>
    <n v="13437199"/>
  </r>
  <r>
    <s v="1401/04/23"/>
    <x v="4"/>
    <x v="1"/>
    <x v="2"/>
    <s v="مازندران"/>
    <s v="محسن"/>
    <x v="5"/>
    <n v="1890"/>
    <x v="306"/>
    <n v="138176010"/>
    <n v="103448729"/>
    <n v="18926763"/>
  </r>
  <r>
    <s v="1401/04/28"/>
    <x v="4"/>
    <x v="1"/>
    <x v="2"/>
    <s v="ارومیه"/>
    <s v="موبینا"/>
    <x v="0"/>
    <n v="1855"/>
    <x v="307"/>
    <n v="96215140"/>
    <n v="5424116"/>
    <n v="9370840"/>
  </r>
  <r>
    <s v="1401/05/02"/>
    <x v="4"/>
    <x v="1"/>
    <x v="3"/>
    <s v="تهران"/>
    <s v="هانیه"/>
    <x v="1"/>
    <n v="3220"/>
    <x v="308"/>
    <n v="340830560"/>
    <n v="141048580"/>
    <n v="72207980"/>
  </r>
  <r>
    <s v="1401/05/07"/>
    <x v="4"/>
    <x v="1"/>
    <x v="3"/>
    <s v="کرج"/>
    <s v="دنیا"/>
    <x v="2"/>
    <n v="1785"/>
    <x v="309"/>
    <n v="105530985"/>
    <n v="94035533"/>
    <n v="13822359"/>
  </r>
  <r>
    <s v="1401/05/12"/>
    <x v="4"/>
    <x v="1"/>
    <x v="3"/>
    <s v="مشهد"/>
    <s v="ساغر"/>
    <x v="3"/>
    <n v="1820"/>
    <x v="310"/>
    <n v="239481060"/>
    <n v="134251512"/>
    <n v="15554335"/>
  </r>
  <r>
    <s v="1401/05/17"/>
    <x v="4"/>
    <x v="1"/>
    <x v="3"/>
    <s v="تبریز"/>
    <s v="هدا"/>
    <x v="4"/>
    <n v="2555"/>
    <x v="311"/>
    <n v="333603795"/>
    <n v="331945081"/>
    <n v="77322643"/>
  </r>
  <r>
    <s v="1401/05/22"/>
    <x v="4"/>
    <x v="1"/>
    <x v="3"/>
    <s v="اصفهان"/>
    <s v="سبهان"/>
    <x v="4"/>
    <n v="3570"/>
    <x v="312"/>
    <n v="343398300"/>
    <n v="99934001"/>
    <n v="64140599"/>
  </r>
  <r>
    <s v="1401/05/27"/>
    <x v="4"/>
    <x v="1"/>
    <x v="3"/>
    <s v="یزد"/>
    <s v="فاطمه"/>
    <x v="5"/>
    <n v="2870"/>
    <x v="313"/>
    <n v="429366350"/>
    <n v="169428543"/>
    <n v="4240125"/>
  </r>
  <r>
    <s v="1401/06/01"/>
    <x v="4"/>
    <x v="1"/>
    <x v="4"/>
    <s v="شیراز"/>
    <s v="زهرا"/>
    <x v="0"/>
    <n v="2065"/>
    <x v="314"/>
    <n v="149506000"/>
    <n v="140850048"/>
    <n v="27435267"/>
  </r>
  <r>
    <s v="1401/06/06"/>
    <x v="4"/>
    <x v="1"/>
    <x v="4"/>
    <s v="سمنان"/>
    <s v="ایرج"/>
    <x v="1"/>
    <n v="1925"/>
    <x v="315"/>
    <n v="248207575"/>
    <n v="67080140"/>
    <n v="23476790"/>
  </r>
  <r>
    <s v="1401/06/11"/>
    <x v="4"/>
    <x v="1"/>
    <x v="4"/>
    <s v="گیلان"/>
    <s v="فرهاد"/>
    <x v="2"/>
    <n v="2975"/>
    <x v="316"/>
    <n v="157142475"/>
    <n v="83775874"/>
    <n v="21051191"/>
  </r>
  <r>
    <s v="1401/06/16"/>
    <x v="4"/>
    <x v="1"/>
    <x v="4"/>
    <s v="مازندران"/>
    <s v="علی"/>
    <x v="3"/>
    <n v="2870"/>
    <x v="317"/>
    <n v="321615070"/>
    <n v="313843744"/>
    <n v="83542064"/>
  </r>
  <r>
    <s v="1401/06/21"/>
    <x v="4"/>
    <x v="1"/>
    <x v="4"/>
    <s v="ارومیه"/>
    <s v="مینا"/>
    <x v="4"/>
    <n v="2660"/>
    <x v="318"/>
    <n v="191860480"/>
    <n v="186658571"/>
    <n v="11008518"/>
  </r>
  <r>
    <s v="1401/06/26"/>
    <x v="4"/>
    <x v="1"/>
    <x v="4"/>
    <s v="تهران"/>
    <s v="حسنا"/>
    <x v="4"/>
    <n v="3150"/>
    <x v="319"/>
    <n v="308599200"/>
    <n v="29318966"/>
    <n v="24380223"/>
  </r>
  <r>
    <s v="1401/06/31"/>
    <x v="4"/>
    <x v="1"/>
    <x v="4"/>
    <s v="کرج"/>
    <s v="حسین"/>
    <x v="5"/>
    <n v="3220"/>
    <x v="320"/>
    <n v="473085620"/>
    <n v="393009358"/>
    <n v="72308950"/>
  </r>
  <r>
    <s v="1401/07/05"/>
    <x v="4"/>
    <x v="2"/>
    <x v="5"/>
    <s v="مشهد"/>
    <s v="محسن"/>
    <x v="0"/>
    <n v="2380"/>
    <x v="321"/>
    <n v="197542380"/>
    <n v="155059170"/>
    <n v="11116562"/>
  </r>
  <r>
    <s v="1401/07/10"/>
    <x v="4"/>
    <x v="2"/>
    <x v="5"/>
    <s v="تبریز"/>
    <s v="موبینا"/>
    <x v="1"/>
    <n v="2485"/>
    <x v="322"/>
    <n v="292409950"/>
    <n v="65043265"/>
    <n v="75784167"/>
  </r>
  <r>
    <s v="1401/07/15"/>
    <x v="4"/>
    <x v="2"/>
    <x v="5"/>
    <s v="اصفهان"/>
    <s v="هانیه"/>
    <x v="2"/>
    <n v="3360"/>
    <x v="323"/>
    <n v="210588000"/>
    <n v="77480827"/>
    <n v="47737603"/>
  </r>
  <r>
    <s v="1401/07/20"/>
    <x v="4"/>
    <x v="2"/>
    <x v="5"/>
    <s v="یزد"/>
    <s v="دنیا"/>
    <x v="3"/>
    <n v="2275"/>
    <x v="324"/>
    <n v="331644950"/>
    <n v="257351971"/>
    <n v="15743743"/>
  </r>
  <r>
    <s v="1401/07/25"/>
    <x v="4"/>
    <x v="2"/>
    <x v="5"/>
    <s v="شیراز"/>
    <s v="ساغر"/>
    <x v="4"/>
    <n v="1925"/>
    <x v="325"/>
    <n v="149605225"/>
    <n v="28545658"/>
    <n v="11142530"/>
  </r>
  <r>
    <s v="1401/07/30"/>
    <x v="4"/>
    <x v="2"/>
    <x v="5"/>
    <s v="سمنان"/>
    <s v="هدا"/>
    <x v="4"/>
    <n v="3570"/>
    <x v="326"/>
    <n v="518806680"/>
    <n v="83997177"/>
    <n v="123534210"/>
  </r>
  <r>
    <s v="1401/08/05"/>
    <x v="4"/>
    <x v="2"/>
    <x v="6"/>
    <s v="گیلان"/>
    <s v="سبهان"/>
    <x v="5"/>
    <n v="1855"/>
    <x v="327"/>
    <n v="244811770"/>
    <n v="148864532"/>
    <n v="57209923"/>
  </r>
  <r>
    <s v="1401/08/10"/>
    <x v="4"/>
    <x v="2"/>
    <x v="6"/>
    <s v="مازندران"/>
    <s v="فاطمه"/>
    <x v="0"/>
    <n v="2345"/>
    <x v="328"/>
    <n v="296595600"/>
    <n v="99348601"/>
    <n v="524151"/>
  </r>
  <r>
    <s v="1401/08/15"/>
    <x v="4"/>
    <x v="2"/>
    <x v="6"/>
    <s v="ارومیه"/>
    <s v="زهرا"/>
    <x v="1"/>
    <n v="3325"/>
    <x v="329"/>
    <n v="348144125"/>
    <n v="62291786"/>
    <n v="13062663"/>
  </r>
  <r>
    <s v="1401/08/20"/>
    <x v="4"/>
    <x v="2"/>
    <x v="6"/>
    <s v="تهران"/>
    <s v="ایرج"/>
    <x v="2"/>
    <n v="3220"/>
    <x v="330"/>
    <n v="256112360"/>
    <n v="16819805"/>
    <n v="22982376"/>
  </r>
  <r>
    <s v="1401/08/25"/>
    <x v="4"/>
    <x v="2"/>
    <x v="6"/>
    <s v="کرج"/>
    <s v="فرهاد"/>
    <x v="3"/>
    <n v="3640"/>
    <x v="331"/>
    <n v="327756520"/>
    <n v="249795702"/>
    <n v="85318816"/>
  </r>
  <r>
    <s v="1401/08/30"/>
    <x v="4"/>
    <x v="2"/>
    <x v="6"/>
    <s v="مشهد"/>
    <s v="علی"/>
    <x v="4"/>
    <n v="3150"/>
    <x v="332"/>
    <n v="309197700"/>
    <n v="70411359"/>
    <n v="11712523"/>
  </r>
  <r>
    <s v="1401/09/05"/>
    <x v="4"/>
    <x v="2"/>
    <x v="7"/>
    <s v="تبریز"/>
    <s v="مینا"/>
    <x v="4"/>
    <n v="3850"/>
    <x v="333"/>
    <n v="373500050"/>
    <n v="265801683"/>
    <n v="61934841"/>
  </r>
  <r>
    <s v="1401/09/10"/>
    <x v="4"/>
    <x v="2"/>
    <x v="7"/>
    <s v="اصفهان"/>
    <s v="حسنا"/>
    <x v="5"/>
    <n v="2555"/>
    <x v="334"/>
    <n v="180503085"/>
    <n v="101070135"/>
    <n v="25244047"/>
  </r>
  <r>
    <s v="1401/09/15"/>
    <x v="4"/>
    <x v="2"/>
    <x v="7"/>
    <s v="یزد"/>
    <s v="حسین"/>
    <x v="0"/>
    <n v="1855"/>
    <x v="335"/>
    <n v="181007190"/>
    <n v="29444483"/>
    <n v="15182130"/>
  </r>
  <r>
    <s v="1401/09/20"/>
    <x v="4"/>
    <x v="2"/>
    <x v="7"/>
    <s v="شیراز"/>
    <s v="محسن"/>
    <x v="1"/>
    <n v="2555"/>
    <x v="336"/>
    <n v="264613685"/>
    <n v="36898798"/>
    <n v="78297131"/>
  </r>
  <r>
    <s v="1401/09/25"/>
    <x v="4"/>
    <x v="2"/>
    <x v="7"/>
    <s v="سمنان"/>
    <s v="موبینا"/>
    <x v="2"/>
    <n v="2520"/>
    <x v="337"/>
    <n v="270222120"/>
    <n v="141072859"/>
    <n v="67063621"/>
  </r>
  <r>
    <s v="1401/09/30"/>
    <x v="4"/>
    <x v="2"/>
    <x v="7"/>
    <s v="گیلان"/>
    <s v="هانیه"/>
    <x v="3"/>
    <n v="2835"/>
    <x v="338"/>
    <n v="327476520"/>
    <n v="163335512"/>
    <n v="55165701"/>
  </r>
  <r>
    <s v="1401/10/05"/>
    <x v="4"/>
    <x v="3"/>
    <x v="8"/>
    <s v="مازندران"/>
    <s v="دنیا"/>
    <x v="4"/>
    <n v="2800"/>
    <x v="339"/>
    <n v="397950000"/>
    <n v="133613505"/>
    <n v="34393248"/>
  </r>
  <r>
    <s v="1401/10/10"/>
    <x v="4"/>
    <x v="3"/>
    <x v="8"/>
    <s v="ارومیه"/>
    <s v="ساغر"/>
    <x v="4"/>
    <n v="3500"/>
    <x v="340"/>
    <n v="224567000"/>
    <n v="107449851"/>
    <n v="5824653"/>
  </r>
  <r>
    <s v="1401/10/15"/>
    <x v="4"/>
    <x v="3"/>
    <x v="8"/>
    <s v="تهران"/>
    <s v="هدا"/>
    <x v="5"/>
    <n v="2450"/>
    <x v="341"/>
    <n v="209996850"/>
    <n v="88243643"/>
    <n v="40426662"/>
  </r>
  <r>
    <s v="1401/10/20"/>
    <x v="4"/>
    <x v="3"/>
    <x v="8"/>
    <s v="کرج"/>
    <s v="سبهان"/>
    <x v="0"/>
    <n v="3745"/>
    <x v="342"/>
    <n v="280721455"/>
    <n v="280084779"/>
    <n v="33172047"/>
  </r>
  <r>
    <s v="1401/10/25"/>
    <x v="4"/>
    <x v="3"/>
    <x v="8"/>
    <s v="مشهد"/>
    <s v="فاطمه"/>
    <x v="1"/>
    <n v="3325"/>
    <x v="343"/>
    <n v="390986750"/>
    <n v="127226545"/>
    <n v="103817632"/>
  </r>
  <r>
    <s v="1401/10/30"/>
    <x v="4"/>
    <x v="3"/>
    <x v="8"/>
    <s v="تبریز"/>
    <s v="زهرا"/>
    <x v="2"/>
    <n v="2870"/>
    <x v="344"/>
    <n v="398508110"/>
    <n v="110987860"/>
    <n v="93966081"/>
  </r>
  <r>
    <s v="1401/11/05"/>
    <x v="4"/>
    <x v="3"/>
    <x v="9"/>
    <s v="اصفهان"/>
    <s v="ایرج"/>
    <x v="3"/>
    <n v="3815"/>
    <x v="345"/>
    <n v="542164910"/>
    <n v="205498408"/>
    <n v="108665891"/>
  </r>
  <r>
    <s v="1401/11/10"/>
    <x v="4"/>
    <x v="3"/>
    <x v="9"/>
    <s v="یزد"/>
    <s v="فرهاد"/>
    <x v="4"/>
    <n v="2520"/>
    <x v="346"/>
    <n v="294860160"/>
    <n v="203469679"/>
    <n v="7527203"/>
  </r>
  <r>
    <s v="1401/11/15"/>
    <x v="4"/>
    <x v="3"/>
    <x v="9"/>
    <s v="شیراز"/>
    <s v="علی"/>
    <x v="4"/>
    <n v="3080"/>
    <x v="347"/>
    <n v="409452120"/>
    <n v="12271164"/>
    <n v="91405937"/>
  </r>
  <r>
    <s v="1401/11/20"/>
    <x v="4"/>
    <x v="3"/>
    <x v="9"/>
    <s v="سمنان"/>
    <s v="مینا"/>
    <x v="5"/>
    <n v="3115"/>
    <x v="348"/>
    <n v="368255300"/>
    <n v="131069376"/>
    <n v="105811518"/>
  </r>
  <r>
    <s v="1401/11/25"/>
    <x v="4"/>
    <x v="3"/>
    <x v="9"/>
    <s v="گیلان"/>
    <s v="حسنا"/>
    <x v="0"/>
    <n v="3570"/>
    <x v="349"/>
    <n v="211965180"/>
    <n v="67558547"/>
    <n v="1785391"/>
  </r>
  <r>
    <s v="1401/11/30"/>
    <x v="4"/>
    <x v="3"/>
    <x v="9"/>
    <s v="مازندران"/>
    <s v="حسین"/>
    <x v="1"/>
    <n v="2870"/>
    <x v="350"/>
    <n v="203376810"/>
    <n v="184425073"/>
    <n v="60180293"/>
  </r>
  <r>
    <s v="1401/12/05"/>
    <x v="4"/>
    <x v="3"/>
    <x v="10"/>
    <s v="ارومیه"/>
    <s v="محسن"/>
    <x v="2"/>
    <n v="3080"/>
    <x v="351"/>
    <n v="287123760"/>
    <n v="127810256"/>
    <n v="49516211"/>
  </r>
  <r>
    <s v="1401/12/10"/>
    <x v="4"/>
    <x v="3"/>
    <x v="10"/>
    <s v="تهران"/>
    <s v="موبینا"/>
    <x v="3"/>
    <n v="2485"/>
    <x v="352"/>
    <n v="228398835"/>
    <n v="85261548"/>
    <n v="42295718"/>
  </r>
  <r>
    <s v="1401/12/15"/>
    <x v="4"/>
    <x v="3"/>
    <x v="10"/>
    <s v="کرج"/>
    <s v="هانیه"/>
    <x v="4"/>
    <n v="2275"/>
    <x v="353"/>
    <n v="198562000"/>
    <n v="146152549"/>
    <n v="45422503"/>
  </r>
  <r>
    <s v="1401/12/20"/>
    <x v="4"/>
    <x v="3"/>
    <x v="10"/>
    <s v="مشهد"/>
    <s v="دنیا"/>
    <x v="4"/>
    <n v="3850"/>
    <x v="354"/>
    <n v="195514550"/>
    <n v="180840129"/>
    <n v="50796240"/>
  </r>
  <r>
    <s v="1401/12/25"/>
    <x v="4"/>
    <x v="3"/>
    <x v="10"/>
    <s v="تبریز"/>
    <s v="ساغر"/>
    <x v="5"/>
    <n v="3710"/>
    <x v="355"/>
    <n v="285644030"/>
    <n v="9530500"/>
    <n v="50165465"/>
  </r>
  <r>
    <s v="1402/01/01"/>
    <x v="5"/>
    <x v="0"/>
    <x v="11"/>
    <s v="اصفهان"/>
    <s v="هدا"/>
    <x v="0"/>
    <n v="3465"/>
    <x v="356"/>
    <n v="368059230"/>
    <n v="199352336"/>
    <n v="90325762"/>
  </r>
  <r>
    <s v="1402/01/06"/>
    <x v="5"/>
    <x v="0"/>
    <x v="11"/>
    <s v="یزد"/>
    <s v="سبهان"/>
    <x v="1"/>
    <n v="1925"/>
    <x v="357"/>
    <n v="250130650"/>
    <n v="119111634"/>
    <n v="26142218"/>
  </r>
  <r>
    <s v="1402/01/11"/>
    <x v="5"/>
    <x v="0"/>
    <x v="11"/>
    <s v="شیراز"/>
    <s v="فاطمه"/>
    <x v="2"/>
    <n v="2380"/>
    <x v="358"/>
    <n v="279026440"/>
    <n v="256507634"/>
    <n v="77312223"/>
  </r>
  <r>
    <s v="1402/01/16"/>
    <x v="5"/>
    <x v="0"/>
    <x v="11"/>
    <s v="سمنان"/>
    <s v="زهرا"/>
    <x v="3"/>
    <n v="2975"/>
    <x v="359"/>
    <n v="319440625"/>
    <n v="79649270"/>
    <n v="43351243"/>
  </r>
  <r>
    <s v="1402/01/21"/>
    <x v="5"/>
    <x v="0"/>
    <x v="11"/>
    <s v="گیلان"/>
    <s v="ایرج"/>
    <x v="4"/>
    <n v="2415"/>
    <x v="360"/>
    <n v="136053855"/>
    <n v="83627308"/>
    <n v="21875116"/>
  </r>
  <r>
    <s v="1402/01/26"/>
    <x v="5"/>
    <x v="0"/>
    <x v="11"/>
    <s v="مازندران"/>
    <s v="فرهاد"/>
    <x v="4"/>
    <n v="3150"/>
    <x v="361"/>
    <n v="422632350"/>
    <n v="140172622"/>
    <n v="238562"/>
  </r>
  <r>
    <s v="1402/01/31"/>
    <x v="5"/>
    <x v="0"/>
    <x v="11"/>
    <s v="ارومیه"/>
    <s v="علی"/>
    <x v="5"/>
    <n v="2975"/>
    <x v="362"/>
    <n v="150305925"/>
    <n v="146861292"/>
    <n v="7513618"/>
  </r>
  <r>
    <s v="1402/02/05"/>
    <x v="5"/>
    <x v="0"/>
    <x v="0"/>
    <s v="تهران"/>
    <s v="مینا"/>
    <x v="0"/>
    <n v="2310"/>
    <x v="363"/>
    <n v="192871140"/>
    <n v="182530908"/>
    <n v="13939550"/>
  </r>
  <r>
    <s v="1402/02/10"/>
    <x v="5"/>
    <x v="0"/>
    <x v="0"/>
    <s v="کرج"/>
    <s v="حسنا"/>
    <x v="1"/>
    <n v="2065"/>
    <x v="364"/>
    <n v="234581935"/>
    <n v="50218266"/>
    <n v="3128125"/>
  </r>
  <r>
    <s v="1402/02/15"/>
    <x v="5"/>
    <x v="0"/>
    <x v="0"/>
    <s v="مشهد"/>
    <s v="حسین"/>
    <x v="2"/>
    <n v="3710"/>
    <x v="365"/>
    <n v="331655450"/>
    <n v="22406386"/>
    <n v="76293876"/>
  </r>
  <r>
    <s v="1402/02/20"/>
    <x v="5"/>
    <x v="0"/>
    <x v="0"/>
    <s v="تبریز"/>
    <s v="محسن"/>
    <x v="3"/>
    <n v="2940"/>
    <x v="366"/>
    <n v="338423400"/>
    <n v="1805995"/>
    <n v="81942797"/>
  </r>
  <r>
    <s v="1402/02/25"/>
    <x v="5"/>
    <x v="0"/>
    <x v="0"/>
    <s v="اصفهان"/>
    <s v="موبینا"/>
    <x v="4"/>
    <n v="3045"/>
    <x v="367"/>
    <n v="269564715"/>
    <n v="262281781"/>
    <n v="67445748"/>
  </r>
  <r>
    <s v="1402/02/30"/>
    <x v="5"/>
    <x v="0"/>
    <x v="0"/>
    <s v="یزد"/>
    <s v="هانیه"/>
    <x v="4"/>
    <n v="2485"/>
    <x v="368"/>
    <n v="279100290"/>
    <n v="33819230"/>
    <n v="58109797"/>
  </r>
  <r>
    <s v="1402/03/04"/>
    <x v="5"/>
    <x v="0"/>
    <x v="1"/>
    <s v="شیراز"/>
    <s v="دنیا"/>
    <x v="5"/>
    <n v="2765"/>
    <x v="369"/>
    <n v="345168775"/>
    <n v="62372273"/>
    <n v="20384678"/>
  </r>
  <r>
    <s v="1402/03/09"/>
    <x v="5"/>
    <x v="0"/>
    <x v="1"/>
    <s v="سمنان"/>
    <s v="ساغر"/>
    <x v="0"/>
    <n v="3045"/>
    <x v="370"/>
    <n v="382461135"/>
    <n v="274727953"/>
    <n v="29185362"/>
  </r>
  <r>
    <s v="1402/03/14"/>
    <x v="5"/>
    <x v="0"/>
    <x v="1"/>
    <s v="گیلان"/>
    <s v="هدا"/>
    <x v="1"/>
    <n v="3465"/>
    <x v="371"/>
    <n v="247560390"/>
    <n v="95452607"/>
    <n v="43901091"/>
  </r>
  <r>
    <s v="1402/03/19"/>
    <x v="5"/>
    <x v="0"/>
    <x v="1"/>
    <s v="مازندران"/>
    <s v="سبهان"/>
    <x v="2"/>
    <n v="3290"/>
    <x v="372"/>
    <n v="240252250"/>
    <n v="199076336"/>
    <n v="41075659"/>
  </r>
  <r>
    <s v="1402/03/24"/>
    <x v="5"/>
    <x v="0"/>
    <x v="1"/>
    <s v="ارومیه"/>
    <s v="فاطمه"/>
    <x v="3"/>
    <n v="2065"/>
    <x v="373"/>
    <n v="212240700"/>
    <n v="56447566"/>
    <n v="46427619"/>
  </r>
  <r>
    <s v="1402/03/29"/>
    <x v="5"/>
    <x v="0"/>
    <x v="1"/>
    <s v="تهران"/>
    <s v="زهرا"/>
    <x v="4"/>
    <n v="2170"/>
    <x v="374"/>
    <n v="162250900"/>
    <n v="128094155"/>
    <n v="40876099"/>
  </r>
  <r>
    <s v="1402/04/03"/>
    <x v="5"/>
    <x v="1"/>
    <x v="2"/>
    <s v="کرج"/>
    <s v="ایرج"/>
    <x v="4"/>
    <n v="2135"/>
    <x v="375"/>
    <n v="290157175"/>
    <n v="164680025"/>
    <n v="77207998"/>
  </r>
  <r>
    <s v="1402/04/08"/>
    <x v="5"/>
    <x v="1"/>
    <x v="2"/>
    <s v="مشهد"/>
    <s v="فرهاد"/>
    <x v="5"/>
    <n v="3535"/>
    <x v="376"/>
    <n v="231015785"/>
    <n v="43789869"/>
    <n v="10926234"/>
  </r>
  <r>
    <s v="1402/04/13"/>
    <x v="5"/>
    <x v="1"/>
    <x v="2"/>
    <s v="تبریز"/>
    <s v="علی"/>
    <x v="0"/>
    <n v="2555"/>
    <x v="377"/>
    <n v="324280600"/>
    <n v="14461584"/>
    <n v="62053382"/>
  </r>
  <r>
    <s v="1402/04/18"/>
    <x v="5"/>
    <x v="1"/>
    <x v="2"/>
    <s v="اصفهان"/>
    <s v="مینا"/>
    <x v="1"/>
    <n v="3815"/>
    <x v="378"/>
    <n v="206517395"/>
    <n v="86367516"/>
    <n v="58485996"/>
  </r>
  <r>
    <s v="1402/04/23"/>
    <x v="5"/>
    <x v="1"/>
    <x v="2"/>
    <s v="یزد"/>
    <s v="حسنا"/>
    <x v="2"/>
    <n v="2870"/>
    <x v="379"/>
    <n v="240049670"/>
    <n v="153783505"/>
    <n v="10946521"/>
  </r>
  <r>
    <s v="1402/04/28"/>
    <x v="5"/>
    <x v="1"/>
    <x v="2"/>
    <s v="شیراز"/>
    <s v="حسین"/>
    <x v="3"/>
    <n v="2660"/>
    <x v="380"/>
    <n v="146307980"/>
    <n v="96584337"/>
    <n v="26256845"/>
  </r>
  <r>
    <s v="1402/05/02"/>
    <x v="5"/>
    <x v="1"/>
    <x v="3"/>
    <s v="سمنان"/>
    <s v="محسن"/>
    <x v="4"/>
    <n v="3570"/>
    <x v="381"/>
    <n v="347128950"/>
    <n v="6827596"/>
    <n v="47734551"/>
  </r>
  <r>
    <s v="1402/05/07"/>
    <x v="5"/>
    <x v="1"/>
    <x v="3"/>
    <s v="گیلان"/>
    <s v="موبینا"/>
    <x v="4"/>
    <n v="3360"/>
    <x v="382"/>
    <n v="348781440"/>
    <n v="100358976"/>
    <n v="71088090"/>
  </r>
  <r>
    <s v="1402/05/12"/>
    <x v="5"/>
    <x v="1"/>
    <x v="3"/>
    <s v="مازندران"/>
    <s v="هانیه"/>
    <x v="5"/>
    <n v="3115"/>
    <x v="383"/>
    <n v="450696890"/>
    <n v="139018970"/>
    <n v="76865833"/>
  </r>
  <r>
    <s v="1402/05/17"/>
    <x v="5"/>
    <x v="1"/>
    <x v="3"/>
    <s v="ارومیه"/>
    <s v="دنیا"/>
    <x v="0"/>
    <n v="2730"/>
    <x v="384"/>
    <n v="185978520"/>
    <n v="23799021"/>
    <n v="52329645"/>
  </r>
  <r>
    <s v="1402/05/22"/>
    <x v="5"/>
    <x v="1"/>
    <x v="3"/>
    <s v="تهران"/>
    <s v="ساغر"/>
    <x v="1"/>
    <n v="3255"/>
    <x v="385"/>
    <n v="165025245"/>
    <n v="103502722"/>
    <n v="41622167"/>
  </r>
  <r>
    <s v="1402/05/27"/>
    <x v="5"/>
    <x v="1"/>
    <x v="3"/>
    <s v="کرج"/>
    <s v="هدا"/>
    <x v="2"/>
    <n v="2555"/>
    <x v="386"/>
    <n v="160147400"/>
    <n v="143268625"/>
    <n v="33287104"/>
  </r>
  <r>
    <s v="1402/06/01"/>
    <x v="5"/>
    <x v="1"/>
    <x v="4"/>
    <s v="مشهد"/>
    <s v="سبهان"/>
    <x v="3"/>
    <n v="3745"/>
    <x v="387"/>
    <n v="526438395"/>
    <n v="439183869"/>
    <n v="61010679"/>
  </r>
  <r>
    <s v="1402/06/06"/>
    <x v="5"/>
    <x v="1"/>
    <x v="4"/>
    <s v="تبریز"/>
    <s v="فاطمه"/>
    <x v="4"/>
    <n v="2660"/>
    <x v="388"/>
    <n v="353085740"/>
    <n v="330449837"/>
    <n v="7412857"/>
  </r>
  <r>
    <s v="1402/06/11"/>
    <x v="5"/>
    <x v="1"/>
    <x v="4"/>
    <s v="اصفهان"/>
    <s v="زهرا"/>
    <x v="4"/>
    <n v="2625"/>
    <x v="389"/>
    <n v="356052375"/>
    <n v="72398398"/>
    <n v="87182016"/>
  </r>
  <r>
    <s v="1402/06/16"/>
    <x v="5"/>
    <x v="1"/>
    <x v="4"/>
    <s v="یزد"/>
    <s v="ایرج"/>
    <x v="5"/>
    <n v="2590"/>
    <x v="390"/>
    <n v="209686400"/>
    <n v="103936288"/>
    <n v="17117348"/>
  </r>
  <r>
    <s v="1402/06/21"/>
    <x v="5"/>
    <x v="1"/>
    <x v="4"/>
    <s v="شیراز"/>
    <s v="فرهاد"/>
    <x v="0"/>
    <n v="2345"/>
    <x v="391"/>
    <n v="145003075"/>
    <n v="1349782"/>
    <n v="11550731"/>
  </r>
  <r>
    <s v="1402/06/26"/>
    <x v="5"/>
    <x v="1"/>
    <x v="4"/>
    <s v="سمنان"/>
    <s v="علی"/>
    <x v="1"/>
    <n v="1785"/>
    <x v="392"/>
    <n v="138210765"/>
    <n v="23700318"/>
    <n v="1900787"/>
  </r>
  <r>
    <s v="1402/06/31"/>
    <x v="5"/>
    <x v="1"/>
    <x v="4"/>
    <s v="گیلان"/>
    <s v="مینا"/>
    <x v="2"/>
    <n v="2450"/>
    <x v="393"/>
    <n v="234646300"/>
    <n v="62506749"/>
    <n v="23809178"/>
  </r>
  <r>
    <s v="1402/07/05"/>
    <x v="5"/>
    <x v="2"/>
    <x v="5"/>
    <s v="مازندران"/>
    <s v="حسنا"/>
    <x v="3"/>
    <n v="1890"/>
    <x v="394"/>
    <n v="219583980"/>
    <n v="60704909"/>
    <n v="28570483"/>
  </r>
  <r>
    <s v="1402/07/10"/>
    <x v="5"/>
    <x v="2"/>
    <x v="5"/>
    <s v="ارومیه"/>
    <s v="حسین"/>
    <x v="4"/>
    <n v="3675"/>
    <x v="395"/>
    <n v="351146250"/>
    <n v="192759198"/>
    <n v="92284382"/>
  </r>
  <r>
    <s v="1402/07/15"/>
    <x v="5"/>
    <x v="2"/>
    <x v="5"/>
    <s v="تهران"/>
    <s v="محسن"/>
    <x v="4"/>
    <n v="1750"/>
    <x v="396"/>
    <n v="202595750"/>
    <n v="54995700"/>
    <n v="58880087"/>
  </r>
  <r>
    <s v="1402/07/20"/>
    <x v="5"/>
    <x v="2"/>
    <x v="5"/>
    <s v="کرج"/>
    <s v="موبینا"/>
    <x v="5"/>
    <n v="2905"/>
    <x v="397"/>
    <n v="310678130"/>
    <n v="165410086"/>
    <n v="28901212"/>
  </r>
  <r>
    <s v="1402/07/25"/>
    <x v="5"/>
    <x v="2"/>
    <x v="5"/>
    <s v="مشهد"/>
    <s v="هانیه"/>
    <x v="0"/>
    <n v="2485"/>
    <x v="398"/>
    <n v="151363835"/>
    <n v="75812990"/>
    <n v="11528688"/>
  </r>
  <r>
    <s v="1402/07/30"/>
    <x v="5"/>
    <x v="2"/>
    <x v="5"/>
    <s v="تبریز"/>
    <s v="دنیا"/>
    <x v="1"/>
    <n v="2625"/>
    <x v="399"/>
    <n v="380995125"/>
    <n v="17169850"/>
    <n v="49836003"/>
  </r>
  <r>
    <s v="1402/08/01"/>
    <x v="5"/>
    <x v="2"/>
    <x v="6"/>
    <s v="اصفهان"/>
    <s v="ایرج"/>
    <x v="5"/>
    <n v="2753"/>
    <x v="400"/>
    <n v="236504724"/>
    <n v="233420394"/>
    <n v="59894902"/>
  </r>
  <r>
    <s v="1402/08/06"/>
    <x v="5"/>
    <x v="2"/>
    <x v="6"/>
    <s v="یزد"/>
    <s v="فرهاد"/>
    <x v="0"/>
    <n v="4340"/>
    <x v="401"/>
    <n v="700499146.66666675"/>
    <n v="772637034"/>
    <n v="222489774"/>
  </r>
  <r>
    <s v="1402/08/11"/>
    <x v="5"/>
    <x v="2"/>
    <x v="6"/>
    <s v="شیراز"/>
    <s v="علی"/>
    <x v="1"/>
    <n v="3827"/>
    <x v="402"/>
    <n v="719970958.66666675"/>
    <n v="286771784"/>
    <n v="164388900"/>
  </r>
  <r>
    <s v="1402/08/16"/>
    <x v="5"/>
    <x v="2"/>
    <x v="6"/>
    <s v="سمنان"/>
    <s v="مینا"/>
    <x v="2"/>
    <n v="4293"/>
    <x v="403"/>
    <n v="439065144"/>
    <n v="101935694"/>
    <n v="110044472"/>
  </r>
  <r>
    <s v="1402/08/21"/>
    <x v="5"/>
    <x v="2"/>
    <x v="6"/>
    <s v="گیلان"/>
    <s v="حسنا"/>
    <x v="3"/>
    <n v="3127"/>
    <x v="404"/>
    <n v="210363713.33333331"/>
    <n v="65371894"/>
    <n v="11088396"/>
  </r>
  <r>
    <s v="1402/08/26"/>
    <x v="5"/>
    <x v="2"/>
    <x v="6"/>
    <s v="مازندران"/>
    <s v="حسین"/>
    <x v="4"/>
    <n v="4713"/>
    <x v="405"/>
    <n v="327829996"/>
    <n v="124517406"/>
    <n v="104884712"/>
  </r>
  <r>
    <s v="1402/09/01"/>
    <x v="5"/>
    <x v="2"/>
    <x v="7"/>
    <s v="ارومیه"/>
    <s v="محسن"/>
    <x v="4"/>
    <n v="2567"/>
    <x v="406"/>
    <n v="285388792"/>
    <n v="67276338"/>
    <n v="52785920"/>
  </r>
  <r>
    <s v="1402/09/06"/>
    <x v="5"/>
    <x v="2"/>
    <x v="7"/>
    <s v="تهران"/>
    <s v="موبینا"/>
    <x v="5"/>
    <n v="3313"/>
    <x v="407"/>
    <n v="602564022.66666663"/>
    <n v="660211494"/>
    <n v="112347556"/>
  </r>
  <r>
    <s v="1402/09/11"/>
    <x v="5"/>
    <x v="2"/>
    <x v="7"/>
    <s v="کرج"/>
    <s v="هانیه"/>
    <x v="0"/>
    <n v="2473"/>
    <x v="408"/>
    <n v="470298653.33333337"/>
    <n v="7061920"/>
    <n v="55575760"/>
  </r>
  <r>
    <s v="1402/09/16"/>
    <x v="5"/>
    <x v="2"/>
    <x v="7"/>
    <s v="مشهد"/>
    <s v="دنیا"/>
    <x v="1"/>
    <n v="4900"/>
    <x v="409"/>
    <n v="359307200"/>
    <n v="355614856"/>
    <n v="83354070"/>
  </r>
  <r>
    <s v="1402/09/21"/>
    <x v="5"/>
    <x v="2"/>
    <x v="7"/>
    <s v="تبریز"/>
    <s v="ساغر"/>
    <x v="2"/>
    <n v="2567"/>
    <x v="410"/>
    <n v="506941428"/>
    <n v="111024054"/>
    <n v="50443668"/>
  </r>
  <r>
    <s v="1402/09/26"/>
    <x v="5"/>
    <x v="2"/>
    <x v="7"/>
    <s v="اصفهان"/>
    <s v="هدا"/>
    <x v="3"/>
    <n v="4247"/>
    <x v="411"/>
    <n v="538865022.66666663"/>
    <n v="103840828"/>
    <n v="143459038"/>
  </r>
  <r>
    <s v="1402/10/01"/>
    <x v="5"/>
    <x v="3"/>
    <x v="8"/>
    <s v="یزد"/>
    <s v="سبهان"/>
    <x v="4"/>
    <n v="4433"/>
    <x v="412"/>
    <n v="842086769.33333325"/>
    <n v="754147120"/>
    <n v="53123664"/>
  </r>
  <r>
    <s v="1402/10/06"/>
    <x v="5"/>
    <x v="3"/>
    <x v="8"/>
    <s v="شیراز"/>
    <s v="فاطمه"/>
    <x v="4"/>
    <n v="4340"/>
    <x v="413"/>
    <n v="583469600"/>
    <n v="35312776"/>
    <n v="72521296"/>
  </r>
  <r>
    <s v="1402/10/11"/>
    <x v="5"/>
    <x v="3"/>
    <x v="8"/>
    <s v="سمنان"/>
    <s v="زهرا"/>
    <x v="5"/>
    <n v="2520"/>
    <x v="414"/>
    <n v="250212480"/>
    <n v="240414572"/>
    <n v="28598798"/>
  </r>
  <r>
    <s v="1402/10/16"/>
    <x v="5"/>
    <x v="3"/>
    <x v="8"/>
    <s v="گیلان"/>
    <s v="ایرج"/>
    <x v="0"/>
    <n v="2613"/>
    <x v="415"/>
    <n v="354033628"/>
    <n v="292912166"/>
    <n v="59689674"/>
  </r>
  <r>
    <s v="1402/10/21"/>
    <x v="5"/>
    <x v="3"/>
    <x v="8"/>
    <s v="مازندران"/>
    <s v="فرهاد"/>
    <x v="1"/>
    <n v="3033"/>
    <x v="416"/>
    <n v="402094920"/>
    <n v="72809478"/>
    <n v="56204354"/>
  </r>
  <r>
    <s v="1402/10/26"/>
    <x v="5"/>
    <x v="3"/>
    <x v="8"/>
    <s v="ارومیه"/>
    <s v="علی"/>
    <x v="2"/>
    <n v="3313"/>
    <x v="417"/>
    <n v="506495857.33333337"/>
    <n v="35956054"/>
    <n v="167439770"/>
  </r>
  <r>
    <s v="1402/11/01"/>
    <x v="5"/>
    <x v="3"/>
    <x v="9"/>
    <s v="تهران"/>
    <s v="مینا"/>
    <x v="3"/>
    <n v="4247"/>
    <x v="418"/>
    <n v="670369130.66666675"/>
    <n v="426548384"/>
    <n v="49009000"/>
  </r>
  <r>
    <s v="1402/11/06"/>
    <x v="5"/>
    <x v="3"/>
    <x v="9"/>
    <s v="کرج"/>
    <s v="حسنا"/>
    <x v="4"/>
    <n v="3920"/>
    <x v="419"/>
    <n v="611687253.33333325"/>
    <n v="256101484"/>
    <n v="2112248"/>
  </r>
  <r>
    <s v="1402/11/11"/>
    <x v="5"/>
    <x v="3"/>
    <x v="9"/>
    <s v="مشهد"/>
    <s v="حسین"/>
    <x v="4"/>
    <n v="2427"/>
    <x v="420"/>
    <n v="291825716"/>
    <n v="241740462"/>
    <n v="96511284"/>
  </r>
  <r>
    <s v="1402/11/16"/>
    <x v="5"/>
    <x v="3"/>
    <x v="9"/>
    <s v="تبریز"/>
    <s v="محسن"/>
    <x v="5"/>
    <n v="3360"/>
    <x v="421"/>
    <n v="336071680"/>
    <n v="259711886"/>
    <n v="109774680"/>
  </r>
  <r>
    <s v="1402/11/21"/>
    <x v="5"/>
    <x v="3"/>
    <x v="9"/>
    <s v="اصفهان"/>
    <s v="موبینا"/>
    <x v="0"/>
    <n v="4200"/>
    <x v="422"/>
    <n v="568181600"/>
    <n v="334281386"/>
    <n v="181545078"/>
  </r>
  <r>
    <s v="1402/11/26"/>
    <x v="5"/>
    <x v="3"/>
    <x v="9"/>
    <s v="یزد"/>
    <s v="هانیه"/>
    <x v="1"/>
    <n v="2613"/>
    <x v="423"/>
    <n v="198093272"/>
    <n v="99748152"/>
    <n v="41649496"/>
  </r>
  <r>
    <s v="1402/12/01"/>
    <x v="5"/>
    <x v="3"/>
    <x v="10"/>
    <s v="شیراز"/>
    <s v="دنیا"/>
    <x v="2"/>
    <n v="2707"/>
    <x v="424"/>
    <n v="518679246.66666663"/>
    <n v="332343718"/>
    <n v="85246338"/>
  </r>
  <r>
    <s v="1402/12/06"/>
    <x v="5"/>
    <x v="3"/>
    <x v="10"/>
    <s v="سمنان"/>
    <s v="ساغر"/>
    <x v="3"/>
    <n v="2987"/>
    <x v="425"/>
    <n v="484395816"/>
    <n v="506653998"/>
    <n v="66147572"/>
  </r>
  <r>
    <s v="1402/12/11"/>
    <x v="5"/>
    <x v="3"/>
    <x v="10"/>
    <s v="گیلان"/>
    <s v="هدا"/>
    <x v="4"/>
    <n v="2427"/>
    <x v="426"/>
    <n v="465899864"/>
    <n v="147193540"/>
    <n v="26503024"/>
  </r>
  <r>
    <s v="1402/12/16"/>
    <x v="5"/>
    <x v="3"/>
    <x v="10"/>
    <s v="مازندران"/>
    <s v="سبهان"/>
    <x v="4"/>
    <n v="4527"/>
    <x v="427"/>
    <n v="598348680"/>
    <n v="400237268"/>
    <n v="157439310"/>
  </r>
  <r>
    <s v="1402/12/21"/>
    <x v="5"/>
    <x v="3"/>
    <x v="10"/>
    <s v="ارومیه"/>
    <s v="فاطمه"/>
    <x v="5"/>
    <n v="3547"/>
    <x v="428"/>
    <n v="335621869.33333331"/>
    <n v="374807578"/>
    <n v="84605342"/>
  </r>
  <r>
    <s v="1402/12/26"/>
    <x v="5"/>
    <x v="3"/>
    <x v="10"/>
    <s v="تهران"/>
    <s v="زهرا"/>
    <x v="0"/>
    <n v="3220"/>
    <x v="429"/>
    <n v="555093653.33333337"/>
    <n v="58374764"/>
    <n v="10592925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6454468-4DFE-417B-9B51-6C691E8C1BE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6:H18" firstHeaderRow="1" firstDataRow="2" firstDataCol="1"/>
  <pivotFields count="13">
    <pivotField showAll="0"/>
    <pivotField axis="axisCol" showAll="0">
      <items count="7">
        <item x="0"/>
        <item x="1"/>
        <item x="2"/>
        <item x="3"/>
        <item x="4"/>
        <item x="5"/>
        <item t="default"/>
      </items>
    </pivotField>
    <pivotField showAll="0"/>
    <pivotField showAll="0"/>
    <pivotField showAll="0"/>
    <pivotField showAll="0"/>
    <pivotField showAll="0"/>
    <pivotField numFmtId="3" showAll="0"/>
    <pivotField numFmtId="3" showAll="0"/>
    <pivotField numFmtId="3" showAll="0"/>
    <pivotField dataField="1" numFmtId="3" showAll="0"/>
    <pivotField numFmtId="3" showAll="0"/>
    <pivotField dragToRow="0" dragToCol="0" dragToPage="0" showAll="0" defaultSubtotal="0"/>
  </pivotFields>
  <rowItems count="1">
    <i/>
  </rowItems>
  <colFields count="1">
    <field x="1"/>
  </colFields>
  <colItems count="7">
    <i>
      <x/>
    </i>
    <i>
      <x v="1"/>
    </i>
    <i>
      <x v="2"/>
    </i>
    <i>
      <x v="3"/>
    </i>
    <i>
      <x v="4"/>
    </i>
    <i>
      <x v="5"/>
    </i>
    <i t="grand">
      <x/>
    </i>
  </colItems>
  <dataFields count="1">
    <dataField name="Sum of سود از فروش" fld="10"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311E087-ABC0-4DC6-B9B6-EFC1C56D87F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B11" firstHeaderRow="1" firstDataRow="1" firstDataCol="1"/>
  <pivotFields count="13">
    <pivotField showAll="0"/>
    <pivotField axis="axisRow" showAll="0">
      <items count="7">
        <item h="1" x="0"/>
        <item h="1" x="1"/>
        <item h="1" x="2"/>
        <item h="1" x="3"/>
        <item h="1" x="4"/>
        <item x="5"/>
        <item t="default"/>
      </items>
    </pivotField>
    <pivotField showAll="0"/>
    <pivotField showAll="0"/>
    <pivotField showAll="0"/>
    <pivotField showAll="0"/>
    <pivotField showAll="0"/>
    <pivotField dataField="1" numFmtId="3" showAll="0"/>
    <pivotField numFmtId="3" showAll="0"/>
    <pivotField numFmtId="3" showAll="0"/>
    <pivotField numFmtId="3" showAll="0"/>
    <pivotField numFmtId="3" showAll="0"/>
    <pivotField dragToRow="0" dragToCol="0" dragToPage="0" showAll="0" defaultSubtotal="0"/>
  </pivotFields>
  <rowFields count="1">
    <field x="1"/>
  </rowFields>
  <rowItems count="2">
    <i>
      <x v="5"/>
    </i>
    <i t="grand">
      <x/>
    </i>
  </rowItems>
  <colItems count="1">
    <i/>
  </colItems>
  <dataFields count="1">
    <dataField name="Sum of تعداد" fld="7"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FFC0262-D343-42E0-A662-C83C0D8E2CB6}"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3:A14" firstHeaderRow="1" firstDataRow="1" firstDataCol="0"/>
  <pivotFields count="1">
    <pivotField dataField="1" subtotalTop="0" showAll="0" defaultSubtotal="0"/>
  </pivotFields>
  <rowItems count="1">
    <i/>
  </rowItems>
  <colItems count="1">
    <i/>
  </colItems>
  <dataFields count="1">
    <dataField name="Distinct Count of نام مشتری" fld="0" subtotal="count" baseField="0" baseItem="0">
      <extLst>
        <ext xmlns:x15="http://schemas.microsoft.com/office/spreadsheetml/2010/11/main" uri="{FABC7310-3BB5-11E1-824E-6D434824019B}">
          <x15:dataField isCountDistinct="1"/>
        </ext>
      </extLst>
    </dataField>
  </dataFields>
  <pivotHierarchies count="1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نام مشتری"/>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داشبورد حرفه ای با اکسل-مدیریت فروش.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8E07B47-2A8E-4670-AB0B-D4A8C1A029F6}"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2:B39" firstHeaderRow="1" firstDataRow="1" firstDataCol="1"/>
  <pivotFields count="13">
    <pivotField showAll="0"/>
    <pivotField axis="axisRow" showAll="0">
      <items count="7">
        <item x="0"/>
        <item x="1"/>
        <item x="2"/>
        <item x="3"/>
        <item x="4"/>
        <item x="5"/>
        <item t="default"/>
      </items>
    </pivotField>
    <pivotField showAll="0"/>
    <pivotField showAll="0"/>
    <pivotField showAll="0"/>
    <pivotField showAll="0"/>
    <pivotField showAll="0"/>
    <pivotField numFmtId="3" showAll="0"/>
    <pivotField numFmtId="3" showAll="0"/>
    <pivotField dataField="1" numFmtId="3" showAll="0"/>
    <pivotField numFmtId="3" showAll="0"/>
    <pivotField numFmtId="3" showAll="0"/>
    <pivotField dragToRow="0" dragToCol="0" dragToPage="0" showAll="0" defaultSubtotal="0"/>
  </pivotFields>
  <rowFields count="1">
    <field x="1"/>
  </rowFields>
  <rowItems count="7">
    <i>
      <x/>
    </i>
    <i>
      <x v="1"/>
    </i>
    <i>
      <x v="2"/>
    </i>
    <i>
      <x v="3"/>
    </i>
    <i>
      <x v="4"/>
    </i>
    <i>
      <x v="5"/>
    </i>
    <i t="grand">
      <x/>
    </i>
  </rowItems>
  <colItems count="1">
    <i/>
  </colItems>
  <dataFields count="1">
    <dataField name="Sum of قیمت کل" fld="9" baseField="0" baseItem="0" numFmtId="3"/>
  </dataFields>
  <chartFormats count="13">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0" format="4" series="1">
      <pivotArea type="data" outline="0" fieldPosition="0">
        <references count="2">
          <reference field="4294967294" count="1" selected="0">
            <x v="0"/>
          </reference>
          <reference field="1" count="1" selected="0">
            <x v="4"/>
          </reference>
        </references>
      </pivotArea>
    </chartFormat>
    <chartFormat chart="0" format="5" series="1">
      <pivotArea type="data" outline="0" fieldPosition="0">
        <references count="2">
          <reference field="4294967294" count="1" selected="0">
            <x v="0"/>
          </reference>
          <reference field="1" count="1" selected="0">
            <x v="5"/>
          </reference>
        </references>
      </pivotArea>
    </chartFormat>
    <chartFormat chart="0" format="6" series="1">
      <pivotArea type="data" outline="0" fieldPosition="0">
        <references count="1">
          <reference field="4294967294" count="1" selected="0">
            <x v="0"/>
          </reference>
        </references>
      </pivotArea>
    </chartFormat>
    <chartFormat chart="3" format="8"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74FA2E9-6461-47F2-A458-9C40E78B3304}" name="PivotTable1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E67:F74" firstHeaderRow="1" firstDataRow="2" firstDataCol="1"/>
  <pivotFields count="13">
    <pivotField showAll="0"/>
    <pivotField axis="axisRow" showAll="0">
      <items count="7">
        <item x="0"/>
        <item x="1"/>
        <item x="2"/>
        <item x="3"/>
        <item x="4"/>
        <item x="5"/>
        <item t="default"/>
      </items>
    </pivotField>
    <pivotField axis="axisCol" showAll="0">
      <items count="5">
        <item x="0"/>
        <item h="1" x="2"/>
        <item h="1" x="1"/>
        <item h="1" x="3"/>
        <item t="default"/>
      </items>
    </pivotField>
    <pivotField showAll="0"/>
    <pivotField showAll="0"/>
    <pivotField showAll="0"/>
    <pivotField showAll="0"/>
    <pivotField numFmtId="3" showAll="0"/>
    <pivotField numFmtId="3" showAll="0"/>
    <pivotField numFmtId="3" showAll="0"/>
    <pivotField dataField="1" numFmtId="3" showAll="0"/>
    <pivotField numFmtId="3" showAll="0"/>
    <pivotField dragToRow="0" dragToCol="0" dragToPage="0" showAll="0" defaultSubtotal="0"/>
  </pivotFields>
  <rowFields count="1">
    <field x="1"/>
  </rowFields>
  <rowItems count="6">
    <i>
      <x/>
    </i>
    <i>
      <x v="1"/>
    </i>
    <i>
      <x v="2"/>
    </i>
    <i>
      <x v="3"/>
    </i>
    <i>
      <x v="4"/>
    </i>
    <i>
      <x v="5"/>
    </i>
  </rowItems>
  <colFields count="1">
    <field x="2"/>
  </colFields>
  <colItems count="1">
    <i>
      <x/>
    </i>
  </colItems>
  <dataFields count="1">
    <dataField name="Sum of سود از فروش" fld="10" baseField="0" baseItem="0" numFmtId="3"/>
  </dataFields>
  <chartFormats count="10">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 chart="4" format="8" series="1">
      <pivotArea type="data" outline="0" fieldPosition="0">
        <references count="2">
          <reference field="4294967294" count="1" selected="0">
            <x v="0"/>
          </reference>
          <reference field="2" count="1" selected="0">
            <x v="0"/>
          </reference>
        </references>
      </pivotArea>
    </chartFormat>
    <chartFormat chart="4" format="9" series="1">
      <pivotArea type="data" outline="0" fieldPosition="0">
        <references count="2">
          <reference field="4294967294" count="1" selected="0">
            <x v="0"/>
          </reference>
          <reference field="2" count="1" selected="0">
            <x v="1"/>
          </reference>
        </references>
      </pivotArea>
    </chartFormat>
    <chartFormat chart="4" format="10" series="1">
      <pivotArea type="data" outline="0" fieldPosition="0">
        <references count="2">
          <reference field="4294967294" count="1" selected="0">
            <x v="0"/>
          </reference>
          <reference field="2" count="1" selected="0">
            <x v="2"/>
          </reference>
        </references>
      </pivotArea>
    </chartFormat>
    <chartFormat chart="4" format="11" series="1">
      <pivotArea type="data" outline="0" fieldPosition="0">
        <references count="2">
          <reference field="4294967294" count="1" selected="0">
            <x v="0"/>
          </reference>
          <reference field="2" count="1" selected="0">
            <x v="3"/>
          </reference>
        </references>
      </pivotArea>
    </chartFormat>
    <chartFormat chart="4" format="12"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1148A6E-513E-4BD9-9D33-51EC24BC9464}"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61:C68" firstHeaderRow="0" firstDataRow="1" firstDataCol="1"/>
  <pivotFields count="13">
    <pivotField showAll="0"/>
    <pivotField showAll="0">
      <items count="7">
        <item h="1" x="0"/>
        <item x="1"/>
        <item h="1" x="2"/>
        <item h="1" x="3"/>
        <item h="1" x="4"/>
        <item h="1" x="5"/>
        <item t="default"/>
      </items>
    </pivotField>
    <pivotField showAll="0"/>
    <pivotField showAll="0"/>
    <pivotField showAll="0"/>
    <pivotField showAll="0"/>
    <pivotField axis="axisRow" showAll="0">
      <items count="7">
        <item x="0"/>
        <item x="3"/>
        <item x="1"/>
        <item x="4"/>
        <item x="2"/>
        <item x="5"/>
        <item t="default"/>
      </items>
    </pivotField>
    <pivotField numFmtId="3" showAll="0"/>
    <pivotField numFmtId="3" showAll="0"/>
    <pivotField numFmtId="3" showAll="0"/>
    <pivotField dataField="1" numFmtId="3" showAll="0"/>
    <pivotField numFmtId="3" showAll="0"/>
    <pivotField dragToRow="0" dragToCol="0" dragToPage="0" showAll="0" defaultSubtotal="0"/>
  </pivotFields>
  <rowFields count="1">
    <field x="6"/>
  </rowFields>
  <rowItems count="7">
    <i>
      <x/>
    </i>
    <i>
      <x v="1"/>
    </i>
    <i>
      <x v="2"/>
    </i>
    <i>
      <x v="3"/>
    </i>
    <i>
      <x v="4"/>
    </i>
    <i>
      <x v="5"/>
    </i>
    <i t="grand">
      <x/>
    </i>
  </rowItems>
  <colFields count="1">
    <field x="-2"/>
  </colFields>
  <colItems count="2">
    <i>
      <x/>
    </i>
    <i i="1">
      <x v="1"/>
    </i>
  </colItems>
  <dataFields count="2">
    <dataField name="Sum of سود از فروش" fld="10" baseField="0" baseItem="0" numFmtId="3"/>
    <dataField name="Sum of سود از فروش2" fld="10" showDataAs="percentOfTotal" baseField="6" baseItem="0" numFmtId="1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E0F4D60-F72C-4538-9F4F-C50ECB451A6C}"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F22:G29" firstHeaderRow="1" firstDataRow="2" firstDataCol="1"/>
  <pivotFields count="13">
    <pivotField showAll="0"/>
    <pivotField axis="axisCol" showAll="0">
      <items count="7">
        <item h="1" x="0"/>
        <item h="1" x="1"/>
        <item h="1" x="2"/>
        <item h="1" x="3"/>
        <item h="1" x="4"/>
        <item x="5"/>
        <item t="default"/>
      </items>
    </pivotField>
    <pivotField showAll="0"/>
    <pivotField showAll="0"/>
    <pivotField showAll="0"/>
    <pivotField showAll="0"/>
    <pivotField axis="axisRow" showAll="0">
      <items count="7">
        <item x="0"/>
        <item x="3"/>
        <item x="1"/>
        <item x="4"/>
        <item x="2"/>
        <item x="5"/>
        <item t="default"/>
      </items>
    </pivotField>
    <pivotField numFmtId="3" showAll="0"/>
    <pivotField numFmtId="3" showAll="0"/>
    <pivotField numFmtId="3" showAll="0"/>
    <pivotField dataField="1" numFmtId="3" showAll="0"/>
    <pivotField numFmtId="3" showAll="0"/>
    <pivotField dragToRow="0" dragToCol="0" dragToPage="0" showAll="0" defaultSubtotal="0"/>
  </pivotFields>
  <rowFields count="1">
    <field x="6"/>
  </rowFields>
  <rowItems count="6">
    <i>
      <x/>
    </i>
    <i>
      <x v="1"/>
    </i>
    <i>
      <x v="2"/>
    </i>
    <i>
      <x v="3"/>
    </i>
    <i>
      <x v="4"/>
    </i>
    <i>
      <x v="5"/>
    </i>
  </rowItems>
  <colFields count="1">
    <field x="1"/>
  </colFields>
  <colItems count="1">
    <i>
      <x v="5"/>
    </i>
  </colItems>
  <dataFields count="1">
    <dataField name="Sum of سود از فروش" fld="10" showDataAs="percentOfTotal" baseField="6" baseItem="0" numFmtId="10"/>
  </dataFields>
  <chartFormats count="7">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6" count="1" selected="0">
            <x v="0"/>
          </reference>
        </references>
      </pivotArea>
    </chartFormat>
    <chartFormat chart="3" format="10">
      <pivotArea type="data" outline="0" fieldPosition="0">
        <references count="2">
          <reference field="4294967294" count="1" selected="0">
            <x v="0"/>
          </reference>
          <reference field="6" count="1" selected="0">
            <x v="1"/>
          </reference>
        </references>
      </pivotArea>
    </chartFormat>
    <chartFormat chart="3" format="11">
      <pivotArea type="data" outline="0" fieldPosition="0">
        <references count="2">
          <reference field="4294967294" count="1" selected="0">
            <x v="0"/>
          </reference>
          <reference field="6" count="1" selected="0">
            <x v="2"/>
          </reference>
        </references>
      </pivotArea>
    </chartFormat>
    <chartFormat chart="3" format="12">
      <pivotArea type="data" outline="0" fieldPosition="0">
        <references count="2">
          <reference field="4294967294" count="1" selected="0">
            <x v="0"/>
          </reference>
          <reference field="6" count="1" selected="0">
            <x v="3"/>
          </reference>
        </references>
      </pivotArea>
    </chartFormat>
    <chartFormat chart="3" format="13">
      <pivotArea type="data" outline="0" fieldPosition="0">
        <references count="2">
          <reference field="4294967294" count="1" selected="0">
            <x v="0"/>
          </reference>
          <reference field="6" count="1" selected="0">
            <x v="4"/>
          </reference>
        </references>
      </pivotArea>
    </chartFormat>
    <chartFormat chart="3" format="14">
      <pivotArea type="data" outline="0" fieldPosition="0">
        <references count="2">
          <reference field="4294967294" count="1" selected="0">
            <x v="0"/>
          </reference>
          <reference field="6"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E147E9E-9CCB-4B3E-B063-69FD64C866B4}"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E41:I54" firstHeaderRow="0" firstDataRow="1" firstDataCol="1"/>
  <pivotFields count="13">
    <pivotField showAll="0"/>
    <pivotField showAll="0">
      <items count="7">
        <item h="1" x="0"/>
        <item x="1"/>
        <item h="1" x="2"/>
        <item h="1" x="3"/>
        <item h="1" x="4"/>
        <item h="1" x="5"/>
        <item t="default"/>
      </items>
    </pivotField>
    <pivotField showAll="0"/>
    <pivotField axis="axisRow" showAll="0">
      <items count="13">
        <item x="11"/>
        <item x="0"/>
        <item x="1"/>
        <item x="2"/>
        <item x="3"/>
        <item x="4"/>
        <item x="5"/>
        <item x="6"/>
        <item x="7"/>
        <item x="8"/>
        <item x="9"/>
        <item x="10"/>
        <item t="default"/>
      </items>
    </pivotField>
    <pivotField showAll="0"/>
    <pivotField showAll="0"/>
    <pivotField showAll="0"/>
    <pivotField numFmtId="3" showAll="0"/>
    <pivotField numFmtId="3" showAll="0"/>
    <pivotField dataField="1" numFmtId="3" showAll="0"/>
    <pivotField dataField="1" numFmtId="3" showAll="0"/>
    <pivotField dataField="1" numFmtId="3" showAll="0"/>
    <pivotField dataField="1" dragToRow="0" dragToCol="0" dragToPage="0" showAll="0" defaultSubtotal="0"/>
  </pivotFields>
  <rowFields count="1">
    <field x="3"/>
  </rowFields>
  <rowItems count="13">
    <i>
      <x/>
    </i>
    <i>
      <x v="1"/>
    </i>
    <i>
      <x v="2"/>
    </i>
    <i>
      <x v="3"/>
    </i>
    <i>
      <x v="4"/>
    </i>
    <i>
      <x v="5"/>
    </i>
    <i>
      <x v="6"/>
    </i>
    <i>
      <x v="7"/>
    </i>
    <i>
      <x v="8"/>
    </i>
    <i>
      <x v="9"/>
    </i>
    <i>
      <x v="10"/>
    </i>
    <i>
      <x v="11"/>
    </i>
    <i t="grand">
      <x/>
    </i>
  </rowItems>
  <colFields count="1">
    <field x="-2"/>
  </colFields>
  <colItems count="4">
    <i>
      <x/>
    </i>
    <i i="1">
      <x v="1"/>
    </i>
    <i i="2">
      <x v="2"/>
    </i>
    <i i="3">
      <x v="3"/>
    </i>
  </colItems>
  <dataFields count="4">
    <dataField name="Sum of قیمت کل" fld="9" baseField="0" baseItem="0" numFmtId="3"/>
    <dataField name="Sum of سود از فروش" fld="10" baseField="0" baseItem="0" numFmtId="3"/>
    <dataField name="Sum of سهم فروشنده" fld="11" baseField="0" baseItem="0" numFmtId="3"/>
    <dataField name="Sum of سود به سهم" fld="12" baseField="0" baseItem="0" numFmtId="10"/>
  </dataFields>
  <formats count="2">
    <format dxfId="1">
      <pivotArea outline="0" collapsedLevelsAreSubtotals="1" fieldPosition="0">
        <references count="1">
          <reference field="4294967294" count="1" selected="0">
            <x v="3"/>
          </reference>
        </references>
      </pivotArea>
    </format>
    <format dxfId="0">
      <pivotArea dataOnly="0" labelOnly="1" outline="0" fieldPosition="0">
        <references count="1">
          <reference field="4294967294" count="1">
            <x v="3"/>
          </reference>
        </references>
      </pivotArea>
    </format>
  </formats>
  <chartFormats count="5">
    <chartFormat chart="6" format="8" series="1">
      <pivotArea type="data" outline="0" fieldPosition="0">
        <references count="1">
          <reference field="4294967294" count="1" selected="0">
            <x v="0"/>
          </reference>
        </references>
      </pivotArea>
    </chartFormat>
    <chartFormat chart="6" format="9" series="1">
      <pivotArea type="data" outline="0" fieldPosition="0">
        <references count="1">
          <reference field="4294967294" count="1" selected="0">
            <x v="1"/>
          </reference>
        </references>
      </pivotArea>
    </chartFormat>
    <chartFormat chart="6" format="10" series="1">
      <pivotArea type="data" outline="0" fieldPosition="0">
        <references count="1">
          <reference field="4294967294" count="1" selected="0">
            <x v="2"/>
          </reference>
        </references>
      </pivotArea>
    </chartFormat>
    <chartFormat chart="6" format="11" series="1">
      <pivotArea type="data" outline="0" fieldPosition="0">
        <references count="1">
          <reference field="4294967294" count="1" selected="0">
            <x v="3"/>
          </reference>
        </references>
      </pivotArea>
    </chartFormat>
    <chartFormat chart="6" format="12">
      <pivotArea type="data" outline="0" fieldPosition="0">
        <references count="2">
          <reference field="4294967294" count="1" selected="0">
            <x v="3"/>
          </reference>
          <reference field="3"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BDFB3C4-42C0-407E-B449-677788429A0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13">
    <pivotField showAll="0"/>
    <pivotField axis="axisRow" showAll="0">
      <items count="7">
        <item h="1" x="0"/>
        <item h="1" x="1"/>
        <item h="1" x="2"/>
        <item h="1" x="3"/>
        <item x="4"/>
        <item x="5"/>
        <item t="default"/>
      </items>
    </pivotField>
    <pivotField showAll="0"/>
    <pivotField showAll="0"/>
    <pivotField showAll="0"/>
    <pivotField showAll="0"/>
    <pivotField showAll="0"/>
    <pivotField numFmtId="3" showAll="0"/>
    <pivotField numFmtId="3" showAll="0"/>
    <pivotField dataField="1" numFmtId="3" showAll="0"/>
    <pivotField numFmtId="3" showAll="0"/>
    <pivotField numFmtId="3" showAll="0"/>
    <pivotField dragToRow="0" dragToCol="0" dragToPage="0" showAll="0" defaultSubtotal="0"/>
  </pivotFields>
  <rowFields count="1">
    <field x="1"/>
  </rowFields>
  <rowItems count="3">
    <i>
      <x v="4"/>
    </i>
    <i>
      <x v="5"/>
    </i>
    <i t="grand">
      <x/>
    </i>
  </rowItems>
  <colItems count="1">
    <i/>
  </colItems>
  <dataFields count="1">
    <dataField name="Sum of قیمت کل" fld="9"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9A8BAA8-2B42-40C2-9C46-02861A708FC7}"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21:C28" firstHeaderRow="1" firstDataRow="2" firstDataCol="1"/>
  <pivotFields count="13">
    <pivotField showAll="0"/>
    <pivotField axis="axisCol" showAll="0">
      <items count="7">
        <item h="1" x="0"/>
        <item h="1" x="1"/>
        <item h="1" x="2"/>
        <item h="1" x="3"/>
        <item x="4"/>
        <item x="5"/>
        <item t="default"/>
      </items>
    </pivotField>
    <pivotField showAll="0"/>
    <pivotField showAll="0"/>
    <pivotField showAll="0"/>
    <pivotField showAll="0"/>
    <pivotField axis="axisRow" showAll="0">
      <items count="7">
        <item x="0"/>
        <item x="3"/>
        <item x="1"/>
        <item x="4"/>
        <item x="2"/>
        <item x="5"/>
        <item t="default"/>
      </items>
    </pivotField>
    <pivotField numFmtId="3" showAll="0"/>
    <pivotField numFmtId="3" showAll="0"/>
    <pivotField numFmtId="3" showAll="0"/>
    <pivotField dataField="1" numFmtId="3" showAll="0"/>
    <pivotField numFmtId="3" showAll="0"/>
    <pivotField dragToRow="0" dragToCol="0" dragToPage="0" showAll="0" defaultSubtotal="0"/>
  </pivotFields>
  <rowFields count="1">
    <field x="6"/>
  </rowFields>
  <rowItems count="6">
    <i>
      <x/>
    </i>
    <i>
      <x v="1"/>
    </i>
    <i>
      <x v="2"/>
    </i>
    <i>
      <x v="3"/>
    </i>
    <i>
      <x v="4"/>
    </i>
    <i>
      <x v="5"/>
    </i>
  </rowItems>
  <colFields count="1">
    <field x="1"/>
  </colFields>
  <colItems count="2">
    <i>
      <x v="4"/>
    </i>
    <i>
      <x v="5"/>
    </i>
  </colItems>
  <dataFields count="1">
    <dataField name="Sum of سود از فروش" fld="10" baseField="0" baseItem="0" numFmtId="3"/>
  </dataFields>
  <chartFormats count="2">
    <chartFormat chart="4" format="4" series="1">
      <pivotArea type="data" outline="0" fieldPosition="0">
        <references count="2">
          <reference field="4294967294" count="1" selected="0">
            <x v="0"/>
          </reference>
          <reference field="1" count="1" selected="0">
            <x v="4"/>
          </reference>
        </references>
      </pivotArea>
    </chartFormat>
    <chartFormat chart="4" format="5" series="1">
      <pivotArea type="data" outline="0" fieldPosition="0">
        <references count="2">
          <reference field="4294967294" count="1" selected="0">
            <x v="0"/>
          </reference>
          <reference field="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71CC341-70BA-4DA3-B7B8-EE24D668114E}"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3:H35" firstHeaderRow="0" firstDataRow="1" firstDataCol="1"/>
  <pivotFields count="13">
    <pivotField showAll="0"/>
    <pivotField axis="axisRow" showAll="0">
      <items count="7">
        <item h="1" x="0"/>
        <item x="1"/>
        <item h="1" x="2"/>
        <item h="1" x="3"/>
        <item h="1" x="4"/>
        <item h="1" x="5"/>
        <item t="default"/>
      </items>
    </pivotField>
    <pivotField showAll="0"/>
    <pivotField showAll="0"/>
    <pivotField showAll="0"/>
    <pivotField showAll="0"/>
    <pivotField showAll="0"/>
    <pivotField numFmtId="3" showAll="0"/>
    <pivotField dataField="1" numFmtId="3" showAll="0">
      <items count="431">
        <item x="84"/>
        <item x="136"/>
        <item x="184"/>
        <item x="98"/>
        <item x="362"/>
        <item x="385"/>
        <item x="354"/>
        <item x="245"/>
        <item x="140"/>
        <item x="62"/>
        <item x="307"/>
        <item x="218"/>
        <item x="185"/>
        <item x="119"/>
        <item x="145"/>
        <item x="237"/>
        <item x="316"/>
        <item x="241"/>
        <item x="148"/>
        <item x="151"/>
        <item x="142"/>
        <item x="67"/>
        <item x="286"/>
        <item x="133"/>
        <item x="378"/>
        <item x="69"/>
        <item x="83"/>
        <item x="189"/>
        <item x="380"/>
        <item x="54"/>
        <item x="126"/>
        <item x="170"/>
        <item x="36"/>
        <item x="14"/>
        <item x="360"/>
        <item x="43"/>
        <item x="1"/>
        <item x="231"/>
        <item x="203"/>
        <item x="56"/>
        <item x="252"/>
        <item x="13"/>
        <item x="10"/>
        <item x="95"/>
        <item x="149"/>
        <item x="223"/>
        <item x="118"/>
        <item x="309"/>
        <item x="171"/>
        <item x="349"/>
        <item x="96"/>
        <item x="304"/>
        <item x="157"/>
        <item x="73"/>
        <item x="271"/>
        <item x="114"/>
        <item x="52"/>
        <item x="398"/>
        <item x="37"/>
        <item x="94"/>
        <item x="391"/>
        <item x="19"/>
        <item x="29"/>
        <item x="323"/>
        <item x="386"/>
        <item x="61"/>
        <item x="132"/>
        <item x="46"/>
        <item x="340"/>
        <item x="68"/>
        <item x="234"/>
        <item x="180"/>
        <item x="233"/>
        <item x="268"/>
        <item x="108"/>
        <item x="376"/>
        <item x="282"/>
        <item x="277"/>
        <item x="179"/>
        <item x="404"/>
        <item x="153"/>
        <item x="81"/>
        <item x="0"/>
        <item x="5"/>
        <item x="384"/>
        <item x="169"/>
        <item x="405"/>
        <item x="40"/>
        <item x="24"/>
        <item x="160"/>
        <item x="334"/>
        <item x="350"/>
        <item x="208"/>
        <item x="371"/>
        <item x="92"/>
        <item x="30"/>
        <item x="244"/>
        <item x="318"/>
        <item x="265"/>
        <item x="314"/>
        <item x="289"/>
        <item x="372"/>
        <item x="306"/>
        <item x="409"/>
        <item x="12"/>
        <item x="134"/>
        <item x="216"/>
        <item x="76"/>
        <item x="236"/>
        <item x="115"/>
        <item x="166"/>
        <item x="194"/>
        <item x="11"/>
        <item x="77"/>
        <item x="33"/>
        <item x="34"/>
        <item x="374"/>
        <item x="103"/>
        <item x="342"/>
        <item x="201"/>
        <item x="27"/>
        <item x="261"/>
        <item x="44"/>
        <item x="116"/>
        <item x="232"/>
        <item x="423"/>
        <item x="162"/>
        <item x="63"/>
        <item x="276"/>
        <item x="16"/>
        <item x="31"/>
        <item x="183"/>
        <item x="214"/>
        <item x="235"/>
        <item x="355"/>
        <item x="139"/>
        <item x="39"/>
        <item x="392"/>
        <item x="325"/>
        <item x="259"/>
        <item x="224"/>
        <item x="138"/>
        <item x="330"/>
        <item x="49"/>
        <item x="93"/>
        <item x="390"/>
        <item x="124"/>
        <item x="210"/>
        <item x="127"/>
        <item x="321"/>
        <item x="186"/>
        <item x="363"/>
        <item x="379"/>
        <item x="146"/>
        <item x="35"/>
        <item x="297"/>
        <item x="303"/>
        <item x="260"/>
        <item x="281"/>
        <item x="82"/>
        <item x="341"/>
        <item x="400"/>
        <item x="38"/>
        <item x="220"/>
        <item x="253"/>
        <item x="353"/>
        <item x="130"/>
        <item x="219"/>
        <item x="367"/>
        <item x="230"/>
        <item x="274"/>
        <item x="365"/>
        <item x="58"/>
        <item x="331"/>
        <item x="200"/>
        <item x="296"/>
        <item x="72"/>
        <item x="352"/>
        <item x="284"/>
        <item x="123"/>
        <item x="351"/>
        <item x="109"/>
        <item x="269"/>
        <item x="122"/>
        <item x="99"/>
        <item x="428"/>
        <item x="229"/>
        <item x="163"/>
        <item x="50"/>
        <item x="164"/>
        <item x="191"/>
        <item x="90"/>
        <item x="395"/>
        <item x="300"/>
        <item x="393"/>
        <item x="312"/>
        <item x="264"/>
        <item x="17"/>
        <item x="161"/>
        <item x="254"/>
        <item x="333"/>
        <item x="381"/>
        <item x="335"/>
        <item x="285"/>
        <item x="319"/>
        <item x="294"/>
        <item x="91"/>
        <item x="332"/>
        <item x="174"/>
        <item x="291"/>
        <item x="65"/>
        <item x="207"/>
        <item x="414"/>
        <item x="275"/>
        <item x="298"/>
        <item x="196"/>
        <item x="421"/>
        <item x="217"/>
        <item x="211"/>
        <item x="193"/>
        <item x="177"/>
        <item x="202"/>
        <item x="195"/>
        <item x="238"/>
        <item x="141"/>
        <item x="178"/>
        <item x="403"/>
        <item x="121"/>
        <item x="273"/>
        <item x="373"/>
        <item x="336"/>
        <item x="112"/>
        <item x="382"/>
        <item x="329"/>
        <item x="74"/>
        <item x="89"/>
        <item x="53"/>
        <item x="117"/>
        <item x="168"/>
        <item x="246"/>
        <item x="20"/>
        <item x="308"/>
        <item x="356"/>
        <item x="128"/>
        <item x="41"/>
        <item x="262"/>
        <item x="397"/>
        <item x="337"/>
        <item x="359"/>
        <item x="18"/>
        <item x="57"/>
        <item x="212"/>
        <item x="239"/>
        <item x="292"/>
        <item x="32"/>
        <item x="135"/>
        <item x="406"/>
        <item x="71"/>
        <item x="8"/>
        <item x="51"/>
        <item x="242"/>
        <item x="317"/>
        <item x="368"/>
        <item x="270"/>
        <item x="288"/>
        <item x="364"/>
        <item x="228"/>
        <item x="15"/>
        <item x="225"/>
        <item x="272"/>
        <item x="197"/>
        <item x="251"/>
        <item x="366"/>
        <item x="295"/>
        <item x="338"/>
        <item x="258"/>
        <item x="396"/>
        <item x="113"/>
        <item x="394"/>
        <item x="250"/>
        <item x="247"/>
        <item x="346"/>
        <item x="107"/>
        <item x="199"/>
        <item x="100"/>
        <item x="358"/>
        <item x="137"/>
        <item x="343"/>
        <item x="322"/>
        <item x="150"/>
        <item x="2"/>
        <item x="348"/>
        <item x="198"/>
        <item x="86"/>
        <item x="147"/>
        <item x="102"/>
        <item x="7"/>
        <item x="420"/>
        <item x="156"/>
        <item x="287"/>
        <item x="181"/>
        <item x="79"/>
        <item x="205"/>
        <item x="47"/>
        <item x="255"/>
        <item x="155"/>
        <item x="105"/>
        <item x="143"/>
        <item x="280"/>
        <item x="87"/>
        <item x="266"/>
        <item x="369"/>
        <item x="64"/>
        <item x="59"/>
        <item x="66"/>
        <item x="88"/>
        <item x="9"/>
        <item x="240"/>
        <item x="370"/>
        <item x="175"/>
        <item x="42"/>
        <item x="328"/>
        <item x="257"/>
        <item x="411"/>
        <item x="377"/>
        <item x="28"/>
        <item x="159"/>
        <item x="110"/>
        <item x="293"/>
        <item x="263"/>
        <item x="6"/>
        <item x="97"/>
        <item x="315"/>
        <item x="120"/>
        <item x="131"/>
        <item x="299"/>
        <item x="48"/>
        <item x="209"/>
        <item x="248"/>
        <item x="357"/>
        <item x="85"/>
        <item x="311"/>
        <item x="222"/>
        <item x="22"/>
        <item x="45"/>
        <item x="173"/>
        <item x="310"/>
        <item x="301"/>
        <item x="327"/>
        <item x="305"/>
        <item x="427"/>
        <item x="70"/>
        <item x="416"/>
        <item x="26"/>
        <item x="388"/>
        <item x="347"/>
        <item x="290"/>
        <item x="278"/>
        <item x="361"/>
        <item x="413"/>
        <item x="60"/>
        <item x="422"/>
        <item x="415"/>
        <item x="389"/>
        <item x="375"/>
        <item x="55"/>
        <item x="158"/>
        <item x="187"/>
        <item x="167"/>
        <item x="165"/>
        <item x="243"/>
        <item x="101"/>
        <item x="75"/>
        <item x="344"/>
        <item x="144"/>
        <item x="227"/>
        <item x="111"/>
        <item x="213"/>
        <item x="25"/>
        <item x="387"/>
        <item x="182"/>
        <item x="249"/>
        <item x="106"/>
        <item x="345"/>
        <item x="339"/>
        <item x="4"/>
        <item x="192"/>
        <item x="154"/>
        <item x="188"/>
        <item x="152"/>
        <item x="267"/>
        <item x="204"/>
        <item x="3"/>
        <item x="206"/>
        <item x="125"/>
        <item x="21"/>
        <item x="383"/>
        <item x="104"/>
        <item x="399"/>
        <item x="226"/>
        <item x="326"/>
        <item x="129"/>
        <item x="80"/>
        <item x="324"/>
        <item x="256"/>
        <item x="302"/>
        <item x="320"/>
        <item x="176"/>
        <item x="221"/>
        <item x="283"/>
        <item x="190"/>
        <item x="78"/>
        <item x="23"/>
        <item x="313"/>
        <item x="279"/>
        <item x="172"/>
        <item x="215"/>
        <item x="417"/>
        <item x="419"/>
        <item x="418"/>
        <item x="401"/>
        <item x="425"/>
        <item x="429"/>
        <item x="407"/>
        <item x="402"/>
        <item x="412"/>
        <item x="408"/>
        <item x="424"/>
        <item x="426"/>
        <item x="410"/>
        <item t="default"/>
      </items>
    </pivotField>
    <pivotField numFmtId="3" showAll="0"/>
    <pivotField dataField="1" numFmtId="3" showAll="0"/>
    <pivotField dataField="1" numFmtId="3" showAll="0"/>
    <pivotField dragToRow="0" dragToCol="0" dragToPage="0" showAll="0" defaultSubtotal="0"/>
  </pivotFields>
  <rowFields count="1">
    <field x="1"/>
  </rowFields>
  <rowItems count="2">
    <i>
      <x v="1"/>
    </i>
    <i t="grand">
      <x/>
    </i>
  </rowItems>
  <colFields count="1">
    <field x="-2"/>
  </colFields>
  <colItems count="3">
    <i>
      <x/>
    </i>
    <i i="1">
      <x v="1"/>
    </i>
    <i i="2">
      <x v="2"/>
    </i>
  </colItems>
  <dataFields count="3">
    <dataField name="میزان فروش" fld="8" baseField="1" baseItem="4" numFmtId="3"/>
    <dataField name=" سود از فروش" fld="10" baseField="1" baseItem="4" numFmtId="3"/>
    <dataField name=" سهم فروشنده" fld="11" baseField="1" baseItem="4"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سال" xr10:uid="{6A4DD416-DDC8-43D4-A00F-C545BB146FFB}" sourceName="سال">
  <pivotTables>
    <pivotTable tabId="5" name="PivotTable7"/>
    <pivotTable tabId="5" name="PivotTable9"/>
    <pivotTable tabId="5" name="PivotTable10"/>
  </pivotTables>
  <data>
    <tabular pivotCacheId="1273779989">
      <items count="6">
        <i x="0"/>
        <i x="1" s="1"/>
        <i x="2"/>
        <i x="3"/>
        <i x="4"/>
        <i x="5"/>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فصل" xr10:uid="{CDDA45BD-B1BD-4589-92A2-CD149D4FDC9A}" sourceName="فصل">
  <pivotTables>
    <pivotTable tabId="5" name="PivotTable11"/>
  </pivotTables>
  <data>
    <tabular pivotCacheId="1273779989">
      <items count="4">
        <i x="0" s="1"/>
        <i x="2"/>
        <i x="1"/>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سال 1" xr10:uid="{7FCEB90B-61BC-42BE-9135-A365BBED0A2F}" cache="Slicer_سال" caption="سال" columnCount="6" showCaption="0" style="Slicer Style 1 2" rowHeight="234950"/>
  <slicer name="فصل" xr10:uid="{F38F6D37-0871-44C5-A169-B860730DF1FD}" cache="Slicer_فصل" caption="فصل" style="Slicer Style 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CEA9682-6B53-4A78-811F-AA8829FD0409}" name="Table1" displayName="Table1" ref="A2:L432" totalsRowShown="0" headerRowDxfId="15" dataDxfId="14">
  <autoFilter ref="A2:L432" xr:uid="{8CEA9682-6B53-4A78-811F-AA8829FD0409}"/>
  <tableColumns count="12">
    <tableColumn id="1" xr3:uid="{C82031F9-2989-4803-95E2-4DF70E0F4313}" name="تاریخ" dataDxfId="13"/>
    <tableColumn id="10" xr3:uid="{27B2FC0E-1156-4431-9614-07D69BD6AEA7}" name="سال" dataDxfId="12">
      <calculatedColumnFormula>LEFT(Table1[[#This Row],[تاریخ]],4)</calculatedColumnFormula>
    </tableColumn>
    <tableColumn id="13" xr3:uid="{637C317E-48FA-4887-B180-B125ACAF4328}" name="فصل" dataDxfId="11"/>
    <tableColumn id="11" xr3:uid="{D262AAC6-2858-42C3-B08C-30E34CB95BAF}" name="ماه" dataDxfId="10"/>
    <tableColumn id="2" xr3:uid="{B06CA49C-7526-4151-B12F-BFB6B9961C90}" name="شهر" dataDxfId="9"/>
    <tableColumn id="3" xr3:uid="{27789907-4073-4722-93E3-CBE155567022}" name="نام مشتری" dataDxfId="8"/>
    <tableColumn id="4" xr3:uid="{DD4A0654-F0A4-4E1D-9F5B-4F34BE585B09}" name="کالا" dataDxfId="7"/>
    <tableColumn id="5" xr3:uid="{149951F3-465C-480F-9712-D96D6FB351BF}" name="تعداد" dataDxfId="6"/>
    <tableColumn id="6" xr3:uid="{9EE09852-0EF9-4F59-927E-4A49C749D30C}" name="قیمت" dataDxfId="5"/>
    <tableColumn id="7" xr3:uid="{271C2F91-FE91-4E5F-B3EA-FAB43A881B4A}" name="قیمت کل" dataDxfId="4">
      <calculatedColumnFormula>I3*H3</calculatedColumnFormula>
    </tableColumn>
    <tableColumn id="8" xr3:uid="{D4D075E5-5680-4F9B-86CD-3B1CC177734B}" name="سود از فروش" dataDxfId="3"/>
    <tableColumn id="9" xr3:uid="{37024936-A7D1-4E5B-8222-67382E84C929}" name="سهم فروشنده" dataDxfId="2"/>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339BF4-78F9-4C9F-8BE4-6D737C4FD404}">
  <dimension ref="A1"/>
  <sheetViews>
    <sheetView rightToLeft="1" workbookViewId="0">
      <selection activeCell="A14" sqref="A14"/>
    </sheetView>
  </sheetViews>
  <sheetFormatPr defaultRowHeight="14.4" x14ac:dyDescent="0.3"/>
  <cols>
    <col min="1" max="16384" width="8.88671875" style="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rightToLeft="1" tabSelected="1" topLeftCell="G1" zoomScale="227" zoomScaleNormal="227" workbookViewId="0">
      <selection activeCell="F31" sqref="F31"/>
    </sheetView>
  </sheetViews>
  <sheetFormatPr defaultRowHeight="14.4" x14ac:dyDescent="0.3"/>
  <cols>
    <col min="1" max="16384" width="8.88671875" style="1"/>
  </cols>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BA6126-2B13-42D6-8AF8-640C0F9EFAD8}">
  <dimension ref="A2:L432"/>
  <sheetViews>
    <sheetView rightToLeft="1" topLeftCell="A3" workbookViewId="0">
      <selection activeCell="K11" sqref="K11"/>
    </sheetView>
  </sheetViews>
  <sheetFormatPr defaultRowHeight="19.2" x14ac:dyDescent="0.3"/>
  <cols>
    <col min="1" max="7" width="8.88671875" style="2"/>
    <col min="8" max="9" width="9" style="3" bestFit="1" customWidth="1"/>
    <col min="10" max="10" width="12.77734375" style="3" bestFit="1" customWidth="1"/>
    <col min="11" max="11" width="14.6640625" style="3" customWidth="1"/>
    <col min="12" max="12" width="16" style="3" customWidth="1"/>
  </cols>
  <sheetData>
    <row r="2" spans="1:12" ht="21.6" x14ac:dyDescent="0.3">
      <c r="A2" s="4" t="s">
        <v>18</v>
      </c>
      <c r="B2" s="4" t="s">
        <v>19</v>
      </c>
      <c r="C2" s="4" t="s">
        <v>1</v>
      </c>
      <c r="D2" s="4" t="s">
        <v>0</v>
      </c>
      <c r="E2" s="4" t="s">
        <v>20</v>
      </c>
      <c r="F2" s="4" t="s">
        <v>21</v>
      </c>
      <c r="G2" s="4" t="s">
        <v>22</v>
      </c>
      <c r="H2" s="5" t="s">
        <v>23</v>
      </c>
      <c r="I2" s="5" t="s">
        <v>24</v>
      </c>
      <c r="J2" s="5" t="s">
        <v>25</v>
      </c>
      <c r="K2" s="5" t="s">
        <v>26</v>
      </c>
      <c r="L2" s="5" t="s">
        <v>27</v>
      </c>
    </row>
    <row r="3" spans="1:12" x14ac:dyDescent="0.3">
      <c r="A3" s="2" t="s">
        <v>28</v>
      </c>
      <c r="B3" s="2" t="str">
        <f>LEFT(Table1[[#This Row],[تاریخ]],4)</f>
        <v>1397</v>
      </c>
      <c r="C3" s="2" t="s">
        <v>3</v>
      </c>
      <c r="D3" s="2" t="s">
        <v>4</v>
      </c>
      <c r="E3" s="2" t="s">
        <v>29</v>
      </c>
      <c r="F3" s="2" t="s">
        <v>30</v>
      </c>
      <c r="G3" s="2" t="s">
        <v>31</v>
      </c>
      <c r="H3" s="3">
        <v>3850</v>
      </c>
      <c r="I3" s="3">
        <v>67400</v>
      </c>
      <c r="J3" s="3">
        <f>I3*H3</f>
        <v>259490000</v>
      </c>
      <c r="K3" s="3">
        <v>203543622</v>
      </c>
      <c r="L3" s="3">
        <v>63970424</v>
      </c>
    </row>
    <row r="4" spans="1:12" x14ac:dyDescent="0.3">
      <c r="A4" s="2" t="s">
        <v>32</v>
      </c>
      <c r="B4" s="2" t="str">
        <f>LEFT(Table1[[#This Row],[تاریخ]],4)</f>
        <v>1397</v>
      </c>
      <c r="C4" s="2" t="s">
        <v>3</v>
      </c>
      <c r="D4" s="2" t="s">
        <v>4</v>
      </c>
      <c r="E4" s="2" t="s">
        <v>496</v>
      </c>
      <c r="F4" s="2" t="s">
        <v>33</v>
      </c>
      <c r="G4" s="2" t="s">
        <v>34</v>
      </c>
      <c r="H4" s="3">
        <v>2730</v>
      </c>
      <c r="I4" s="3">
        <v>56642</v>
      </c>
      <c r="J4" s="3">
        <f t="shared" ref="J4:J67" si="0">I4*H4</f>
        <v>154632660</v>
      </c>
      <c r="K4" s="3">
        <v>88147857</v>
      </c>
      <c r="L4" s="3">
        <v>43541619</v>
      </c>
    </row>
    <row r="5" spans="1:12" x14ac:dyDescent="0.3">
      <c r="A5" s="2" t="s">
        <v>35</v>
      </c>
      <c r="B5" s="2" t="str">
        <f>LEFT(Table1[[#This Row],[تاریخ]],4)</f>
        <v>1397</v>
      </c>
      <c r="C5" s="2" t="s">
        <v>3</v>
      </c>
      <c r="D5" s="2" t="s">
        <v>4</v>
      </c>
      <c r="E5" s="2" t="s">
        <v>36</v>
      </c>
      <c r="F5" s="2" t="s">
        <v>37</v>
      </c>
      <c r="G5" s="2" t="s">
        <v>38</v>
      </c>
      <c r="H5" s="3">
        <v>3395</v>
      </c>
      <c r="I5" s="3">
        <v>117978</v>
      </c>
      <c r="J5" s="3">
        <f t="shared" si="0"/>
        <v>400535310</v>
      </c>
      <c r="K5" s="3">
        <v>319521755</v>
      </c>
      <c r="L5" s="3">
        <v>56916473</v>
      </c>
    </row>
    <row r="6" spans="1:12" x14ac:dyDescent="0.3">
      <c r="A6" s="2" t="s">
        <v>39</v>
      </c>
      <c r="B6" s="2" t="str">
        <f>LEFT(Table1[[#This Row],[تاریخ]],4)</f>
        <v>1397</v>
      </c>
      <c r="C6" s="2" t="s">
        <v>3</v>
      </c>
      <c r="D6" s="2" t="s">
        <v>4</v>
      </c>
      <c r="E6" s="2" t="s">
        <v>40</v>
      </c>
      <c r="F6" s="2" t="s">
        <v>41</v>
      </c>
      <c r="G6" s="2" t="s">
        <v>42</v>
      </c>
      <c r="H6" s="3">
        <v>2625</v>
      </c>
      <c r="I6" s="3">
        <v>143846</v>
      </c>
      <c r="J6" s="3">
        <f t="shared" si="0"/>
        <v>377595750</v>
      </c>
      <c r="K6" s="3">
        <v>272013182</v>
      </c>
      <c r="L6" s="3">
        <v>81405129</v>
      </c>
    </row>
    <row r="7" spans="1:12" x14ac:dyDescent="0.3">
      <c r="A7" s="2" t="s">
        <v>43</v>
      </c>
      <c r="B7" s="2" t="str">
        <f>LEFT(Table1[[#This Row],[تاریخ]],4)</f>
        <v>1397</v>
      </c>
      <c r="C7" s="2" t="s">
        <v>3</v>
      </c>
      <c r="D7" s="2" t="s">
        <v>5</v>
      </c>
      <c r="E7" s="2" t="s">
        <v>44</v>
      </c>
      <c r="F7" s="2" t="s">
        <v>45</v>
      </c>
      <c r="G7" s="2" t="s">
        <v>46</v>
      </c>
      <c r="H7" s="3">
        <v>3780</v>
      </c>
      <c r="I7" s="3">
        <v>142465</v>
      </c>
      <c r="J7" s="3">
        <f t="shared" si="0"/>
        <v>538517700</v>
      </c>
      <c r="K7" s="3">
        <v>384515021</v>
      </c>
      <c r="L7" s="3">
        <v>11844040</v>
      </c>
    </row>
    <row r="8" spans="1:12" x14ac:dyDescent="0.3">
      <c r="A8" s="2" t="s">
        <v>47</v>
      </c>
      <c r="B8" s="2" t="str">
        <f>LEFT(Table1[[#This Row],[تاریخ]],4)</f>
        <v>1397</v>
      </c>
      <c r="C8" s="2" t="s">
        <v>3</v>
      </c>
      <c r="D8" s="2" t="s">
        <v>5</v>
      </c>
      <c r="E8" s="2" t="s">
        <v>48</v>
      </c>
      <c r="F8" s="2" t="s">
        <v>49</v>
      </c>
      <c r="G8" s="2" t="s">
        <v>50</v>
      </c>
      <c r="H8" s="3">
        <v>3850</v>
      </c>
      <c r="I8" s="3">
        <v>67936</v>
      </c>
      <c r="J8" s="3">
        <f t="shared" si="0"/>
        <v>261553600</v>
      </c>
      <c r="K8" s="3">
        <v>171940858</v>
      </c>
      <c r="L8" s="3">
        <v>50656692</v>
      </c>
    </row>
    <row r="9" spans="1:12" x14ac:dyDescent="0.3">
      <c r="A9" s="2" t="s">
        <v>51</v>
      </c>
      <c r="B9" s="2" t="str">
        <f>LEFT(Table1[[#This Row],[تاریخ]],4)</f>
        <v>1397</v>
      </c>
      <c r="C9" s="2" t="s">
        <v>3</v>
      </c>
      <c r="D9" s="2" t="s">
        <v>5</v>
      </c>
      <c r="E9" s="2" t="s">
        <v>52</v>
      </c>
      <c r="F9" s="2" t="s">
        <v>53</v>
      </c>
      <c r="G9" s="2" t="s">
        <v>31</v>
      </c>
      <c r="H9" s="3">
        <v>3640</v>
      </c>
      <c r="I9" s="3">
        <v>128789</v>
      </c>
      <c r="J9" s="3">
        <f t="shared" si="0"/>
        <v>468791960</v>
      </c>
      <c r="K9" s="3">
        <v>334840090</v>
      </c>
      <c r="L9" s="3">
        <v>55364116</v>
      </c>
    </row>
    <row r="10" spans="1:12" x14ac:dyDescent="0.3">
      <c r="A10" s="2" t="s">
        <v>54</v>
      </c>
      <c r="B10" s="2" t="str">
        <f>LEFT(Table1[[#This Row],[تاریخ]],4)</f>
        <v>1397</v>
      </c>
      <c r="C10" s="2" t="s">
        <v>3</v>
      </c>
      <c r="D10" s="2" t="s">
        <v>5</v>
      </c>
      <c r="E10" s="2" t="s">
        <v>55</v>
      </c>
      <c r="F10" s="2" t="s">
        <v>56</v>
      </c>
      <c r="G10" s="2" t="s">
        <v>34</v>
      </c>
      <c r="H10" s="3">
        <v>3045</v>
      </c>
      <c r="I10" s="3">
        <v>119636</v>
      </c>
      <c r="J10" s="3">
        <f t="shared" si="0"/>
        <v>364291620</v>
      </c>
      <c r="K10" s="3">
        <v>299090806</v>
      </c>
      <c r="L10" s="3">
        <v>80449658</v>
      </c>
    </row>
    <row r="11" spans="1:12" x14ac:dyDescent="0.3">
      <c r="A11" s="2" t="s">
        <v>57</v>
      </c>
      <c r="B11" s="2" t="str">
        <f>LEFT(Table1[[#This Row],[تاریخ]],4)</f>
        <v>1397</v>
      </c>
      <c r="C11" s="2" t="s">
        <v>3</v>
      </c>
      <c r="D11" s="2" t="s">
        <v>5</v>
      </c>
      <c r="E11" s="2" t="s">
        <v>58</v>
      </c>
      <c r="F11" s="2" t="s">
        <v>59</v>
      </c>
      <c r="G11" s="2" t="s">
        <v>38</v>
      </c>
      <c r="H11" s="3">
        <v>1855</v>
      </c>
      <c r="I11" s="3">
        <v>111303</v>
      </c>
      <c r="J11" s="3">
        <f t="shared" si="0"/>
        <v>206467065</v>
      </c>
      <c r="K11" s="3">
        <v>84326451</v>
      </c>
      <c r="L11" s="3">
        <v>15382047</v>
      </c>
    </row>
    <row r="12" spans="1:12" x14ac:dyDescent="0.3">
      <c r="A12" s="2" t="s">
        <v>60</v>
      </c>
      <c r="B12" s="2" t="str">
        <f>LEFT(Table1[[#This Row],[تاریخ]],4)</f>
        <v>1397</v>
      </c>
      <c r="C12" s="2" t="s">
        <v>3</v>
      </c>
      <c r="D12" s="2" t="s">
        <v>5</v>
      </c>
      <c r="E12" s="2" t="s">
        <v>61</v>
      </c>
      <c r="F12" s="2" t="s">
        <v>62</v>
      </c>
      <c r="G12" s="2" t="s">
        <v>42</v>
      </c>
      <c r="H12" s="3">
        <v>2065</v>
      </c>
      <c r="I12" s="3">
        <v>125385</v>
      </c>
      <c r="J12" s="3">
        <f t="shared" si="0"/>
        <v>258920025</v>
      </c>
      <c r="K12" s="3">
        <v>191900882</v>
      </c>
      <c r="L12" s="3">
        <v>59597910</v>
      </c>
    </row>
    <row r="13" spans="1:12" x14ac:dyDescent="0.3">
      <c r="A13" s="2" t="s">
        <v>63</v>
      </c>
      <c r="B13" s="2" t="str">
        <f>LEFT(Table1[[#This Row],[تاریخ]],4)</f>
        <v>1397</v>
      </c>
      <c r="C13" s="2" t="s">
        <v>7</v>
      </c>
      <c r="D13" s="2" t="s">
        <v>6</v>
      </c>
      <c r="E13" s="2" t="s">
        <v>64</v>
      </c>
      <c r="F13" s="2" t="s">
        <v>65</v>
      </c>
      <c r="G13" s="2" t="s">
        <v>46</v>
      </c>
      <c r="H13" s="3">
        <v>2870</v>
      </c>
      <c r="I13" s="3">
        <v>57442</v>
      </c>
      <c r="J13" s="3">
        <f t="shared" si="0"/>
        <v>164858540</v>
      </c>
      <c r="K13" s="3">
        <v>8732309</v>
      </c>
      <c r="L13" s="3">
        <v>19966509</v>
      </c>
    </row>
    <row r="14" spans="1:12" x14ac:dyDescent="0.3">
      <c r="A14" s="2" t="s">
        <v>66</v>
      </c>
      <c r="B14" s="2" t="str">
        <f>LEFT(Table1[[#This Row],[تاریخ]],4)</f>
        <v>1397</v>
      </c>
      <c r="C14" s="2" t="s">
        <v>7</v>
      </c>
      <c r="D14" s="2" t="s">
        <v>6</v>
      </c>
      <c r="E14" s="2" t="s">
        <v>29</v>
      </c>
      <c r="F14" s="2" t="s">
        <v>67</v>
      </c>
      <c r="G14" s="2" t="s">
        <v>46</v>
      </c>
      <c r="H14" s="3">
        <v>2170</v>
      </c>
      <c r="I14" s="3">
        <v>74529</v>
      </c>
      <c r="J14" s="3">
        <f t="shared" si="0"/>
        <v>161727930</v>
      </c>
      <c r="K14" s="3">
        <v>13805262</v>
      </c>
      <c r="L14" s="3">
        <v>38837744</v>
      </c>
    </row>
    <row r="15" spans="1:12" x14ac:dyDescent="0.3">
      <c r="A15" s="2" t="s">
        <v>68</v>
      </c>
      <c r="B15" s="2" t="str">
        <f>LEFT(Table1[[#This Row],[تاریخ]],4)</f>
        <v>1397</v>
      </c>
      <c r="C15" s="2" t="s">
        <v>7</v>
      </c>
      <c r="D15" s="2" t="s">
        <v>6</v>
      </c>
      <c r="E15" s="2" t="s">
        <v>69</v>
      </c>
      <c r="F15" s="2" t="s">
        <v>70</v>
      </c>
      <c r="G15" s="2" t="s">
        <v>50</v>
      </c>
      <c r="H15" s="3">
        <v>3465</v>
      </c>
      <c r="I15" s="3">
        <v>73742</v>
      </c>
      <c r="J15" s="3">
        <f t="shared" si="0"/>
        <v>255516030</v>
      </c>
      <c r="K15" s="3">
        <v>27487289</v>
      </c>
      <c r="L15" s="3">
        <v>28961156</v>
      </c>
    </row>
    <row r="16" spans="1:12" x14ac:dyDescent="0.3">
      <c r="A16" s="2" t="s">
        <v>71</v>
      </c>
      <c r="B16" s="2" t="str">
        <f>LEFT(Table1[[#This Row],[تاریخ]],4)</f>
        <v>1397</v>
      </c>
      <c r="C16" s="2" t="s">
        <v>7</v>
      </c>
      <c r="D16" s="2" t="s">
        <v>6</v>
      </c>
      <c r="E16" s="2" t="s">
        <v>72</v>
      </c>
      <c r="F16" s="2" t="s">
        <v>73</v>
      </c>
      <c r="G16" s="2" t="s">
        <v>31</v>
      </c>
      <c r="H16" s="3">
        <v>1855</v>
      </c>
      <c r="I16" s="3">
        <v>57395</v>
      </c>
      <c r="J16" s="3">
        <f t="shared" si="0"/>
        <v>106467725</v>
      </c>
      <c r="K16" s="3">
        <v>53867317</v>
      </c>
      <c r="L16" s="3">
        <v>30052727</v>
      </c>
    </row>
    <row r="17" spans="1:12" x14ac:dyDescent="0.3">
      <c r="A17" s="2" t="s">
        <v>74</v>
      </c>
      <c r="B17" s="2" t="str">
        <f>LEFT(Table1[[#This Row],[تاریخ]],4)</f>
        <v>1397</v>
      </c>
      <c r="C17" s="2" t="s">
        <v>7</v>
      </c>
      <c r="D17" s="2" t="s">
        <v>6</v>
      </c>
      <c r="E17" s="2" t="s">
        <v>75</v>
      </c>
      <c r="F17" s="2" t="s">
        <v>76</v>
      </c>
      <c r="G17" s="2" t="s">
        <v>34</v>
      </c>
      <c r="H17" s="3">
        <v>3675</v>
      </c>
      <c r="I17" s="3">
        <v>55887</v>
      </c>
      <c r="J17" s="3">
        <f t="shared" si="0"/>
        <v>205384725</v>
      </c>
      <c r="K17" s="3">
        <v>129655771</v>
      </c>
      <c r="L17" s="3">
        <v>61375040</v>
      </c>
    </row>
    <row r="18" spans="1:12" x14ac:dyDescent="0.3">
      <c r="A18" s="2" t="s">
        <v>77</v>
      </c>
      <c r="B18" s="2" t="str">
        <f>LEFT(Table1[[#This Row],[تاریخ]],4)</f>
        <v>1397</v>
      </c>
      <c r="C18" s="2" t="s">
        <v>7</v>
      </c>
      <c r="D18" s="2" t="s">
        <v>6</v>
      </c>
      <c r="E18" s="2" t="s">
        <v>44</v>
      </c>
      <c r="F18" s="2" t="s">
        <v>30</v>
      </c>
      <c r="G18" s="2" t="s">
        <v>38</v>
      </c>
      <c r="H18" s="3">
        <v>2660</v>
      </c>
      <c r="I18" s="3">
        <v>113889</v>
      </c>
      <c r="J18" s="3">
        <f t="shared" si="0"/>
        <v>302944740</v>
      </c>
      <c r="K18" s="3">
        <v>3944460</v>
      </c>
      <c r="L18" s="3">
        <v>35265341</v>
      </c>
    </row>
    <row r="19" spans="1:12" x14ac:dyDescent="0.3">
      <c r="A19" s="2" t="s">
        <v>78</v>
      </c>
      <c r="B19" s="2" t="str">
        <f>LEFT(Table1[[#This Row],[تاریخ]],4)</f>
        <v>1397</v>
      </c>
      <c r="C19" s="2" t="s">
        <v>7</v>
      </c>
      <c r="D19" s="2" t="s">
        <v>8</v>
      </c>
      <c r="E19" s="2" t="s">
        <v>79</v>
      </c>
      <c r="F19" s="2" t="s">
        <v>33</v>
      </c>
      <c r="G19" s="2" t="s">
        <v>42</v>
      </c>
      <c r="H19" s="3">
        <v>2940</v>
      </c>
      <c r="I19" s="3">
        <v>76606</v>
      </c>
      <c r="J19" s="3">
        <f t="shared" si="0"/>
        <v>225221640</v>
      </c>
      <c r="K19" s="3">
        <v>212084580</v>
      </c>
      <c r="L19" s="3">
        <v>58347214</v>
      </c>
    </row>
    <row r="20" spans="1:12" x14ac:dyDescent="0.3">
      <c r="A20" s="2" t="s">
        <v>80</v>
      </c>
      <c r="B20" s="2" t="str">
        <f>LEFT(Table1[[#This Row],[تاریخ]],4)</f>
        <v>1397</v>
      </c>
      <c r="C20" s="2" t="s">
        <v>7</v>
      </c>
      <c r="D20" s="2" t="s">
        <v>8</v>
      </c>
      <c r="E20" s="2" t="s">
        <v>81</v>
      </c>
      <c r="F20" s="2" t="s">
        <v>37</v>
      </c>
      <c r="G20" s="2" t="s">
        <v>46</v>
      </c>
      <c r="H20" s="3">
        <v>2030</v>
      </c>
      <c r="I20" s="3">
        <v>96529</v>
      </c>
      <c r="J20" s="3">
        <f t="shared" si="0"/>
        <v>195953870</v>
      </c>
      <c r="K20" s="3">
        <v>81906736</v>
      </c>
      <c r="L20" s="3">
        <v>13273120</v>
      </c>
    </row>
    <row r="21" spans="1:12" x14ac:dyDescent="0.3">
      <c r="A21" s="2" t="s">
        <v>82</v>
      </c>
      <c r="B21" s="2" t="str">
        <f>LEFT(Table1[[#This Row],[تاریخ]],4)</f>
        <v>1397</v>
      </c>
      <c r="C21" s="2" t="s">
        <v>7</v>
      </c>
      <c r="D21" s="2" t="s">
        <v>8</v>
      </c>
      <c r="E21" s="2" t="s">
        <v>83</v>
      </c>
      <c r="F21" s="2" t="s">
        <v>41</v>
      </c>
      <c r="G21" s="2" t="s">
        <v>46</v>
      </c>
      <c r="H21" s="3">
        <v>2800</v>
      </c>
      <c r="I21" s="3">
        <v>107426</v>
      </c>
      <c r="J21" s="3">
        <f t="shared" si="0"/>
        <v>300792800</v>
      </c>
      <c r="K21" s="3">
        <v>139915237</v>
      </c>
      <c r="L21" s="3">
        <v>90116633</v>
      </c>
    </row>
    <row r="22" spans="1:12" x14ac:dyDescent="0.3">
      <c r="A22" s="2" t="s">
        <v>84</v>
      </c>
      <c r="B22" s="2" t="str">
        <f>LEFT(Table1[[#This Row],[تاریخ]],4)</f>
        <v>1397</v>
      </c>
      <c r="C22" s="2" t="s">
        <v>7</v>
      </c>
      <c r="D22" s="2" t="s">
        <v>8</v>
      </c>
      <c r="E22" s="2" t="s">
        <v>85</v>
      </c>
      <c r="F22" s="2" t="s">
        <v>45</v>
      </c>
      <c r="G22" s="2" t="s">
        <v>50</v>
      </c>
      <c r="H22" s="3">
        <v>2450</v>
      </c>
      <c r="I22" s="3">
        <v>61868</v>
      </c>
      <c r="J22" s="3">
        <f t="shared" si="0"/>
        <v>151576600</v>
      </c>
      <c r="K22" s="3">
        <v>110261284</v>
      </c>
      <c r="L22" s="3">
        <v>17516028</v>
      </c>
    </row>
    <row r="23" spans="1:12" x14ac:dyDescent="0.3">
      <c r="A23" s="2" t="s">
        <v>86</v>
      </c>
      <c r="B23" s="2" t="str">
        <f>LEFT(Table1[[#This Row],[تاریخ]],4)</f>
        <v>1397</v>
      </c>
      <c r="C23" s="2" t="s">
        <v>7</v>
      </c>
      <c r="D23" s="2" t="s">
        <v>8</v>
      </c>
      <c r="E23" s="2" t="s">
        <v>61</v>
      </c>
      <c r="F23" s="2" t="s">
        <v>49</v>
      </c>
      <c r="G23" s="2" t="s">
        <v>31</v>
      </c>
      <c r="H23" s="3">
        <v>3185</v>
      </c>
      <c r="I23" s="3">
        <v>105623</v>
      </c>
      <c r="J23" s="3">
        <f t="shared" si="0"/>
        <v>336409255</v>
      </c>
      <c r="K23" s="3">
        <v>205145864</v>
      </c>
      <c r="L23" s="3">
        <v>42704084</v>
      </c>
    </row>
    <row r="24" spans="1:12" x14ac:dyDescent="0.3">
      <c r="A24" s="2" t="s">
        <v>87</v>
      </c>
      <c r="B24" s="2" t="str">
        <f>LEFT(Table1[[#This Row],[تاریخ]],4)</f>
        <v>1397</v>
      </c>
      <c r="C24" s="2" t="s">
        <v>7</v>
      </c>
      <c r="D24" s="2" t="s">
        <v>8</v>
      </c>
      <c r="E24" s="2" t="s">
        <v>64</v>
      </c>
      <c r="F24" s="2" t="s">
        <v>53</v>
      </c>
      <c r="G24" s="2" t="s">
        <v>34</v>
      </c>
      <c r="H24" s="3">
        <v>2695</v>
      </c>
      <c r="I24" s="3">
        <v>144619</v>
      </c>
      <c r="J24" s="3">
        <f t="shared" si="0"/>
        <v>389748205</v>
      </c>
      <c r="K24" s="3">
        <v>209778260</v>
      </c>
      <c r="L24" s="3">
        <v>44876600</v>
      </c>
    </row>
    <row r="25" spans="1:12" x14ac:dyDescent="0.3">
      <c r="A25" s="2" t="s">
        <v>88</v>
      </c>
      <c r="B25" s="2" t="str">
        <f>LEFT(Table1[[#This Row],[تاریخ]],4)</f>
        <v>1397</v>
      </c>
      <c r="C25" s="2" t="s">
        <v>7</v>
      </c>
      <c r="D25" s="2" t="s">
        <v>9</v>
      </c>
      <c r="E25" s="2" t="s">
        <v>29</v>
      </c>
      <c r="F25" s="2" t="s">
        <v>56</v>
      </c>
      <c r="G25" s="2" t="s">
        <v>38</v>
      </c>
      <c r="H25" s="3">
        <v>3465</v>
      </c>
      <c r="I25" s="3">
        <v>130945</v>
      </c>
      <c r="J25" s="3">
        <f t="shared" si="0"/>
        <v>453724425</v>
      </c>
      <c r="K25" s="3">
        <v>220549950</v>
      </c>
      <c r="L25" s="3">
        <v>86959409</v>
      </c>
    </row>
    <row r="26" spans="1:12" x14ac:dyDescent="0.3">
      <c r="A26" s="2" t="s">
        <v>89</v>
      </c>
      <c r="B26" s="2" t="str">
        <f>LEFT(Table1[[#This Row],[تاریخ]],4)</f>
        <v>1397</v>
      </c>
      <c r="C26" s="2" t="s">
        <v>7</v>
      </c>
      <c r="D26" s="2" t="s">
        <v>9</v>
      </c>
      <c r="E26" s="2" t="s">
        <v>69</v>
      </c>
      <c r="F26" s="2" t="s">
        <v>59</v>
      </c>
      <c r="G26" s="2" t="s">
        <v>42</v>
      </c>
      <c r="H26" s="3">
        <v>1995</v>
      </c>
      <c r="I26" s="3">
        <v>149533</v>
      </c>
      <c r="J26" s="3">
        <f t="shared" si="0"/>
        <v>298318335</v>
      </c>
      <c r="K26" s="3">
        <v>174144780</v>
      </c>
      <c r="L26" s="3">
        <v>56085973</v>
      </c>
    </row>
    <row r="27" spans="1:12" x14ac:dyDescent="0.3">
      <c r="A27" s="2" t="s">
        <v>90</v>
      </c>
      <c r="B27" s="2" t="str">
        <f>LEFT(Table1[[#This Row],[تاریخ]],4)</f>
        <v>1397</v>
      </c>
      <c r="C27" s="2" t="s">
        <v>7</v>
      </c>
      <c r="D27" s="2" t="s">
        <v>9</v>
      </c>
      <c r="E27" s="2" t="s">
        <v>72</v>
      </c>
      <c r="F27" s="2" t="s">
        <v>62</v>
      </c>
      <c r="G27" s="2" t="s">
        <v>46</v>
      </c>
      <c r="H27" s="3">
        <v>2450</v>
      </c>
      <c r="I27" s="3">
        <v>69863</v>
      </c>
      <c r="J27" s="3">
        <f t="shared" si="0"/>
        <v>171164350</v>
      </c>
      <c r="K27" s="3">
        <v>14116938</v>
      </c>
      <c r="L27" s="3">
        <v>49156001</v>
      </c>
    </row>
    <row r="28" spans="1:12" x14ac:dyDescent="0.3">
      <c r="A28" s="2" t="s">
        <v>91</v>
      </c>
      <c r="B28" s="2" t="str">
        <f>LEFT(Table1[[#This Row],[تاریخ]],4)</f>
        <v>1397</v>
      </c>
      <c r="C28" s="2" t="s">
        <v>7</v>
      </c>
      <c r="D28" s="2" t="s">
        <v>9</v>
      </c>
      <c r="E28" s="2" t="s">
        <v>75</v>
      </c>
      <c r="F28" s="2" t="s">
        <v>65</v>
      </c>
      <c r="G28" s="2" t="s">
        <v>46</v>
      </c>
      <c r="H28" s="3">
        <v>2555</v>
      </c>
      <c r="I28" s="3">
        <v>140265</v>
      </c>
      <c r="J28" s="3">
        <f t="shared" si="0"/>
        <v>358377075</v>
      </c>
      <c r="K28" s="3">
        <v>292258338</v>
      </c>
      <c r="L28" s="3">
        <v>65152408</v>
      </c>
    </row>
    <row r="29" spans="1:12" x14ac:dyDescent="0.3">
      <c r="A29" s="2" t="s">
        <v>92</v>
      </c>
      <c r="B29" s="2" t="str">
        <f>LEFT(Table1[[#This Row],[تاریخ]],4)</f>
        <v>1397</v>
      </c>
      <c r="C29" s="2" t="s">
        <v>7</v>
      </c>
      <c r="D29" s="2" t="s">
        <v>9</v>
      </c>
      <c r="E29" s="2" t="s">
        <v>44</v>
      </c>
      <c r="F29" s="2" t="s">
        <v>67</v>
      </c>
      <c r="G29" s="2" t="s">
        <v>50</v>
      </c>
      <c r="H29" s="3">
        <v>2695</v>
      </c>
      <c r="I29" s="3">
        <v>132596</v>
      </c>
      <c r="J29" s="3">
        <f t="shared" si="0"/>
        <v>357346220</v>
      </c>
      <c r="K29" s="3">
        <v>34740397</v>
      </c>
      <c r="L29" s="3">
        <v>35957005</v>
      </c>
    </row>
    <row r="30" spans="1:12" x14ac:dyDescent="0.3">
      <c r="A30" s="2" t="s">
        <v>93</v>
      </c>
      <c r="B30" s="2" t="str">
        <f>LEFT(Table1[[#This Row],[تاریخ]],4)</f>
        <v>1397</v>
      </c>
      <c r="C30" s="2" t="s">
        <v>7</v>
      </c>
      <c r="D30" s="2" t="s">
        <v>9</v>
      </c>
      <c r="E30" s="2" t="s">
        <v>79</v>
      </c>
      <c r="F30" s="2" t="s">
        <v>70</v>
      </c>
      <c r="G30" s="2" t="s">
        <v>31</v>
      </c>
      <c r="H30" s="3">
        <v>2205</v>
      </c>
      <c r="I30" s="3">
        <v>75122</v>
      </c>
      <c r="J30" s="3">
        <f t="shared" si="0"/>
        <v>165644010</v>
      </c>
      <c r="K30" s="3">
        <v>91516267</v>
      </c>
      <c r="L30" s="3">
        <v>35760173</v>
      </c>
    </row>
    <row r="31" spans="1:12" x14ac:dyDescent="0.3">
      <c r="A31" s="2" t="s">
        <v>94</v>
      </c>
      <c r="B31" s="2" t="str">
        <f>LEFT(Table1[[#This Row],[تاریخ]],4)</f>
        <v>1397</v>
      </c>
      <c r="C31" s="2" t="s">
        <v>11</v>
      </c>
      <c r="D31" s="2" t="s">
        <v>10</v>
      </c>
      <c r="E31" s="2" t="s">
        <v>81</v>
      </c>
      <c r="F31" s="2" t="s">
        <v>73</v>
      </c>
      <c r="G31" s="2" t="s">
        <v>34</v>
      </c>
      <c r="H31" s="3">
        <v>2240</v>
      </c>
      <c r="I31" s="3">
        <v>127550</v>
      </c>
      <c r="J31" s="3">
        <f t="shared" si="0"/>
        <v>285712000</v>
      </c>
      <c r="K31" s="3">
        <v>136173540</v>
      </c>
      <c r="L31" s="3">
        <v>30926325</v>
      </c>
    </row>
    <row r="32" spans="1:12" x14ac:dyDescent="0.3">
      <c r="A32" s="2" t="s">
        <v>95</v>
      </c>
      <c r="B32" s="2" t="str">
        <f>LEFT(Table1[[#This Row],[تاریخ]],4)</f>
        <v>1397</v>
      </c>
      <c r="C32" s="2" t="s">
        <v>11</v>
      </c>
      <c r="D32" s="2" t="s">
        <v>10</v>
      </c>
      <c r="E32" s="2" t="s">
        <v>83</v>
      </c>
      <c r="F32" s="2" t="s">
        <v>76</v>
      </c>
      <c r="G32" s="2" t="s">
        <v>38</v>
      </c>
      <c r="H32" s="3">
        <v>3185</v>
      </c>
      <c r="I32" s="3">
        <v>62601</v>
      </c>
      <c r="J32" s="3">
        <f t="shared" si="0"/>
        <v>199384185</v>
      </c>
      <c r="K32" s="3">
        <v>132834658</v>
      </c>
      <c r="L32" s="3">
        <v>11880258</v>
      </c>
    </row>
    <row r="33" spans="1:12" x14ac:dyDescent="0.3">
      <c r="A33" s="2" t="s">
        <v>96</v>
      </c>
      <c r="B33" s="2" t="str">
        <f>LEFT(Table1[[#This Row],[تاریخ]],4)</f>
        <v>1397</v>
      </c>
      <c r="C33" s="2" t="s">
        <v>11</v>
      </c>
      <c r="D33" s="2" t="s">
        <v>10</v>
      </c>
      <c r="E33" s="2" t="s">
        <v>85</v>
      </c>
      <c r="F33" s="2" t="s">
        <v>30</v>
      </c>
      <c r="G33" s="2" t="s">
        <v>42</v>
      </c>
      <c r="H33" s="3">
        <v>3290</v>
      </c>
      <c r="I33" s="3">
        <v>71666</v>
      </c>
      <c r="J33" s="3">
        <f t="shared" si="0"/>
        <v>235781140</v>
      </c>
      <c r="K33" s="3">
        <v>145192129</v>
      </c>
      <c r="L33" s="3">
        <v>52947014</v>
      </c>
    </row>
    <row r="34" spans="1:12" x14ac:dyDescent="0.3">
      <c r="A34" s="2" t="s">
        <v>97</v>
      </c>
      <c r="B34" s="2" t="str">
        <f>LEFT(Table1[[#This Row],[تاریخ]],4)</f>
        <v>1397</v>
      </c>
      <c r="C34" s="2" t="s">
        <v>11</v>
      </c>
      <c r="D34" s="2" t="s">
        <v>10</v>
      </c>
      <c r="E34" s="2" t="s">
        <v>61</v>
      </c>
      <c r="F34" s="2" t="s">
        <v>33</v>
      </c>
      <c r="G34" s="2" t="s">
        <v>46</v>
      </c>
      <c r="H34" s="3">
        <v>3710</v>
      </c>
      <c r="I34" s="3">
        <v>76637</v>
      </c>
      <c r="J34" s="3">
        <f t="shared" si="0"/>
        <v>284323270</v>
      </c>
      <c r="K34" s="3">
        <v>51319049</v>
      </c>
      <c r="L34" s="3">
        <v>30407600</v>
      </c>
    </row>
    <row r="35" spans="1:12" x14ac:dyDescent="0.3">
      <c r="A35" s="2" t="s">
        <v>98</v>
      </c>
      <c r="B35" s="2" t="str">
        <f>LEFT(Table1[[#This Row],[تاریخ]],4)</f>
        <v>1397</v>
      </c>
      <c r="C35" s="2" t="s">
        <v>11</v>
      </c>
      <c r="D35" s="2" t="s">
        <v>10</v>
      </c>
      <c r="E35" s="2" t="s">
        <v>64</v>
      </c>
      <c r="F35" s="2" t="s">
        <v>37</v>
      </c>
      <c r="G35" s="2" t="s">
        <v>46</v>
      </c>
      <c r="H35" s="3">
        <v>2135</v>
      </c>
      <c r="I35" s="3">
        <v>110578</v>
      </c>
      <c r="J35" s="3">
        <f t="shared" si="0"/>
        <v>236084030</v>
      </c>
      <c r="K35" s="3">
        <v>214837813</v>
      </c>
      <c r="L35" s="3">
        <v>22555934</v>
      </c>
    </row>
    <row r="36" spans="1:12" x14ac:dyDescent="0.3">
      <c r="A36" s="2" t="s">
        <v>99</v>
      </c>
      <c r="B36" s="2" t="str">
        <f>LEFT(Table1[[#This Row],[تاریخ]],4)</f>
        <v>1397</v>
      </c>
      <c r="C36" s="2" t="s">
        <v>11</v>
      </c>
      <c r="D36" s="2" t="s">
        <v>10</v>
      </c>
      <c r="E36" s="2" t="s">
        <v>29</v>
      </c>
      <c r="F36" s="2" t="s">
        <v>41</v>
      </c>
      <c r="G36" s="2" t="s">
        <v>50</v>
      </c>
      <c r="H36" s="3">
        <v>2520</v>
      </c>
      <c r="I36" s="3">
        <v>74567</v>
      </c>
      <c r="J36" s="3">
        <f t="shared" si="0"/>
        <v>187908840</v>
      </c>
      <c r="K36" s="3">
        <v>37934351</v>
      </c>
      <c r="L36" s="3">
        <v>17664037</v>
      </c>
    </row>
    <row r="37" spans="1:12" x14ac:dyDescent="0.3">
      <c r="A37" s="2" t="s">
        <v>100</v>
      </c>
      <c r="B37" s="2" t="str">
        <f>LEFT(Table1[[#This Row],[تاریخ]],4)</f>
        <v>1397</v>
      </c>
      <c r="C37" s="2" t="s">
        <v>11</v>
      </c>
      <c r="D37" s="2" t="s">
        <v>12</v>
      </c>
      <c r="E37" s="2" t="s">
        <v>69</v>
      </c>
      <c r="F37" s="2" t="s">
        <v>45</v>
      </c>
      <c r="G37" s="2" t="s">
        <v>31</v>
      </c>
      <c r="H37" s="3">
        <v>2100</v>
      </c>
      <c r="I37" s="3">
        <v>74694</v>
      </c>
      <c r="J37" s="3">
        <f t="shared" si="0"/>
        <v>156857400</v>
      </c>
      <c r="K37" s="3">
        <v>57244305</v>
      </c>
      <c r="L37" s="3">
        <v>8946434</v>
      </c>
    </row>
    <row r="38" spans="1:12" x14ac:dyDescent="0.3">
      <c r="A38" s="2" t="s">
        <v>101</v>
      </c>
      <c r="B38" s="2" t="str">
        <f>LEFT(Table1[[#This Row],[تاریخ]],4)</f>
        <v>1397</v>
      </c>
      <c r="C38" s="2" t="s">
        <v>11</v>
      </c>
      <c r="D38" s="2" t="s">
        <v>12</v>
      </c>
      <c r="E38" s="2" t="s">
        <v>72</v>
      </c>
      <c r="F38" s="2" t="s">
        <v>49</v>
      </c>
      <c r="G38" s="2" t="s">
        <v>34</v>
      </c>
      <c r="H38" s="3">
        <v>2345</v>
      </c>
      <c r="I38" s="3">
        <v>84205</v>
      </c>
      <c r="J38" s="3">
        <f t="shared" si="0"/>
        <v>197460725</v>
      </c>
      <c r="K38" s="3">
        <v>134224894</v>
      </c>
      <c r="L38" s="3">
        <v>27666204</v>
      </c>
    </row>
    <row r="39" spans="1:12" x14ac:dyDescent="0.3">
      <c r="A39" s="2" t="s">
        <v>102</v>
      </c>
      <c r="B39" s="2" t="str">
        <f>LEFT(Table1[[#This Row],[تاریخ]],4)</f>
        <v>1397</v>
      </c>
      <c r="C39" s="2" t="s">
        <v>11</v>
      </c>
      <c r="D39" s="2" t="s">
        <v>12</v>
      </c>
      <c r="E39" s="2" t="s">
        <v>75</v>
      </c>
      <c r="F39" s="2" t="s">
        <v>53</v>
      </c>
      <c r="G39" s="2" t="s">
        <v>38</v>
      </c>
      <c r="H39" s="3">
        <v>3185</v>
      </c>
      <c r="I39" s="3">
        <v>55830</v>
      </c>
      <c r="J39" s="3">
        <f t="shared" si="0"/>
        <v>177818550</v>
      </c>
      <c r="K39" s="3">
        <v>30330975</v>
      </c>
      <c r="L39" s="3">
        <v>19975188</v>
      </c>
    </row>
    <row r="40" spans="1:12" x14ac:dyDescent="0.3">
      <c r="A40" s="2" t="s">
        <v>103</v>
      </c>
      <c r="B40" s="2" t="str">
        <f>LEFT(Table1[[#This Row],[تاریخ]],4)</f>
        <v>1397</v>
      </c>
      <c r="C40" s="2" t="s">
        <v>11</v>
      </c>
      <c r="D40" s="2" t="s">
        <v>12</v>
      </c>
      <c r="E40" s="2" t="s">
        <v>44</v>
      </c>
      <c r="F40" s="2" t="s">
        <v>56</v>
      </c>
      <c r="G40" s="2" t="s">
        <v>42</v>
      </c>
      <c r="H40" s="3">
        <v>3500</v>
      </c>
      <c r="I40" s="3">
        <v>61309</v>
      </c>
      <c r="J40" s="3">
        <f t="shared" si="0"/>
        <v>214581500</v>
      </c>
      <c r="K40" s="3">
        <v>104707205</v>
      </c>
      <c r="L40" s="3">
        <v>55106933</v>
      </c>
    </row>
    <row r="41" spans="1:12" x14ac:dyDescent="0.3">
      <c r="A41" s="2" t="s">
        <v>104</v>
      </c>
      <c r="B41" s="2" t="str">
        <f>LEFT(Table1[[#This Row],[تاریخ]],4)</f>
        <v>1397</v>
      </c>
      <c r="C41" s="2" t="s">
        <v>11</v>
      </c>
      <c r="D41" s="2" t="s">
        <v>12</v>
      </c>
      <c r="E41" s="2" t="s">
        <v>79</v>
      </c>
      <c r="F41" s="2" t="s">
        <v>59</v>
      </c>
      <c r="G41" s="2" t="s">
        <v>46</v>
      </c>
      <c r="H41" s="3">
        <v>3290</v>
      </c>
      <c r="I41" s="3">
        <v>86275</v>
      </c>
      <c r="J41" s="3">
        <f t="shared" si="0"/>
        <v>283844750</v>
      </c>
      <c r="K41" s="3">
        <v>7086165</v>
      </c>
      <c r="L41" s="3">
        <v>11127541</v>
      </c>
    </row>
    <row r="42" spans="1:12" x14ac:dyDescent="0.3">
      <c r="A42" s="2" t="s">
        <v>105</v>
      </c>
      <c r="B42" s="2" t="str">
        <f>LEFT(Table1[[#This Row],[تاریخ]],4)</f>
        <v>1397</v>
      </c>
      <c r="C42" s="2" t="s">
        <v>11</v>
      </c>
      <c r="D42" s="2" t="s">
        <v>12</v>
      </c>
      <c r="E42" s="2" t="s">
        <v>81</v>
      </c>
      <c r="F42" s="2" t="s">
        <v>62</v>
      </c>
      <c r="G42" s="2" t="s">
        <v>46</v>
      </c>
      <c r="H42" s="3">
        <v>3815</v>
      </c>
      <c r="I42" s="3">
        <v>77161</v>
      </c>
      <c r="J42" s="3">
        <f t="shared" si="0"/>
        <v>294369215</v>
      </c>
      <c r="K42" s="3">
        <v>109970751</v>
      </c>
      <c r="L42" s="3">
        <v>54415167</v>
      </c>
    </row>
    <row r="43" spans="1:12" x14ac:dyDescent="0.3">
      <c r="A43" s="2" t="s">
        <v>106</v>
      </c>
      <c r="B43" s="2" t="str">
        <f>LEFT(Table1[[#This Row],[تاریخ]],4)</f>
        <v>1397</v>
      </c>
      <c r="C43" s="2" t="s">
        <v>11</v>
      </c>
      <c r="D43" s="2" t="s">
        <v>13</v>
      </c>
      <c r="E43" s="2" t="s">
        <v>83</v>
      </c>
      <c r="F43" s="2" t="s">
        <v>65</v>
      </c>
      <c r="G43" s="2" t="s">
        <v>50</v>
      </c>
      <c r="H43" s="3">
        <v>2870</v>
      </c>
      <c r="I43" s="3">
        <v>69766</v>
      </c>
      <c r="J43" s="3">
        <f t="shared" si="0"/>
        <v>200228420</v>
      </c>
      <c r="K43" s="3">
        <v>30467928</v>
      </c>
      <c r="L43" s="3">
        <v>581064</v>
      </c>
    </row>
    <row r="44" spans="1:12" x14ac:dyDescent="0.3">
      <c r="A44" s="2" t="s">
        <v>107</v>
      </c>
      <c r="B44" s="2" t="str">
        <f>LEFT(Table1[[#This Row],[تاریخ]],4)</f>
        <v>1397</v>
      </c>
      <c r="C44" s="2" t="s">
        <v>11</v>
      </c>
      <c r="D44" s="2" t="s">
        <v>13</v>
      </c>
      <c r="E44" s="2" t="s">
        <v>85</v>
      </c>
      <c r="F44" s="2" t="s">
        <v>67</v>
      </c>
      <c r="G44" s="2" t="s">
        <v>31</v>
      </c>
      <c r="H44" s="3">
        <v>3500</v>
      </c>
      <c r="I44" s="3">
        <v>106271</v>
      </c>
      <c r="J44" s="3">
        <f t="shared" si="0"/>
        <v>371948500</v>
      </c>
      <c r="K44" s="3">
        <v>152239778</v>
      </c>
      <c r="L44" s="3">
        <v>7873305</v>
      </c>
    </row>
    <row r="45" spans="1:12" x14ac:dyDescent="0.3">
      <c r="A45" s="2" t="s">
        <v>108</v>
      </c>
      <c r="B45" s="2" t="str">
        <f>LEFT(Table1[[#This Row],[تاریخ]],4)</f>
        <v>1397</v>
      </c>
      <c r="C45" s="2" t="s">
        <v>11</v>
      </c>
      <c r="D45" s="2" t="s">
        <v>13</v>
      </c>
      <c r="E45" s="2" t="s">
        <v>61</v>
      </c>
      <c r="F45" s="2" t="s">
        <v>70</v>
      </c>
      <c r="G45" s="2" t="s">
        <v>34</v>
      </c>
      <c r="H45" s="3">
        <v>3850</v>
      </c>
      <c r="I45" s="3">
        <v>126194</v>
      </c>
      <c r="J45" s="3">
        <f t="shared" si="0"/>
        <v>485846900</v>
      </c>
      <c r="K45" s="3">
        <v>386924062</v>
      </c>
      <c r="L45" s="3">
        <v>126866904</v>
      </c>
    </row>
    <row r="46" spans="1:12" x14ac:dyDescent="0.3">
      <c r="A46" s="2" t="s">
        <v>109</v>
      </c>
      <c r="B46" s="2" t="str">
        <f>LEFT(Table1[[#This Row],[تاریخ]],4)</f>
        <v>1397</v>
      </c>
      <c r="C46" s="2" t="s">
        <v>11</v>
      </c>
      <c r="D46" s="2" t="s">
        <v>13</v>
      </c>
      <c r="E46" s="2" t="s">
        <v>64</v>
      </c>
      <c r="F46" s="2" t="s">
        <v>73</v>
      </c>
      <c r="G46" s="2" t="s">
        <v>38</v>
      </c>
      <c r="H46" s="3">
        <v>3220</v>
      </c>
      <c r="I46" s="3">
        <v>56372</v>
      </c>
      <c r="J46" s="3">
        <f t="shared" si="0"/>
        <v>181517840</v>
      </c>
      <c r="K46" s="3">
        <v>154804308</v>
      </c>
      <c r="L46" s="3">
        <v>4982485</v>
      </c>
    </row>
    <row r="47" spans="1:12" x14ac:dyDescent="0.3">
      <c r="A47" s="2" t="s">
        <v>110</v>
      </c>
      <c r="B47" s="2" t="str">
        <f>LEFT(Table1[[#This Row],[تاریخ]],4)</f>
        <v>1397</v>
      </c>
      <c r="C47" s="2" t="s">
        <v>11</v>
      </c>
      <c r="D47" s="2" t="s">
        <v>13</v>
      </c>
      <c r="E47" s="2" t="s">
        <v>29</v>
      </c>
      <c r="F47" s="2" t="s">
        <v>76</v>
      </c>
      <c r="G47" s="2" t="s">
        <v>42</v>
      </c>
      <c r="H47" s="3">
        <v>2870</v>
      </c>
      <c r="I47" s="3">
        <v>75304</v>
      </c>
      <c r="J47" s="3">
        <f t="shared" si="0"/>
        <v>216122480</v>
      </c>
      <c r="K47" s="3">
        <v>214488507</v>
      </c>
      <c r="L47" s="3">
        <v>40009556</v>
      </c>
    </row>
    <row r="48" spans="1:12" x14ac:dyDescent="0.3">
      <c r="A48" s="2" t="s">
        <v>111</v>
      </c>
      <c r="B48" s="2" t="str">
        <f>LEFT(Table1[[#This Row],[تاریخ]],4)</f>
        <v>1397</v>
      </c>
      <c r="C48" s="2" t="s">
        <v>11</v>
      </c>
      <c r="D48" s="2" t="s">
        <v>13</v>
      </c>
      <c r="E48" s="2" t="s">
        <v>69</v>
      </c>
      <c r="F48" s="2" t="s">
        <v>30</v>
      </c>
      <c r="G48" s="2" t="s">
        <v>46</v>
      </c>
      <c r="H48" s="3">
        <v>1890</v>
      </c>
      <c r="I48" s="3">
        <v>131118</v>
      </c>
      <c r="J48" s="3">
        <f t="shared" si="0"/>
        <v>247813020</v>
      </c>
      <c r="K48" s="3">
        <v>182845331</v>
      </c>
      <c r="L48" s="3">
        <v>34483247</v>
      </c>
    </row>
    <row r="49" spans="1:12" x14ac:dyDescent="0.3">
      <c r="A49" s="2" t="s">
        <v>112</v>
      </c>
      <c r="B49" s="2" t="str">
        <f>LEFT(Table1[[#This Row],[تاریخ]],4)</f>
        <v>1397</v>
      </c>
      <c r="C49" s="2" t="s">
        <v>15</v>
      </c>
      <c r="D49" s="2" t="s">
        <v>14</v>
      </c>
      <c r="E49" s="2" t="s">
        <v>72</v>
      </c>
      <c r="F49" s="2" t="s">
        <v>33</v>
      </c>
      <c r="G49" s="2" t="s">
        <v>46</v>
      </c>
      <c r="H49" s="3">
        <v>1995</v>
      </c>
      <c r="I49" s="3">
        <v>63269</v>
      </c>
      <c r="J49" s="3">
        <f t="shared" si="0"/>
        <v>126221655</v>
      </c>
      <c r="K49" s="3">
        <v>110509696</v>
      </c>
      <c r="L49" s="3">
        <v>9595008</v>
      </c>
    </row>
    <row r="50" spans="1:12" x14ac:dyDescent="0.3">
      <c r="A50" s="2" t="s">
        <v>113</v>
      </c>
      <c r="B50" s="2" t="str">
        <f>LEFT(Table1[[#This Row],[تاریخ]],4)</f>
        <v>1397</v>
      </c>
      <c r="C50" s="2" t="s">
        <v>15</v>
      </c>
      <c r="D50" s="2" t="s">
        <v>14</v>
      </c>
      <c r="E50" s="2" t="s">
        <v>75</v>
      </c>
      <c r="F50" s="2" t="s">
        <v>37</v>
      </c>
      <c r="G50" s="2" t="s">
        <v>50</v>
      </c>
      <c r="H50" s="3">
        <v>2065</v>
      </c>
      <c r="I50" s="3">
        <v>122441</v>
      </c>
      <c r="J50" s="3">
        <f t="shared" si="0"/>
        <v>252840665</v>
      </c>
      <c r="K50" s="3">
        <v>122840830</v>
      </c>
      <c r="L50" s="3">
        <v>12438359</v>
      </c>
    </row>
    <row r="51" spans="1:12" x14ac:dyDescent="0.3">
      <c r="A51" s="2" t="s">
        <v>114</v>
      </c>
      <c r="B51" s="2" t="str">
        <f>LEFT(Table1[[#This Row],[تاریخ]],4)</f>
        <v>1397</v>
      </c>
      <c r="C51" s="2" t="s">
        <v>15</v>
      </c>
      <c r="D51" s="2" t="s">
        <v>14</v>
      </c>
      <c r="E51" s="2" t="s">
        <v>44</v>
      </c>
      <c r="F51" s="2" t="s">
        <v>41</v>
      </c>
      <c r="G51" s="2" t="s">
        <v>31</v>
      </c>
      <c r="H51" s="3">
        <v>3815</v>
      </c>
      <c r="I51" s="3">
        <v>129285</v>
      </c>
      <c r="J51" s="3">
        <f t="shared" si="0"/>
        <v>493222275</v>
      </c>
      <c r="K51" s="3">
        <v>114159065</v>
      </c>
      <c r="L51" s="3">
        <v>34732867</v>
      </c>
    </row>
    <row r="52" spans="1:12" x14ac:dyDescent="0.3">
      <c r="A52" s="2" t="s">
        <v>115</v>
      </c>
      <c r="B52" s="2" t="str">
        <f>LEFT(Table1[[#This Row],[تاریخ]],4)</f>
        <v>1397</v>
      </c>
      <c r="C52" s="2" t="s">
        <v>15</v>
      </c>
      <c r="D52" s="2" t="s">
        <v>14</v>
      </c>
      <c r="E52" s="2" t="s">
        <v>79</v>
      </c>
      <c r="F52" s="2" t="s">
        <v>45</v>
      </c>
      <c r="G52" s="2" t="s">
        <v>34</v>
      </c>
      <c r="H52" s="3">
        <v>1960</v>
      </c>
      <c r="I52" s="3">
        <v>80427</v>
      </c>
      <c r="J52" s="3">
        <f t="shared" si="0"/>
        <v>157636920</v>
      </c>
      <c r="K52" s="3">
        <v>141097378</v>
      </c>
      <c r="L52" s="3">
        <v>18414557</v>
      </c>
    </row>
    <row r="53" spans="1:12" x14ac:dyDescent="0.3">
      <c r="A53" s="2" t="s">
        <v>116</v>
      </c>
      <c r="B53" s="2" t="str">
        <f>LEFT(Table1[[#This Row],[تاریخ]],4)</f>
        <v>1397</v>
      </c>
      <c r="C53" s="2" t="s">
        <v>15</v>
      </c>
      <c r="D53" s="2" t="s">
        <v>14</v>
      </c>
      <c r="E53" s="2" t="s">
        <v>81</v>
      </c>
      <c r="F53" s="2" t="s">
        <v>49</v>
      </c>
      <c r="G53" s="2" t="s">
        <v>38</v>
      </c>
      <c r="H53" s="3">
        <v>3290</v>
      </c>
      <c r="I53" s="3">
        <v>95075</v>
      </c>
      <c r="J53" s="3">
        <f t="shared" si="0"/>
        <v>312796750</v>
      </c>
      <c r="K53" s="3">
        <v>83287392</v>
      </c>
      <c r="L53" s="3">
        <v>74622593</v>
      </c>
    </row>
    <row r="54" spans="1:12" x14ac:dyDescent="0.3">
      <c r="A54" s="2" t="s">
        <v>117</v>
      </c>
      <c r="B54" s="2" t="str">
        <f>LEFT(Table1[[#This Row],[تاریخ]],4)</f>
        <v>1397</v>
      </c>
      <c r="C54" s="2" t="s">
        <v>15</v>
      </c>
      <c r="D54" s="2" t="s">
        <v>14</v>
      </c>
      <c r="E54" s="2" t="s">
        <v>83</v>
      </c>
      <c r="F54" s="2" t="s">
        <v>53</v>
      </c>
      <c r="G54" s="2" t="s">
        <v>42</v>
      </c>
      <c r="H54" s="3">
        <v>3220</v>
      </c>
      <c r="I54" s="3">
        <v>111543</v>
      </c>
      <c r="J54" s="3">
        <f t="shared" si="0"/>
        <v>359168460</v>
      </c>
      <c r="K54" s="3">
        <v>155467884</v>
      </c>
      <c r="L54" s="3">
        <v>60531761</v>
      </c>
    </row>
    <row r="55" spans="1:12" x14ac:dyDescent="0.3">
      <c r="A55" s="2" t="s">
        <v>118</v>
      </c>
      <c r="B55" s="2" t="str">
        <f>LEFT(Table1[[#This Row],[تاریخ]],4)</f>
        <v>1397</v>
      </c>
      <c r="C55" s="2" t="s">
        <v>15</v>
      </c>
      <c r="D55" s="2" t="s">
        <v>16</v>
      </c>
      <c r="E55" s="2" t="s">
        <v>85</v>
      </c>
      <c r="F55" s="2" t="s">
        <v>56</v>
      </c>
      <c r="G55" s="2" t="s">
        <v>46</v>
      </c>
      <c r="H55" s="3">
        <v>3500</v>
      </c>
      <c r="I55" s="3">
        <v>60594</v>
      </c>
      <c r="J55" s="3">
        <f t="shared" si="0"/>
        <v>212079000</v>
      </c>
      <c r="K55" s="3">
        <v>18231758</v>
      </c>
      <c r="L55" s="3">
        <v>51003085</v>
      </c>
    </row>
    <row r="56" spans="1:12" x14ac:dyDescent="0.3">
      <c r="A56" s="2" t="s">
        <v>119</v>
      </c>
      <c r="B56" s="2" t="str">
        <f>LEFT(Table1[[#This Row],[تاریخ]],4)</f>
        <v>1397</v>
      </c>
      <c r="C56" s="2" t="s">
        <v>15</v>
      </c>
      <c r="D56" s="2" t="s">
        <v>16</v>
      </c>
      <c r="E56" s="2" t="s">
        <v>61</v>
      </c>
      <c r="F56" s="2" t="s">
        <v>59</v>
      </c>
      <c r="G56" s="2" t="s">
        <v>46</v>
      </c>
      <c r="H56" s="3">
        <v>1960</v>
      </c>
      <c r="I56" s="3">
        <v>104873</v>
      </c>
      <c r="J56" s="3">
        <f t="shared" si="0"/>
        <v>205551080</v>
      </c>
      <c r="K56" s="3">
        <v>121285139</v>
      </c>
      <c r="L56" s="3">
        <v>55541839</v>
      </c>
    </row>
    <row r="57" spans="1:12" x14ac:dyDescent="0.3">
      <c r="A57" s="2" t="s">
        <v>120</v>
      </c>
      <c r="B57" s="2" t="str">
        <f>LEFT(Table1[[#This Row],[تاریخ]],4)</f>
        <v>1397</v>
      </c>
      <c r="C57" s="2" t="s">
        <v>15</v>
      </c>
      <c r="D57" s="2" t="s">
        <v>16</v>
      </c>
      <c r="E57" s="2" t="s">
        <v>64</v>
      </c>
      <c r="F57" s="2" t="s">
        <v>62</v>
      </c>
      <c r="G57" s="2" t="s">
        <v>50</v>
      </c>
      <c r="H57" s="3">
        <v>1960</v>
      </c>
      <c r="I57" s="3">
        <v>55011</v>
      </c>
      <c r="J57" s="3">
        <f t="shared" si="0"/>
        <v>107821560</v>
      </c>
      <c r="K57" s="3">
        <v>19115366</v>
      </c>
      <c r="L57" s="3">
        <v>7990348</v>
      </c>
    </row>
    <row r="58" spans="1:12" x14ac:dyDescent="0.3">
      <c r="A58" s="2" t="s">
        <v>121</v>
      </c>
      <c r="B58" s="2" t="str">
        <f>LEFT(Table1[[#This Row],[تاریخ]],4)</f>
        <v>1397</v>
      </c>
      <c r="C58" s="2" t="s">
        <v>15</v>
      </c>
      <c r="D58" s="2" t="s">
        <v>16</v>
      </c>
      <c r="E58" s="2" t="s">
        <v>29</v>
      </c>
      <c r="F58" s="2" t="s">
        <v>65</v>
      </c>
      <c r="G58" s="2" t="s">
        <v>31</v>
      </c>
      <c r="H58" s="3">
        <v>2625</v>
      </c>
      <c r="I58" s="3">
        <v>136134</v>
      </c>
      <c r="J58" s="3">
        <f t="shared" si="0"/>
        <v>357351750</v>
      </c>
      <c r="K58" s="3">
        <v>232015618</v>
      </c>
      <c r="L58" s="3">
        <v>97799498</v>
      </c>
    </row>
    <row r="59" spans="1:12" x14ac:dyDescent="0.3">
      <c r="A59" s="2" t="s">
        <v>122</v>
      </c>
      <c r="B59" s="2" t="str">
        <f>LEFT(Table1[[#This Row],[تاریخ]],4)</f>
        <v>1397</v>
      </c>
      <c r="C59" s="2" t="s">
        <v>15</v>
      </c>
      <c r="D59" s="2" t="s">
        <v>16</v>
      </c>
      <c r="E59" s="2" t="s">
        <v>69</v>
      </c>
      <c r="F59" s="2" t="s">
        <v>67</v>
      </c>
      <c r="G59" s="2" t="s">
        <v>34</v>
      </c>
      <c r="H59" s="3">
        <v>2450</v>
      </c>
      <c r="I59" s="3">
        <v>57033</v>
      </c>
      <c r="J59" s="3">
        <f t="shared" si="0"/>
        <v>139730850</v>
      </c>
      <c r="K59" s="3">
        <v>100006977</v>
      </c>
      <c r="L59" s="3">
        <v>39466892</v>
      </c>
    </row>
    <row r="60" spans="1:12" x14ac:dyDescent="0.3">
      <c r="A60" s="2" t="s">
        <v>123</v>
      </c>
      <c r="B60" s="2" t="str">
        <f>LEFT(Table1[[#This Row],[تاریخ]],4)</f>
        <v>1397</v>
      </c>
      <c r="C60" s="2" t="s">
        <v>15</v>
      </c>
      <c r="D60" s="2" t="s">
        <v>16</v>
      </c>
      <c r="E60" s="2" t="s">
        <v>72</v>
      </c>
      <c r="F60" s="2" t="s">
        <v>70</v>
      </c>
      <c r="G60" s="2" t="s">
        <v>38</v>
      </c>
      <c r="H60" s="3">
        <v>2100</v>
      </c>
      <c r="I60" s="3">
        <v>108124</v>
      </c>
      <c r="J60" s="3">
        <f t="shared" si="0"/>
        <v>227060400</v>
      </c>
      <c r="K60" s="3">
        <v>169258100</v>
      </c>
      <c r="L60" s="3">
        <v>6245290</v>
      </c>
    </row>
    <row r="61" spans="1:12" x14ac:dyDescent="0.3">
      <c r="A61" s="2" t="s">
        <v>124</v>
      </c>
      <c r="B61" s="2" t="str">
        <f>LEFT(Table1[[#This Row],[تاریخ]],4)</f>
        <v>1397</v>
      </c>
      <c r="C61" s="2" t="s">
        <v>15</v>
      </c>
      <c r="D61" s="2" t="s">
        <v>17</v>
      </c>
      <c r="E61" s="2" t="s">
        <v>75</v>
      </c>
      <c r="F61" s="2" t="s">
        <v>73</v>
      </c>
      <c r="G61" s="2" t="s">
        <v>42</v>
      </c>
      <c r="H61" s="3">
        <v>2520</v>
      </c>
      <c r="I61" s="3">
        <v>90030</v>
      </c>
      <c r="J61" s="3">
        <f t="shared" si="0"/>
        <v>226875600</v>
      </c>
      <c r="K61" s="3">
        <v>106729614</v>
      </c>
      <c r="L61" s="3">
        <v>18594653</v>
      </c>
    </row>
    <row r="62" spans="1:12" x14ac:dyDescent="0.3">
      <c r="A62" s="2" t="s">
        <v>125</v>
      </c>
      <c r="B62" s="2" t="str">
        <f>LEFT(Table1[[#This Row],[تاریخ]],4)</f>
        <v>1397</v>
      </c>
      <c r="C62" s="2" t="s">
        <v>15</v>
      </c>
      <c r="D62" s="2" t="s">
        <v>17</v>
      </c>
      <c r="E62" s="2" t="s">
        <v>44</v>
      </c>
      <c r="F62" s="2" t="s">
        <v>76</v>
      </c>
      <c r="G62" s="2" t="s">
        <v>46</v>
      </c>
      <c r="H62" s="3">
        <v>2275</v>
      </c>
      <c r="I62" s="3">
        <v>125022</v>
      </c>
      <c r="J62" s="3">
        <f t="shared" si="0"/>
        <v>284425050</v>
      </c>
      <c r="K62" s="3">
        <v>160464741</v>
      </c>
      <c r="L62" s="3">
        <v>46694499</v>
      </c>
    </row>
    <row r="63" spans="1:12" x14ac:dyDescent="0.3">
      <c r="A63" s="2" t="s">
        <v>126</v>
      </c>
      <c r="B63" s="2" t="str">
        <f>LEFT(Table1[[#This Row],[تاریخ]],4)</f>
        <v>1397</v>
      </c>
      <c r="C63" s="2" t="s">
        <v>15</v>
      </c>
      <c r="D63" s="2" t="s">
        <v>17</v>
      </c>
      <c r="E63" s="2" t="s">
        <v>79</v>
      </c>
      <c r="F63" s="2" t="s">
        <v>30</v>
      </c>
      <c r="G63" s="2" t="s">
        <v>46</v>
      </c>
      <c r="H63" s="3">
        <v>1925</v>
      </c>
      <c r="I63" s="3">
        <v>134891</v>
      </c>
      <c r="J63" s="3">
        <f t="shared" si="0"/>
        <v>259665175</v>
      </c>
      <c r="K63" s="3">
        <v>205200207</v>
      </c>
      <c r="L63" s="3">
        <v>59979615</v>
      </c>
    </row>
    <row r="64" spans="1:12" x14ac:dyDescent="0.3">
      <c r="A64" s="2" t="s">
        <v>127</v>
      </c>
      <c r="B64" s="2" t="str">
        <f>LEFT(Table1[[#This Row],[تاریخ]],4)</f>
        <v>1397</v>
      </c>
      <c r="C64" s="2" t="s">
        <v>15</v>
      </c>
      <c r="D64" s="2" t="s">
        <v>17</v>
      </c>
      <c r="E64" s="2" t="s">
        <v>81</v>
      </c>
      <c r="F64" s="2" t="s">
        <v>33</v>
      </c>
      <c r="G64" s="2" t="s">
        <v>50</v>
      </c>
      <c r="H64" s="3">
        <v>3045</v>
      </c>
      <c r="I64" s="3">
        <v>63195</v>
      </c>
      <c r="J64" s="3">
        <f t="shared" si="0"/>
        <v>192428775</v>
      </c>
      <c r="K64" s="3">
        <v>41595385</v>
      </c>
      <c r="L64" s="3">
        <v>53032940</v>
      </c>
    </row>
    <row r="65" spans="1:12" x14ac:dyDescent="0.3">
      <c r="A65" s="2" t="s">
        <v>128</v>
      </c>
      <c r="B65" s="2" t="str">
        <f>LEFT(Table1[[#This Row],[تاریخ]],4)</f>
        <v>1397</v>
      </c>
      <c r="C65" s="2" t="s">
        <v>15</v>
      </c>
      <c r="D65" s="2" t="s">
        <v>17</v>
      </c>
      <c r="E65" s="2" t="s">
        <v>83</v>
      </c>
      <c r="F65" s="2" t="s">
        <v>37</v>
      </c>
      <c r="G65" s="2" t="s">
        <v>31</v>
      </c>
      <c r="H65" s="3">
        <v>3570</v>
      </c>
      <c r="I65" s="3">
        <v>51769</v>
      </c>
      <c r="J65" s="3">
        <f t="shared" si="0"/>
        <v>184815330</v>
      </c>
      <c r="K65" s="3">
        <v>64659902</v>
      </c>
      <c r="L65" s="3">
        <v>48765853</v>
      </c>
    </row>
    <row r="66" spans="1:12" x14ac:dyDescent="0.3">
      <c r="A66" s="2" t="s">
        <v>129</v>
      </c>
      <c r="B66" s="2" t="str">
        <f>LEFT(Table1[[#This Row],[تاریخ]],4)</f>
        <v>1397</v>
      </c>
      <c r="C66" s="2" t="s">
        <v>15</v>
      </c>
      <c r="D66" s="2" t="s">
        <v>17</v>
      </c>
      <c r="E66" s="2" t="s">
        <v>85</v>
      </c>
      <c r="F66" s="2" t="s">
        <v>41</v>
      </c>
      <c r="G66" s="2" t="s">
        <v>34</v>
      </c>
      <c r="H66" s="3">
        <v>2415</v>
      </c>
      <c r="I66" s="3">
        <v>76378</v>
      </c>
      <c r="J66" s="3">
        <f t="shared" si="0"/>
        <v>184452870</v>
      </c>
      <c r="K66" s="3">
        <v>113811457</v>
      </c>
      <c r="L66" s="3">
        <v>14544875</v>
      </c>
    </row>
    <row r="67" spans="1:12" x14ac:dyDescent="0.3">
      <c r="A67" s="2" t="s">
        <v>130</v>
      </c>
      <c r="B67" s="2" t="str">
        <f>LEFT(Table1[[#This Row],[تاریخ]],4)</f>
        <v>1398</v>
      </c>
      <c r="C67" s="2" t="s">
        <v>3</v>
      </c>
      <c r="D67" s="2" t="s">
        <v>2</v>
      </c>
      <c r="E67" s="2" t="s">
        <v>61</v>
      </c>
      <c r="F67" s="2" t="s">
        <v>45</v>
      </c>
      <c r="G67" s="2" t="s">
        <v>38</v>
      </c>
      <c r="H67" s="3">
        <v>3605</v>
      </c>
      <c r="I67" s="3">
        <v>124990</v>
      </c>
      <c r="J67" s="3">
        <f t="shared" si="0"/>
        <v>450588950</v>
      </c>
      <c r="K67" s="3">
        <v>117153793</v>
      </c>
      <c r="L67" s="3">
        <v>112045348</v>
      </c>
    </row>
    <row r="68" spans="1:12" x14ac:dyDescent="0.3">
      <c r="A68" s="2" t="s">
        <v>131</v>
      </c>
      <c r="B68" s="2" t="str">
        <f>LEFT(Table1[[#This Row],[تاریخ]],4)</f>
        <v>1398</v>
      </c>
      <c r="C68" s="2" t="s">
        <v>3</v>
      </c>
      <c r="D68" s="2" t="s">
        <v>2</v>
      </c>
      <c r="E68" s="2" t="s">
        <v>64</v>
      </c>
      <c r="F68" s="2" t="s">
        <v>49</v>
      </c>
      <c r="G68" s="2" t="s">
        <v>42</v>
      </c>
      <c r="H68" s="3">
        <v>3570</v>
      </c>
      <c r="I68" s="3">
        <v>98879</v>
      </c>
      <c r="J68" s="3">
        <f t="shared" ref="J68:J131" si="1">I68*H68</f>
        <v>352998030</v>
      </c>
      <c r="K68" s="3">
        <v>226929361</v>
      </c>
      <c r="L68" s="3">
        <v>47843140</v>
      </c>
    </row>
    <row r="69" spans="1:12" x14ac:dyDescent="0.3">
      <c r="A69" s="2" t="s">
        <v>132</v>
      </c>
      <c r="B69" s="2" t="str">
        <f>LEFT(Table1[[#This Row],[تاریخ]],4)</f>
        <v>1398</v>
      </c>
      <c r="C69" s="2" t="s">
        <v>3</v>
      </c>
      <c r="D69" s="2" t="s">
        <v>2</v>
      </c>
      <c r="E69" s="2" t="s">
        <v>29</v>
      </c>
      <c r="F69" s="2" t="s">
        <v>53</v>
      </c>
      <c r="G69" s="2" t="s">
        <v>46</v>
      </c>
      <c r="H69" s="3">
        <v>3255</v>
      </c>
      <c r="I69" s="3">
        <v>125262</v>
      </c>
      <c r="J69" s="3">
        <f t="shared" si="1"/>
        <v>407727810</v>
      </c>
      <c r="K69" s="3">
        <v>185425991</v>
      </c>
      <c r="L69" s="3">
        <v>42978572</v>
      </c>
    </row>
    <row r="70" spans="1:12" x14ac:dyDescent="0.3">
      <c r="A70" s="2" t="s">
        <v>133</v>
      </c>
      <c r="B70" s="2" t="str">
        <f>LEFT(Table1[[#This Row],[تاریخ]],4)</f>
        <v>1398</v>
      </c>
      <c r="C70" s="2" t="s">
        <v>3</v>
      </c>
      <c r="D70" s="2" t="s">
        <v>2</v>
      </c>
      <c r="E70" s="2" t="s">
        <v>69</v>
      </c>
      <c r="F70" s="2" t="s">
        <v>56</v>
      </c>
      <c r="G70" s="2" t="s">
        <v>46</v>
      </c>
      <c r="H70" s="3">
        <v>2100</v>
      </c>
      <c r="I70" s="3">
        <v>54063</v>
      </c>
      <c r="J70" s="3">
        <f t="shared" si="1"/>
        <v>113532300</v>
      </c>
      <c r="K70" s="3">
        <v>61425131</v>
      </c>
      <c r="L70" s="3">
        <v>28034972</v>
      </c>
    </row>
    <row r="71" spans="1:12" x14ac:dyDescent="0.3">
      <c r="A71" s="2" t="s">
        <v>134</v>
      </c>
      <c r="B71" s="2" t="str">
        <f>LEFT(Table1[[#This Row],[تاریخ]],4)</f>
        <v>1398</v>
      </c>
      <c r="C71" s="2" t="s">
        <v>3</v>
      </c>
      <c r="D71" s="2" t="s">
        <v>2</v>
      </c>
      <c r="E71" s="2" t="s">
        <v>72</v>
      </c>
      <c r="F71" s="2" t="s">
        <v>59</v>
      </c>
      <c r="G71" s="2" t="s">
        <v>50</v>
      </c>
      <c r="H71" s="3">
        <v>1820</v>
      </c>
      <c r="I71" s="3">
        <v>64291</v>
      </c>
      <c r="J71" s="3">
        <f t="shared" si="1"/>
        <v>117009620</v>
      </c>
      <c r="K71" s="3">
        <v>109902309</v>
      </c>
      <c r="L71" s="3">
        <v>24238131</v>
      </c>
    </row>
    <row r="72" spans="1:12" x14ac:dyDescent="0.3">
      <c r="A72" s="2" t="s">
        <v>135</v>
      </c>
      <c r="B72" s="2" t="str">
        <f>LEFT(Table1[[#This Row],[تاریخ]],4)</f>
        <v>1398</v>
      </c>
      <c r="C72" s="2" t="s">
        <v>3</v>
      </c>
      <c r="D72" s="2" t="s">
        <v>2</v>
      </c>
      <c r="E72" s="2" t="s">
        <v>75</v>
      </c>
      <c r="F72" s="2" t="s">
        <v>62</v>
      </c>
      <c r="G72" s="2" t="s">
        <v>31</v>
      </c>
      <c r="H72" s="3">
        <v>1925</v>
      </c>
      <c r="I72" s="3">
        <v>54187</v>
      </c>
      <c r="J72" s="3">
        <f t="shared" si="1"/>
        <v>104309975</v>
      </c>
      <c r="K72" s="3">
        <v>11382371</v>
      </c>
      <c r="L72" s="3">
        <v>9396183</v>
      </c>
    </row>
    <row r="73" spans="1:12" x14ac:dyDescent="0.3">
      <c r="A73" s="2" t="s">
        <v>136</v>
      </c>
      <c r="B73" s="2" t="str">
        <f>LEFT(Table1[[#This Row],[تاریخ]],4)</f>
        <v>1398</v>
      </c>
      <c r="C73" s="2" t="s">
        <v>3</v>
      </c>
      <c r="D73" s="2" t="s">
        <v>4</v>
      </c>
      <c r="E73" s="2" t="s">
        <v>44</v>
      </c>
      <c r="F73" s="2" t="s">
        <v>65</v>
      </c>
      <c r="G73" s="2" t="s">
        <v>34</v>
      </c>
      <c r="H73" s="3">
        <v>2520</v>
      </c>
      <c r="I73" s="3">
        <v>132335</v>
      </c>
      <c r="J73" s="3">
        <f t="shared" si="1"/>
        <v>333484200</v>
      </c>
      <c r="K73" s="3">
        <v>39503006</v>
      </c>
      <c r="L73" s="3">
        <v>94196785</v>
      </c>
    </row>
    <row r="74" spans="1:12" x14ac:dyDescent="0.3">
      <c r="A74" s="2" t="s">
        <v>137</v>
      </c>
      <c r="B74" s="2" t="str">
        <f>LEFT(Table1[[#This Row],[تاریخ]],4)</f>
        <v>1398</v>
      </c>
      <c r="C74" s="2" t="s">
        <v>3</v>
      </c>
      <c r="D74" s="2" t="s">
        <v>4</v>
      </c>
      <c r="E74" s="2" t="s">
        <v>79</v>
      </c>
      <c r="F74" s="2" t="s">
        <v>67</v>
      </c>
      <c r="G74" s="2" t="s">
        <v>38</v>
      </c>
      <c r="H74" s="3">
        <v>2275</v>
      </c>
      <c r="I74" s="3">
        <v>111255</v>
      </c>
      <c r="J74" s="3">
        <f t="shared" si="1"/>
        <v>253105125</v>
      </c>
      <c r="K74" s="3">
        <v>217097500</v>
      </c>
      <c r="L74" s="3">
        <v>39791930</v>
      </c>
    </row>
    <row r="75" spans="1:12" x14ac:dyDescent="0.3">
      <c r="A75" s="2" t="s">
        <v>138</v>
      </c>
      <c r="B75" s="2" t="str">
        <f>LEFT(Table1[[#This Row],[تاریخ]],4)</f>
        <v>1398</v>
      </c>
      <c r="C75" s="2" t="s">
        <v>3</v>
      </c>
      <c r="D75" s="2" t="s">
        <v>4</v>
      </c>
      <c r="E75" s="2" t="s">
        <v>81</v>
      </c>
      <c r="F75" s="2" t="s">
        <v>70</v>
      </c>
      <c r="G75" s="2" t="s">
        <v>42</v>
      </c>
      <c r="H75" s="3">
        <v>3815</v>
      </c>
      <c r="I75" s="3">
        <v>91636</v>
      </c>
      <c r="J75" s="3">
        <f t="shared" si="1"/>
        <v>349591340</v>
      </c>
      <c r="K75" s="3">
        <v>346736298</v>
      </c>
      <c r="L75" s="3">
        <v>61932234</v>
      </c>
    </row>
    <row r="76" spans="1:12" x14ac:dyDescent="0.3">
      <c r="A76" s="2" t="s">
        <v>139</v>
      </c>
      <c r="B76" s="2" t="str">
        <f>LEFT(Table1[[#This Row],[تاریخ]],4)</f>
        <v>1398</v>
      </c>
      <c r="C76" s="2" t="s">
        <v>3</v>
      </c>
      <c r="D76" s="2" t="s">
        <v>4</v>
      </c>
      <c r="E76" s="2" t="s">
        <v>83</v>
      </c>
      <c r="F76" s="2" t="s">
        <v>73</v>
      </c>
      <c r="G76" s="2" t="s">
        <v>46</v>
      </c>
      <c r="H76" s="3">
        <v>2240</v>
      </c>
      <c r="I76" s="3">
        <v>60332</v>
      </c>
      <c r="J76" s="3">
        <f t="shared" si="1"/>
        <v>135143680</v>
      </c>
      <c r="K76" s="3">
        <v>99864899</v>
      </c>
      <c r="L76" s="3">
        <v>12539953</v>
      </c>
    </row>
    <row r="77" spans="1:12" x14ac:dyDescent="0.3">
      <c r="A77" s="2" t="s">
        <v>140</v>
      </c>
      <c r="B77" s="2" t="str">
        <f>LEFT(Table1[[#This Row],[تاریخ]],4)</f>
        <v>1398</v>
      </c>
      <c r="C77" s="2" t="s">
        <v>3</v>
      </c>
      <c r="D77" s="2" t="s">
        <v>4</v>
      </c>
      <c r="E77" s="2" t="s">
        <v>85</v>
      </c>
      <c r="F77" s="2" t="s">
        <v>76</v>
      </c>
      <c r="G77" s="2" t="s">
        <v>46</v>
      </c>
      <c r="H77" s="3">
        <v>2240</v>
      </c>
      <c r="I77" s="3">
        <v>104728</v>
      </c>
      <c r="J77" s="3">
        <f t="shared" si="1"/>
        <v>234590720</v>
      </c>
      <c r="K77" s="3">
        <v>126738225</v>
      </c>
      <c r="L77" s="3">
        <v>61600277</v>
      </c>
    </row>
    <row r="78" spans="1:12" x14ac:dyDescent="0.3">
      <c r="A78" s="2" t="s">
        <v>141</v>
      </c>
      <c r="B78" s="2" t="str">
        <f>LEFT(Table1[[#This Row],[تاریخ]],4)</f>
        <v>1398</v>
      </c>
      <c r="C78" s="2" t="s">
        <v>3</v>
      </c>
      <c r="D78" s="2" t="s">
        <v>4</v>
      </c>
      <c r="E78" s="2" t="s">
        <v>61</v>
      </c>
      <c r="F78" s="2" t="s">
        <v>30</v>
      </c>
      <c r="G78" s="2" t="s">
        <v>50</v>
      </c>
      <c r="H78" s="3">
        <v>2380</v>
      </c>
      <c r="I78" s="3">
        <v>138740</v>
      </c>
      <c r="J78" s="3">
        <f t="shared" si="1"/>
        <v>330201200</v>
      </c>
      <c r="K78" s="3">
        <v>86910723</v>
      </c>
      <c r="L78" s="3">
        <v>97919734</v>
      </c>
    </row>
    <row r="79" spans="1:12" x14ac:dyDescent="0.3">
      <c r="A79" s="2" t="s">
        <v>142</v>
      </c>
      <c r="B79" s="2" t="str">
        <f>LEFT(Table1[[#This Row],[تاریخ]],4)</f>
        <v>1398</v>
      </c>
      <c r="C79" s="2" t="s">
        <v>3</v>
      </c>
      <c r="D79" s="2" t="s">
        <v>4</v>
      </c>
      <c r="E79" s="2" t="s">
        <v>64</v>
      </c>
      <c r="F79" s="2" t="s">
        <v>33</v>
      </c>
      <c r="G79" s="2" t="s">
        <v>31</v>
      </c>
      <c r="H79" s="3">
        <v>3535</v>
      </c>
      <c r="I79" s="3">
        <v>74020</v>
      </c>
      <c r="J79" s="3">
        <f t="shared" si="1"/>
        <v>261660700</v>
      </c>
      <c r="K79" s="3">
        <v>33461672</v>
      </c>
      <c r="L79" s="3">
        <v>8094094</v>
      </c>
    </row>
    <row r="80" spans="1:12" x14ac:dyDescent="0.3">
      <c r="A80" s="2" t="s">
        <v>143</v>
      </c>
      <c r="B80" s="2" t="str">
        <f>LEFT(Table1[[#This Row],[تاریخ]],4)</f>
        <v>1398</v>
      </c>
      <c r="C80" s="2" t="s">
        <v>3</v>
      </c>
      <c r="D80" s="2" t="s">
        <v>5</v>
      </c>
      <c r="E80" s="2" t="s">
        <v>29</v>
      </c>
      <c r="F80" s="2" t="s">
        <v>37</v>
      </c>
      <c r="G80" s="2" t="s">
        <v>34</v>
      </c>
      <c r="H80" s="3">
        <v>2940</v>
      </c>
      <c r="I80" s="3">
        <v>74538</v>
      </c>
      <c r="J80" s="3">
        <f t="shared" si="1"/>
        <v>219141720</v>
      </c>
      <c r="K80" s="3">
        <v>138129352</v>
      </c>
      <c r="L80" s="3">
        <v>52804138</v>
      </c>
    </row>
    <row r="81" spans="1:12" x14ac:dyDescent="0.3">
      <c r="A81" s="2" t="s">
        <v>144</v>
      </c>
      <c r="B81" s="2" t="str">
        <f>LEFT(Table1[[#This Row],[تاریخ]],4)</f>
        <v>1398</v>
      </c>
      <c r="C81" s="2" t="s">
        <v>3</v>
      </c>
      <c r="D81" s="2" t="s">
        <v>5</v>
      </c>
      <c r="E81" s="2" t="s">
        <v>69</v>
      </c>
      <c r="F81" s="2" t="s">
        <v>41</v>
      </c>
      <c r="G81" s="2" t="s">
        <v>38</v>
      </c>
      <c r="H81" s="3">
        <v>2975</v>
      </c>
      <c r="I81" s="3">
        <v>148434</v>
      </c>
      <c r="J81" s="3">
        <f t="shared" si="1"/>
        <v>441591150</v>
      </c>
      <c r="K81" s="3">
        <v>62250644</v>
      </c>
      <c r="L81" s="3">
        <v>130142790</v>
      </c>
    </row>
    <row r="82" spans="1:12" x14ac:dyDescent="0.3">
      <c r="A82" s="2" t="s">
        <v>145</v>
      </c>
      <c r="B82" s="2" t="str">
        <f>LEFT(Table1[[#This Row],[تاریخ]],4)</f>
        <v>1398</v>
      </c>
      <c r="C82" s="2" t="s">
        <v>3</v>
      </c>
      <c r="D82" s="2" t="s">
        <v>5</v>
      </c>
      <c r="E82" s="2" t="s">
        <v>72</v>
      </c>
      <c r="F82" s="2" t="s">
        <v>45</v>
      </c>
      <c r="G82" s="2" t="s">
        <v>42</v>
      </c>
      <c r="H82" s="3">
        <v>1925</v>
      </c>
      <c r="I82" s="3">
        <v>121095</v>
      </c>
      <c r="J82" s="3">
        <f t="shared" si="1"/>
        <v>233107875</v>
      </c>
      <c r="K82" s="3">
        <v>106059989</v>
      </c>
      <c r="L82" s="3">
        <v>35403166</v>
      </c>
    </row>
    <row r="83" spans="1:12" x14ac:dyDescent="0.3">
      <c r="A83" s="2" t="s">
        <v>146</v>
      </c>
      <c r="B83" s="2" t="str">
        <f>LEFT(Table1[[#This Row],[تاریخ]],4)</f>
        <v>1398</v>
      </c>
      <c r="C83" s="2" t="s">
        <v>3</v>
      </c>
      <c r="D83" s="2" t="s">
        <v>5</v>
      </c>
      <c r="E83" s="2" t="s">
        <v>75</v>
      </c>
      <c r="F83" s="2" t="s">
        <v>49</v>
      </c>
      <c r="G83" s="2" t="s">
        <v>46</v>
      </c>
      <c r="H83" s="3">
        <v>2450</v>
      </c>
      <c r="I83" s="3">
        <v>145510</v>
      </c>
      <c r="J83" s="3">
        <f t="shared" si="1"/>
        <v>356499500</v>
      </c>
      <c r="K83" s="3">
        <v>334921626</v>
      </c>
      <c r="L83" s="3">
        <v>2870556</v>
      </c>
    </row>
    <row r="84" spans="1:12" x14ac:dyDescent="0.3">
      <c r="A84" s="2" t="s">
        <v>147</v>
      </c>
      <c r="B84" s="2" t="str">
        <f>LEFT(Table1[[#This Row],[تاریخ]],4)</f>
        <v>1398</v>
      </c>
      <c r="C84" s="2" t="s">
        <v>3</v>
      </c>
      <c r="D84" s="2" t="s">
        <v>5</v>
      </c>
      <c r="E84" s="2" t="s">
        <v>44</v>
      </c>
      <c r="F84" s="2" t="s">
        <v>53</v>
      </c>
      <c r="G84" s="2" t="s">
        <v>46</v>
      </c>
      <c r="H84" s="3">
        <v>2555</v>
      </c>
      <c r="I84" s="3">
        <v>67377</v>
      </c>
      <c r="J84" s="3">
        <f t="shared" si="1"/>
        <v>172148235</v>
      </c>
      <c r="K84" s="3">
        <v>147307570</v>
      </c>
      <c r="L84" s="3">
        <v>23756602</v>
      </c>
    </row>
    <row r="85" spans="1:12" x14ac:dyDescent="0.3">
      <c r="A85" s="2" t="s">
        <v>148</v>
      </c>
      <c r="B85" s="2" t="str">
        <f>LEFT(Table1[[#This Row],[تاریخ]],4)</f>
        <v>1398</v>
      </c>
      <c r="C85" s="2" t="s">
        <v>3</v>
      </c>
      <c r="D85" s="2" t="s">
        <v>5</v>
      </c>
      <c r="E85" s="2" t="s">
        <v>79</v>
      </c>
      <c r="F85" s="2" t="s">
        <v>56</v>
      </c>
      <c r="G85" s="2" t="s">
        <v>50</v>
      </c>
      <c r="H85" s="3">
        <v>3605</v>
      </c>
      <c r="I85" s="3">
        <v>85698</v>
      </c>
      <c r="J85" s="3">
        <f t="shared" si="1"/>
        <v>308941290</v>
      </c>
      <c r="K85" s="3">
        <v>218953564</v>
      </c>
      <c r="L85" s="3">
        <v>56647625</v>
      </c>
    </row>
    <row r="86" spans="1:12" x14ac:dyDescent="0.3">
      <c r="A86" s="2" t="s">
        <v>149</v>
      </c>
      <c r="B86" s="2" t="str">
        <f>LEFT(Table1[[#This Row],[تاریخ]],4)</f>
        <v>1398</v>
      </c>
      <c r="C86" s="2" t="s">
        <v>7</v>
      </c>
      <c r="D86" s="2" t="s">
        <v>6</v>
      </c>
      <c r="E86" s="2" t="s">
        <v>81</v>
      </c>
      <c r="F86" s="2" t="s">
        <v>59</v>
      </c>
      <c r="G86" s="2" t="s">
        <v>31</v>
      </c>
      <c r="H86" s="3">
        <v>2205</v>
      </c>
      <c r="I86" s="3">
        <v>54527</v>
      </c>
      <c r="J86" s="3">
        <f t="shared" si="1"/>
        <v>120232035</v>
      </c>
      <c r="K86" s="3">
        <v>52104045</v>
      </c>
      <c r="L86" s="3">
        <v>12191606</v>
      </c>
    </row>
    <row r="87" spans="1:12" x14ac:dyDescent="0.3">
      <c r="A87" s="2" t="s">
        <v>150</v>
      </c>
      <c r="B87" s="2" t="str">
        <f>LEFT(Table1[[#This Row],[تاریخ]],4)</f>
        <v>1398</v>
      </c>
      <c r="C87" s="2" t="s">
        <v>7</v>
      </c>
      <c r="D87" s="2" t="s">
        <v>6</v>
      </c>
      <c r="E87" s="2" t="s">
        <v>83</v>
      </c>
      <c r="F87" s="2" t="s">
        <v>62</v>
      </c>
      <c r="G87" s="2" t="s">
        <v>34</v>
      </c>
      <c r="H87" s="3">
        <v>2975</v>
      </c>
      <c r="I87" s="3">
        <v>50037</v>
      </c>
      <c r="J87" s="3">
        <f t="shared" si="1"/>
        <v>148860075</v>
      </c>
      <c r="K87" s="3">
        <v>34302348</v>
      </c>
      <c r="L87" s="3">
        <v>32163982</v>
      </c>
    </row>
    <row r="88" spans="1:12" x14ac:dyDescent="0.3">
      <c r="A88" s="2" t="s">
        <v>151</v>
      </c>
      <c r="B88" s="2" t="str">
        <f>LEFT(Table1[[#This Row],[تاریخ]],4)</f>
        <v>1398</v>
      </c>
      <c r="C88" s="2" t="s">
        <v>7</v>
      </c>
      <c r="D88" s="2" t="s">
        <v>6</v>
      </c>
      <c r="E88" s="2" t="s">
        <v>85</v>
      </c>
      <c r="F88" s="2" t="s">
        <v>65</v>
      </c>
      <c r="G88" s="2" t="s">
        <v>38</v>
      </c>
      <c r="H88" s="3">
        <v>3780</v>
      </c>
      <c r="I88" s="3">
        <v>130273</v>
      </c>
      <c r="J88" s="3">
        <f t="shared" si="1"/>
        <v>492431940</v>
      </c>
      <c r="K88" s="3">
        <v>210085774</v>
      </c>
      <c r="L88" s="3">
        <v>131914801</v>
      </c>
    </row>
    <row r="89" spans="1:12" x14ac:dyDescent="0.3">
      <c r="A89" s="2" t="s">
        <v>152</v>
      </c>
      <c r="B89" s="2" t="str">
        <f>LEFT(Table1[[#This Row],[تاریخ]],4)</f>
        <v>1398</v>
      </c>
      <c r="C89" s="2" t="s">
        <v>7</v>
      </c>
      <c r="D89" s="2" t="s">
        <v>6</v>
      </c>
      <c r="E89" s="2" t="s">
        <v>61</v>
      </c>
      <c r="F89" s="2" t="s">
        <v>67</v>
      </c>
      <c r="G89" s="2" t="s">
        <v>42</v>
      </c>
      <c r="H89" s="3">
        <v>3465</v>
      </c>
      <c r="I89" s="3">
        <v>118401</v>
      </c>
      <c r="J89" s="3">
        <f t="shared" si="1"/>
        <v>410259465</v>
      </c>
      <c r="K89" s="3">
        <v>249320157</v>
      </c>
      <c r="L89" s="3">
        <v>91559298</v>
      </c>
    </row>
    <row r="90" spans="1:12" x14ac:dyDescent="0.3">
      <c r="A90" s="2" t="s">
        <v>153</v>
      </c>
      <c r="B90" s="2" t="str">
        <f>LEFT(Table1[[#This Row],[تاریخ]],4)</f>
        <v>1398</v>
      </c>
      <c r="C90" s="2" t="s">
        <v>7</v>
      </c>
      <c r="D90" s="2" t="s">
        <v>6</v>
      </c>
      <c r="E90" s="2" t="s">
        <v>64</v>
      </c>
      <c r="F90" s="2" t="s">
        <v>70</v>
      </c>
      <c r="G90" s="2" t="s">
        <v>46</v>
      </c>
      <c r="H90" s="3">
        <v>2940</v>
      </c>
      <c r="I90" s="3">
        <v>124728</v>
      </c>
      <c r="J90" s="3">
        <f t="shared" si="1"/>
        <v>366700320</v>
      </c>
      <c r="K90" s="3">
        <v>281753048</v>
      </c>
      <c r="L90" s="3">
        <v>109768070</v>
      </c>
    </row>
    <row r="91" spans="1:12" x14ac:dyDescent="0.3">
      <c r="A91" s="2" t="s">
        <v>154</v>
      </c>
      <c r="B91" s="2" t="str">
        <f>LEFT(Table1[[#This Row],[تاریخ]],4)</f>
        <v>1398</v>
      </c>
      <c r="C91" s="2" t="s">
        <v>7</v>
      </c>
      <c r="D91" s="2" t="s">
        <v>6</v>
      </c>
      <c r="E91" s="2" t="s">
        <v>29</v>
      </c>
      <c r="F91" s="2" t="s">
        <v>73</v>
      </c>
      <c r="G91" s="2" t="s">
        <v>46</v>
      </c>
      <c r="H91" s="3">
        <v>3710</v>
      </c>
      <c r="I91" s="3">
        <v>125288</v>
      </c>
      <c r="J91" s="3">
        <f t="shared" si="1"/>
        <v>464818480</v>
      </c>
      <c r="K91" s="3">
        <v>325660486</v>
      </c>
      <c r="L91" s="3">
        <v>83518842</v>
      </c>
    </row>
    <row r="92" spans="1:12" x14ac:dyDescent="0.3">
      <c r="A92" s="2" t="s">
        <v>155</v>
      </c>
      <c r="B92" s="2" t="str">
        <f>LEFT(Table1[[#This Row],[تاریخ]],4)</f>
        <v>1398</v>
      </c>
      <c r="C92" s="2" t="s">
        <v>7</v>
      </c>
      <c r="D92" s="2" t="s">
        <v>8</v>
      </c>
      <c r="E92" s="2" t="s">
        <v>69</v>
      </c>
      <c r="F92" s="2" t="s">
        <v>76</v>
      </c>
      <c r="G92" s="2" t="s">
        <v>50</v>
      </c>
      <c r="H92" s="3">
        <v>2555</v>
      </c>
      <c r="I92" s="3">
        <v>104852</v>
      </c>
      <c r="J92" s="3">
        <f t="shared" si="1"/>
        <v>267896860</v>
      </c>
      <c r="K92" s="3">
        <v>171502615</v>
      </c>
      <c r="L92" s="3">
        <v>75397163</v>
      </c>
    </row>
    <row r="93" spans="1:12" x14ac:dyDescent="0.3">
      <c r="A93" s="2" t="s">
        <v>156</v>
      </c>
      <c r="B93" s="2" t="str">
        <f>LEFT(Table1[[#This Row],[تاریخ]],4)</f>
        <v>1398</v>
      </c>
      <c r="C93" s="2" t="s">
        <v>7</v>
      </c>
      <c r="D93" s="2" t="s">
        <v>8</v>
      </c>
      <c r="E93" s="2" t="s">
        <v>72</v>
      </c>
      <c r="F93" s="2" t="s">
        <v>30</v>
      </c>
      <c r="G93" s="2" t="s">
        <v>31</v>
      </c>
      <c r="H93" s="3">
        <v>1855</v>
      </c>
      <c r="I93" s="3">
        <v>95519</v>
      </c>
      <c r="J93" s="3">
        <f t="shared" si="1"/>
        <v>177187745</v>
      </c>
      <c r="K93" s="3">
        <v>26421417</v>
      </c>
      <c r="L93" s="3">
        <v>13896955</v>
      </c>
    </row>
    <row r="94" spans="1:12" x14ac:dyDescent="0.3">
      <c r="A94" s="2" t="s">
        <v>157</v>
      </c>
      <c r="B94" s="2" t="str">
        <f>LEFT(Table1[[#This Row],[تاریخ]],4)</f>
        <v>1398</v>
      </c>
      <c r="C94" s="2" t="s">
        <v>7</v>
      </c>
      <c r="D94" s="2" t="s">
        <v>8</v>
      </c>
      <c r="E94" s="2" t="s">
        <v>75</v>
      </c>
      <c r="F94" s="2" t="s">
        <v>33</v>
      </c>
      <c r="G94" s="2" t="s">
        <v>34</v>
      </c>
      <c r="H94" s="3">
        <v>2905</v>
      </c>
      <c r="I94" s="3">
        <v>98145</v>
      </c>
      <c r="J94" s="3">
        <f t="shared" si="1"/>
        <v>285111225</v>
      </c>
      <c r="K94" s="3">
        <v>149627127</v>
      </c>
      <c r="L94" s="3">
        <v>27673673</v>
      </c>
    </row>
    <row r="95" spans="1:12" x14ac:dyDescent="0.3">
      <c r="A95" s="2" t="s">
        <v>158</v>
      </c>
      <c r="B95" s="2" t="str">
        <f>LEFT(Table1[[#This Row],[تاریخ]],4)</f>
        <v>1398</v>
      </c>
      <c r="C95" s="2" t="s">
        <v>7</v>
      </c>
      <c r="D95" s="2" t="s">
        <v>8</v>
      </c>
      <c r="E95" s="2" t="s">
        <v>44</v>
      </c>
      <c r="F95" s="2" t="s">
        <v>37</v>
      </c>
      <c r="G95" s="2" t="s">
        <v>38</v>
      </c>
      <c r="H95" s="3">
        <v>1960</v>
      </c>
      <c r="I95" s="3">
        <v>71478</v>
      </c>
      <c r="J95" s="3">
        <f t="shared" si="1"/>
        <v>140096880</v>
      </c>
      <c r="K95" s="3">
        <v>129857508</v>
      </c>
      <c r="L95" s="3">
        <v>12149328</v>
      </c>
    </row>
    <row r="96" spans="1:12" x14ac:dyDescent="0.3">
      <c r="A96" s="2" t="s">
        <v>159</v>
      </c>
      <c r="B96" s="2" t="str">
        <f>LEFT(Table1[[#This Row],[تاریخ]],4)</f>
        <v>1398</v>
      </c>
      <c r="C96" s="2" t="s">
        <v>7</v>
      </c>
      <c r="D96" s="2" t="s">
        <v>8</v>
      </c>
      <c r="E96" s="2" t="s">
        <v>79</v>
      </c>
      <c r="F96" s="2" t="s">
        <v>41</v>
      </c>
      <c r="G96" s="2" t="s">
        <v>42</v>
      </c>
      <c r="H96" s="3">
        <v>2730</v>
      </c>
      <c r="I96" s="3">
        <v>80534</v>
      </c>
      <c r="J96" s="3">
        <f t="shared" si="1"/>
        <v>219857820</v>
      </c>
      <c r="K96" s="3">
        <v>26924440</v>
      </c>
      <c r="L96" s="3">
        <v>2302371</v>
      </c>
    </row>
    <row r="97" spans="1:12" x14ac:dyDescent="0.3">
      <c r="A97" s="2" t="s">
        <v>160</v>
      </c>
      <c r="B97" s="2" t="str">
        <f>LEFT(Table1[[#This Row],[تاریخ]],4)</f>
        <v>1398</v>
      </c>
      <c r="C97" s="2" t="s">
        <v>7</v>
      </c>
      <c r="D97" s="2" t="s">
        <v>8</v>
      </c>
      <c r="E97" s="2" t="s">
        <v>81</v>
      </c>
      <c r="F97" s="2" t="s">
        <v>45</v>
      </c>
      <c r="G97" s="2" t="s">
        <v>46</v>
      </c>
      <c r="H97" s="3">
        <v>2450</v>
      </c>
      <c r="I97" s="3">
        <v>61521</v>
      </c>
      <c r="J97" s="3">
        <f t="shared" si="1"/>
        <v>150726450</v>
      </c>
      <c r="K97" s="3">
        <v>90273128</v>
      </c>
      <c r="L97" s="3">
        <v>29546750</v>
      </c>
    </row>
    <row r="98" spans="1:12" x14ac:dyDescent="0.3">
      <c r="A98" s="2" t="s">
        <v>161</v>
      </c>
      <c r="B98" s="2" t="str">
        <f>LEFT(Table1[[#This Row],[تاریخ]],4)</f>
        <v>1398</v>
      </c>
      <c r="C98" s="2" t="s">
        <v>7</v>
      </c>
      <c r="D98" s="2" t="s">
        <v>9</v>
      </c>
      <c r="E98" s="2" t="s">
        <v>83</v>
      </c>
      <c r="F98" s="2" t="s">
        <v>49</v>
      </c>
      <c r="G98" s="2" t="s">
        <v>46</v>
      </c>
      <c r="H98" s="3">
        <v>2835</v>
      </c>
      <c r="I98" s="3">
        <v>57506</v>
      </c>
      <c r="J98" s="3">
        <f t="shared" si="1"/>
        <v>163029510</v>
      </c>
      <c r="K98" s="3">
        <v>81309166</v>
      </c>
      <c r="L98" s="3">
        <v>24746417</v>
      </c>
    </row>
    <row r="99" spans="1:12" x14ac:dyDescent="0.3">
      <c r="A99" s="2" t="s">
        <v>162</v>
      </c>
      <c r="B99" s="2" t="str">
        <f>LEFT(Table1[[#This Row],[تاریخ]],4)</f>
        <v>1398</v>
      </c>
      <c r="C99" s="2" t="s">
        <v>7</v>
      </c>
      <c r="D99" s="2" t="s">
        <v>9</v>
      </c>
      <c r="E99" s="2" t="s">
        <v>85</v>
      </c>
      <c r="F99" s="2" t="s">
        <v>53</v>
      </c>
      <c r="G99" s="2" t="s">
        <v>50</v>
      </c>
      <c r="H99" s="3">
        <v>2730</v>
      </c>
      <c r="I99" s="3">
        <v>59561</v>
      </c>
      <c r="J99" s="3">
        <f t="shared" si="1"/>
        <v>162601530</v>
      </c>
      <c r="K99" s="3">
        <v>18458445</v>
      </c>
      <c r="L99" s="3">
        <v>41997778</v>
      </c>
    </row>
    <row r="100" spans="1:12" x14ac:dyDescent="0.3">
      <c r="A100" s="2" t="s">
        <v>163</v>
      </c>
      <c r="B100" s="2" t="str">
        <f>LEFT(Table1[[#This Row],[تاریخ]],4)</f>
        <v>1398</v>
      </c>
      <c r="C100" s="2" t="s">
        <v>7</v>
      </c>
      <c r="D100" s="2" t="s">
        <v>9</v>
      </c>
      <c r="E100" s="2" t="s">
        <v>61</v>
      </c>
      <c r="F100" s="2" t="s">
        <v>56</v>
      </c>
      <c r="G100" s="2" t="s">
        <v>31</v>
      </c>
      <c r="H100" s="3">
        <v>3535</v>
      </c>
      <c r="I100" s="3">
        <v>128915</v>
      </c>
      <c r="J100" s="3">
        <f t="shared" si="1"/>
        <v>455714525</v>
      </c>
      <c r="K100" s="3">
        <v>376488001</v>
      </c>
      <c r="L100" s="3">
        <v>52327960</v>
      </c>
    </row>
    <row r="101" spans="1:12" x14ac:dyDescent="0.3">
      <c r="A101" s="2" t="s">
        <v>164</v>
      </c>
      <c r="B101" s="2" t="str">
        <f>LEFT(Table1[[#This Row],[تاریخ]],4)</f>
        <v>1398</v>
      </c>
      <c r="C101" s="2" t="s">
        <v>7</v>
      </c>
      <c r="D101" s="2" t="s">
        <v>9</v>
      </c>
      <c r="E101" s="2" t="s">
        <v>64</v>
      </c>
      <c r="F101" s="2" t="s">
        <v>59</v>
      </c>
      <c r="G101" s="2" t="s">
        <v>34</v>
      </c>
      <c r="H101" s="3">
        <v>1820</v>
      </c>
      <c r="I101" s="3">
        <v>50512</v>
      </c>
      <c r="J101" s="3">
        <f t="shared" si="1"/>
        <v>91931840</v>
      </c>
      <c r="K101" s="3">
        <v>80351773</v>
      </c>
      <c r="L101" s="3">
        <v>1202953</v>
      </c>
    </row>
    <row r="102" spans="1:12" x14ac:dyDescent="0.3">
      <c r="A102" s="2" t="s">
        <v>165</v>
      </c>
      <c r="B102" s="2" t="str">
        <f>LEFT(Table1[[#This Row],[تاریخ]],4)</f>
        <v>1398</v>
      </c>
      <c r="C102" s="2" t="s">
        <v>7</v>
      </c>
      <c r="D102" s="2" t="s">
        <v>9</v>
      </c>
      <c r="E102" s="2" t="s">
        <v>29</v>
      </c>
      <c r="F102" s="2" t="s">
        <v>62</v>
      </c>
      <c r="G102" s="2" t="s">
        <v>38</v>
      </c>
      <c r="H102" s="3">
        <v>2590</v>
      </c>
      <c r="I102" s="3">
        <v>94316</v>
      </c>
      <c r="J102" s="3">
        <f t="shared" si="1"/>
        <v>244278440</v>
      </c>
      <c r="K102" s="3">
        <v>128130611</v>
      </c>
      <c r="L102" s="3">
        <v>28061677</v>
      </c>
    </row>
    <row r="103" spans="1:12" x14ac:dyDescent="0.3">
      <c r="A103" s="2" t="s">
        <v>166</v>
      </c>
      <c r="B103" s="2" t="str">
        <f>LEFT(Table1[[#This Row],[تاریخ]],4)</f>
        <v>1398</v>
      </c>
      <c r="C103" s="2" t="s">
        <v>7</v>
      </c>
      <c r="D103" s="2" t="s">
        <v>9</v>
      </c>
      <c r="E103" s="2" t="s">
        <v>69</v>
      </c>
      <c r="F103" s="2" t="s">
        <v>65</v>
      </c>
      <c r="G103" s="2" t="s">
        <v>42</v>
      </c>
      <c r="H103" s="3">
        <v>3465</v>
      </c>
      <c r="I103" s="3">
        <v>117180</v>
      </c>
      <c r="J103" s="3">
        <f t="shared" si="1"/>
        <v>406028700</v>
      </c>
      <c r="K103" s="3">
        <v>329638955</v>
      </c>
      <c r="L103" s="3">
        <v>45931929</v>
      </c>
    </row>
    <row r="104" spans="1:12" x14ac:dyDescent="0.3">
      <c r="A104" s="2" t="s">
        <v>167</v>
      </c>
      <c r="B104" s="2" t="str">
        <f>LEFT(Table1[[#This Row],[تاریخ]],4)</f>
        <v>1398</v>
      </c>
      <c r="C104" s="2" t="s">
        <v>11</v>
      </c>
      <c r="D104" s="2" t="s">
        <v>10</v>
      </c>
      <c r="E104" s="2" t="s">
        <v>72</v>
      </c>
      <c r="F104" s="2" t="s">
        <v>67</v>
      </c>
      <c r="G104" s="2" t="s">
        <v>46</v>
      </c>
      <c r="H104" s="3">
        <v>3535</v>
      </c>
      <c r="I104" s="3">
        <v>138387</v>
      </c>
      <c r="J104" s="3">
        <f t="shared" si="1"/>
        <v>489198045</v>
      </c>
      <c r="K104" s="3">
        <v>185167723</v>
      </c>
      <c r="L104" s="3">
        <v>112898280</v>
      </c>
    </row>
    <row r="105" spans="1:12" x14ac:dyDescent="0.3">
      <c r="A105" s="2" t="s">
        <v>168</v>
      </c>
      <c r="B105" s="2" t="str">
        <f>LEFT(Table1[[#This Row],[تاریخ]],4)</f>
        <v>1398</v>
      </c>
      <c r="C105" s="2" t="s">
        <v>11</v>
      </c>
      <c r="D105" s="2" t="s">
        <v>10</v>
      </c>
      <c r="E105" s="2" t="s">
        <v>75</v>
      </c>
      <c r="F105" s="2" t="s">
        <v>70</v>
      </c>
      <c r="G105" s="2" t="s">
        <v>46</v>
      </c>
      <c r="H105" s="3">
        <v>2415</v>
      </c>
      <c r="I105" s="3">
        <v>119421</v>
      </c>
      <c r="J105" s="3">
        <f t="shared" si="1"/>
        <v>288401715</v>
      </c>
      <c r="K105" s="3">
        <v>260174685</v>
      </c>
      <c r="L105" s="3">
        <v>9288886</v>
      </c>
    </row>
    <row r="106" spans="1:12" x14ac:dyDescent="0.3">
      <c r="A106" s="2" t="s">
        <v>169</v>
      </c>
      <c r="B106" s="2" t="str">
        <f>LEFT(Table1[[#This Row],[تاریخ]],4)</f>
        <v>1398</v>
      </c>
      <c r="C106" s="2" t="s">
        <v>11</v>
      </c>
      <c r="D106" s="2" t="s">
        <v>10</v>
      </c>
      <c r="E106" s="2" t="s">
        <v>44</v>
      </c>
      <c r="F106" s="2" t="s">
        <v>73</v>
      </c>
      <c r="G106" s="2" t="s">
        <v>50</v>
      </c>
      <c r="H106" s="3">
        <v>3220</v>
      </c>
      <c r="I106" s="3">
        <v>74849</v>
      </c>
      <c r="J106" s="3">
        <f t="shared" si="1"/>
        <v>241013780</v>
      </c>
      <c r="K106" s="3">
        <v>93264323</v>
      </c>
      <c r="L106" s="3">
        <v>20490437</v>
      </c>
    </row>
    <row r="107" spans="1:12" x14ac:dyDescent="0.3">
      <c r="A107" s="2" t="s">
        <v>170</v>
      </c>
      <c r="B107" s="2" t="str">
        <f>LEFT(Table1[[#This Row],[تاریخ]],4)</f>
        <v>1398</v>
      </c>
      <c r="C107" s="2" t="s">
        <v>11</v>
      </c>
      <c r="D107" s="2" t="s">
        <v>10</v>
      </c>
      <c r="E107" s="2" t="s">
        <v>79</v>
      </c>
      <c r="F107" s="2" t="s">
        <v>76</v>
      </c>
      <c r="G107" s="2" t="s">
        <v>31</v>
      </c>
      <c r="H107" s="3">
        <v>2310</v>
      </c>
      <c r="I107" s="3">
        <v>144964</v>
      </c>
      <c r="J107" s="3">
        <f t="shared" si="1"/>
        <v>334866840</v>
      </c>
      <c r="K107" s="3">
        <v>157594307</v>
      </c>
      <c r="L107" s="3">
        <v>3073085</v>
      </c>
    </row>
    <row r="108" spans="1:12" x14ac:dyDescent="0.3">
      <c r="A108" s="2" t="s">
        <v>171</v>
      </c>
      <c r="B108" s="2" t="str">
        <f>LEFT(Table1[[#This Row],[تاریخ]],4)</f>
        <v>1398</v>
      </c>
      <c r="C108" s="2" t="s">
        <v>11</v>
      </c>
      <c r="D108" s="2" t="s">
        <v>10</v>
      </c>
      <c r="E108" s="2" t="s">
        <v>81</v>
      </c>
      <c r="F108" s="2" t="s">
        <v>30</v>
      </c>
      <c r="G108" s="2" t="s">
        <v>34</v>
      </c>
      <c r="H108" s="3">
        <v>3465</v>
      </c>
      <c r="I108" s="3">
        <v>122970</v>
      </c>
      <c r="J108" s="3">
        <f t="shared" si="1"/>
        <v>426091050</v>
      </c>
      <c r="K108" s="3">
        <v>108429635</v>
      </c>
      <c r="L108" s="3">
        <v>7522241</v>
      </c>
    </row>
    <row r="109" spans="1:12" x14ac:dyDescent="0.3">
      <c r="A109" s="2" t="s">
        <v>172</v>
      </c>
      <c r="B109" s="2" t="str">
        <f>LEFT(Table1[[#This Row],[تاریخ]],4)</f>
        <v>1398</v>
      </c>
      <c r="C109" s="2" t="s">
        <v>11</v>
      </c>
      <c r="D109" s="2" t="s">
        <v>10</v>
      </c>
      <c r="E109" s="2" t="s">
        <v>83</v>
      </c>
      <c r="F109" s="2" t="s">
        <v>33</v>
      </c>
      <c r="G109" s="2" t="s">
        <v>38</v>
      </c>
      <c r="H109" s="3">
        <v>2835</v>
      </c>
      <c r="I109" s="3">
        <v>141870</v>
      </c>
      <c r="J109" s="3">
        <f t="shared" si="1"/>
        <v>402201450</v>
      </c>
      <c r="K109" s="3">
        <v>17422464</v>
      </c>
      <c r="L109" s="3">
        <v>40195048</v>
      </c>
    </row>
    <row r="110" spans="1:12" x14ac:dyDescent="0.3">
      <c r="A110" s="2" t="s">
        <v>173</v>
      </c>
      <c r="B110" s="2" t="str">
        <f>LEFT(Table1[[#This Row],[تاریخ]],4)</f>
        <v>1398</v>
      </c>
      <c r="C110" s="2" t="s">
        <v>11</v>
      </c>
      <c r="D110" s="2" t="s">
        <v>12</v>
      </c>
      <c r="E110" s="2" t="s">
        <v>85</v>
      </c>
      <c r="F110" s="2" t="s">
        <v>37</v>
      </c>
      <c r="G110" s="2" t="s">
        <v>42</v>
      </c>
      <c r="H110" s="3">
        <v>1820</v>
      </c>
      <c r="I110" s="3">
        <v>117022</v>
      </c>
      <c r="J110" s="3">
        <f t="shared" si="1"/>
        <v>212980040</v>
      </c>
      <c r="K110" s="3">
        <v>180953944</v>
      </c>
      <c r="L110" s="3">
        <v>6276075</v>
      </c>
    </row>
    <row r="111" spans="1:12" x14ac:dyDescent="0.3">
      <c r="A111" s="2" t="s">
        <v>174</v>
      </c>
      <c r="B111" s="2" t="str">
        <f>LEFT(Table1[[#This Row],[تاریخ]],4)</f>
        <v>1398</v>
      </c>
      <c r="C111" s="2" t="s">
        <v>11</v>
      </c>
      <c r="D111" s="2" t="s">
        <v>12</v>
      </c>
      <c r="E111" s="2" t="s">
        <v>61</v>
      </c>
      <c r="F111" s="2" t="s">
        <v>41</v>
      </c>
      <c r="G111" s="2" t="s">
        <v>46</v>
      </c>
      <c r="H111" s="3">
        <v>3430</v>
      </c>
      <c r="I111" s="3">
        <v>65071</v>
      </c>
      <c r="J111" s="3">
        <f t="shared" si="1"/>
        <v>223193530</v>
      </c>
      <c r="K111" s="3">
        <v>147679953</v>
      </c>
      <c r="L111" s="3">
        <v>22611907</v>
      </c>
    </row>
    <row r="112" spans="1:12" x14ac:dyDescent="0.3">
      <c r="A112" s="2" t="s">
        <v>175</v>
      </c>
      <c r="B112" s="2" t="str">
        <f>LEFT(Table1[[#This Row],[تاریخ]],4)</f>
        <v>1398</v>
      </c>
      <c r="C112" s="2" t="s">
        <v>11</v>
      </c>
      <c r="D112" s="2" t="s">
        <v>12</v>
      </c>
      <c r="E112" s="2" t="s">
        <v>64</v>
      </c>
      <c r="F112" s="2" t="s">
        <v>45</v>
      </c>
      <c r="G112" s="2" t="s">
        <v>46</v>
      </c>
      <c r="H112" s="3">
        <v>2170</v>
      </c>
      <c r="I112" s="3">
        <v>93989</v>
      </c>
      <c r="J112" s="3">
        <f t="shared" si="1"/>
        <v>203956130</v>
      </c>
      <c r="K112" s="3">
        <v>160876845</v>
      </c>
      <c r="L112" s="3">
        <v>31168977</v>
      </c>
    </row>
    <row r="113" spans="1:12" x14ac:dyDescent="0.3">
      <c r="A113" s="2" t="s">
        <v>176</v>
      </c>
      <c r="B113" s="2" t="str">
        <f>LEFT(Table1[[#This Row],[تاریخ]],4)</f>
        <v>1398</v>
      </c>
      <c r="C113" s="2" t="s">
        <v>11</v>
      </c>
      <c r="D113" s="2" t="s">
        <v>12</v>
      </c>
      <c r="E113" s="2" t="s">
        <v>29</v>
      </c>
      <c r="F113" s="2" t="s">
        <v>49</v>
      </c>
      <c r="G113" s="2" t="s">
        <v>50</v>
      </c>
      <c r="H113" s="3">
        <v>3150</v>
      </c>
      <c r="I113" s="3">
        <v>128345</v>
      </c>
      <c r="J113" s="3">
        <f t="shared" si="1"/>
        <v>404286750</v>
      </c>
      <c r="K113" s="3">
        <v>97827049</v>
      </c>
      <c r="L113" s="3">
        <v>35519189</v>
      </c>
    </row>
    <row r="114" spans="1:12" x14ac:dyDescent="0.3">
      <c r="A114" s="2" t="s">
        <v>177</v>
      </c>
      <c r="B114" s="2" t="str">
        <f>LEFT(Table1[[#This Row],[تاریخ]],4)</f>
        <v>1398</v>
      </c>
      <c r="C114" s="2" t="s">
        <v>11</v>
      </c>
      <c r="D114" s="2" t="s">
        <v>12</v>
      </c>
      <c r="E114" s="2" t="s">
        <v>69</v>
      </c>
      <c r="F114" s="2" t="s">
        <v>53</v>
      </c>
      <c r="G114" s="2" t="s">
        <v>31</v>
      </c>
      <c r="H114" s="3">
        <v>2415</v>
      </c>
      <c r="I114" s="3">
        <v>139537</v>
      </c>
      <c r="J114" s="3">
        <f t="shared" si="1"/>
        <v>336981855</v>
      </c>
      <c r="K114" s="3">
        <v>231978024</v>
      </c>
      <c r="L114" s="3">
        <v>77896253</v>
      </c>
    </row>
    <row r="115" spans="1:12" x14ac:dyDescent="0.3">
      <c r="A115" s="2" t="s">
        <v>178</v>
      </c>
      <c r="B115" s="2" t="str">
        <f>LEFT(Table1[[#This Row],[تاریخ]],4)</f>
        <v>1398</v>
      </c>
      <c r="C115" s="2" t="s">
        <v>11</v>
      </c>
      <c r="D115" s="2" t="s">
        <v>12</v>
      </c>
      <c r="E115" s="2" t="s">
        <v>72</v>
      </c>
      <c r="F115" s="2" t="s">
        <v>56</v>
      </c>
      <c r="G115" s="2" t="s">
        <v>34</v>
      </c>
      <c r="H115" s="3">
        <v>2100</v>
      </c>
      <c r="I115" s="3">
        <v>103734</v>
      </c>
      <c r="J115" s="3">
        <f t="shared" si="1"/>
        <v>217841400</v>
      </c>
      <c r="K115" s="3">
        <v>65026332</v>
      </c>
      <c r="L115" s="3">
        <v>25415804</v>
      </c>
    </row>
    <row r="116" spans="1:12" x14ac:dyDescent="0.3">
      <c r="A116" s="2" t="s">
        <v>179</v>
      </c>
      <c r="B116" s="2" t="str">
        <f>LEFT(Table1[[#This Row],[تاریخ]],4)</f>
        <v>1398</v>
      </c>
      <c r="C116" s="2" t="s">
        <v>11</v>
      </c>
      <c r="D116" s="2" t="s">
        <v>13</v>
      </c>
      <c r="E116" s="2" t="s">
        <v>75</v>
      </c>
      <c r="F116" s="2" t="s">
        <v>59</v>
      </c>
      <c r="G116" s="2" t="s">
        <v>38</v>
      </c>
      <c r="H116" s="3">
        <v>3430</v>
      </c>
      <c r="I116" s="3">
        <v>115914</v>
      </c>
      <c r="J116" s="3">
        <f t="shared" si="1"/>
        <v>397585020</v>
      </c>
      <c r="K116" s="3">
        <v>341125534</v>
      </c>
      <c r="L116" s="3">
        <v>34427502</v>
      </c>
    </row>
    <row r="117" spans="1:12" x14ac:dyDescent="0.3">
      <c r="A117" s="2" t="s">
        <v>180</v>
      </c>
      <c r="B117" s="2" t="str">
        <f>LEFT(Table1[[#This Row],[تاریخ]],4)</f>
        <v>1398</v>
      </c>
      <c r="C117" s="2" t="s">
        <v>11</v>
      </c>
      <c r="D117" s="2" t="s">
        <v>13</v>
      </c>
      <c r="E117" s="2" t="s">
        <v>44</v>
      </c>
      <c r="F117" s="2" t="s">
        <v>62</v>
      </c>
      <c r="G117" s="2" t="s">
        <v>42</v>
      </c>
      <c r="H117" s="3">
        <v>3220</v>
      </c>
      <c r="I117" s="3">
        <v>60433</v>
      </c>
      <c r="J117" s="3">
        <f t="shared" si="1"/>
        <v>194594260</v>
      </c>
      <c r="K117" s="3">
        <v>122382739</v>
      </c>
      <c r="L117" s="3">
        <v>56982706</v>
      </c>
    </row>
    <row r="118" spans="1:12" x14ac:dyDescent="0.3">
      <c r="A118" s="2" t="s">
        <v>181</v>
      </c>
      <c r="B118" s="2" t="str">
        <f>LEFT(Table1[[#This Row],[تاریخ]],4)</f>
        <v>1398</v>
      </c>
      <c r="C118" s="2" t="s">
        <v>11</v>
      </c>
      <c r="D118" s="2" t="s">
        <v>13</v>
      </c>
      <c r="E118" s="2" t="s">
        <v>79</v>
      </c>
      <c r="F118" s="2" t="s">
        <v>65</v>
      </c>
      <c r="G118" s="2" t="s">
        <v>46</v>
      </c>
      <c r="H118" s="3">
        <v>3290</v>
      </c>
      <c r="I118" s="3">
        <v>74347</v>
      </c>
      <c r="J118" s="3">
        <f t="shared" si="1"/>
        <v>244601630</v>
      </c>
      <c r="K118" s="3">
        <v>236266115</v>
      </c>
      <c r="L118" s="3">
        <v>73078685</v>
      </c>
    </row>
    <row r="119" spans="1:12" x14ac:dyDescent="0.3">
      <c r="A119" s="2" t="s">
        <v>182</v>
      </c>
      <c r="B119" s="2" t="str">
        <f>LEFT(Table1[[#This Row],[تاریخ]],4)</f>
        <v>1398</v>
      </c>
      <c r="C119" s="2" t="s">
        <v>11</v>
      </c>
      <c r="D119" s="2" t="s">
        <v>13</v>
      </c>
      <c r="E119" s="2" t="s">
        <v>81</v>
      </c>
      <c r="F119" s="2" t="s">
        <v>67</v>
      </c>
      <c r="G119" s="2" t="s">
        <v>46</v>
      </c>
      <c r="H119" s="3">
        <v>2345</v>
      </c>
      <c r="I119" s="3">
        <v>75591</v>
      </c>
      <c r="J119" s="3">
        <f t="shared" si="1"/>
        <v>177260895</v>
      </c>
      <c r="K119" s="3">
        <v>68155610</v>
      </c>
      <c r="L119" s="3">
        <v>52602309</v>
      </c>
    </row>
    <row r="120" spans="1:12" x14ac:dyDescent="0.3">
      <c r="A120" s="2" t="s">
        <v>183</v>
      </c>
      <c r="B120" s="2" t="str">
        <f>LEFT(Table1[[#This Row],[تاریخ]],4)</f>
        <v>1398</v>
      </c>
      <c r="C120" s="2" t="s">
        <v>11</v>
      </c>
      <c r="D120" s="2" t="s">
        <v>13</v>
      </c>
      <c r="E120" s="2" t="s">
        <v>83</v>
      </c>
      <c r="F120" s="2" t="s">
        <v>70</v>
      </c>
      <c r="G120" s="2" t="s">
        <v>50</v>
      </c>
      <c r="H120" s="3">
        <v>3290</v>
      </c>
      <c r="I120" s="3">
        <v>105011</v>
      </c>
      <c r="J120" s="3">
        <f t="shared" si="1"/>
        <v>345486190</v>
      </c>
      <c r="K120" s="3">
        <v>190610793</v>
      </c>
      <c r="L120" s="3">
        <v>26081170</v>
      </c>
    </row>
    <row r="121" spans="1:12" x14ac:dyDescent="0.3">
      <c r="A121" s="2" t="s">
        <v>184</v>
      </c>
      <c r="B121" s="2" t="str">
        <f>LEFT(Table1[[#This Row],[تاریخ]],4)</f>
        <v>1398</v>
      </c>
      <c r="C121" s="2" t="s">
        <v>11</v>
      </c>
      <c r="D121" s="2" t="s">
        <v>13</v>
      </c>
      <c r="E121" s="2" t="s">
        <v>85</v>
      </c>
      <c r="F121" s="2" t="s">
        <v>73</v>
      </c>
      <c r="G121" s="2" t="s">
        <v>31</v>
      </c>
      <c r="H121" s="3">
        <v>3080</v>
      </c>
      <c r="I121" s="3">
        <v>59037</v>
      </c>
      <c r="J121" s="3">
        <f t="shared" si="1"/>
        <v>181833960</v>
      </c>
      <c r="K121" s="3">
        <v>121925005</v>
      </c>
      <c r="L121" s="3">
        <v>50372211</v>
      </c>
    </row>
    <row r="122" spans="1:12" x14ac:dyDescent="0.3">
      <c r="A122" s="2" t="s">
        <v>185</v>
      </c>
      <c r="B122" s="2" t="str">
        <f>LEFT(Table1[[#This Row],[تاریخ]],4)</f>
        <v>1398</v>
      </c>
      <c r="C122" s="2" t="s">
        <v>15</v>
      </c>
      <c r="D122" s="2" t="s">
        <v>14</v>
      </c>
      <c r="E122" s="2" t="s">
        <v>61</v>
      </c>
      <c r="F122" s="2" t="s">
        <v>76</v>
      </c>
      <c r="G122" s="2" t="s">
        <v>34</v>
      </c>
      <c r="H122" s="3">
        <v>3185</v>
      </c>
      <c r="I122" s="3">
        <v>52466</v>
      </c>
      <c r="J122" s="3">
        <f t="shared" si="1"/>
        <v>167104210</v>
      </c>
      <c r="K122" s="3">
        <v>156557460</v>
      </c>
      <c r="L122" s="3">
        <v>12269531</v>
      </c>
    </row>
    <row r="123" spans="1:12" x14ac:dyDescent="0.3">
      <c r="A123" s="2" t="s">
        <v>186</v>
      </c>
      <c r="B123" s="2" t="str">
        <f>LEFT(Table1[[#This Row],[تاریخ]],4)</f>
        <v>1398</v>
      </c>
      <c r="C123" s="2" t="s">
        <v>15</v>
      </c>
      <c r="D123" s="2" t="s">
        <v>14</v>
      </c>
      <c r="E123" s="2" t="s">
        <v>64</v>
      </c>
      <c r="F123" s="2" t="s">
        <v>30</v>
      </c>
      <c r="G123" s="2" t="s">
        <v>38</v>
      </c>
      <c r="H123" s="3">
        <v>2555</v>
      </c>
      <c r="I123" s="3">
        <v>129167</v>
      </c>
      <c r="J123" s="3">
        <f t="shared" si="1"/>
        <v>330021685</v>
      </c>
      <c r="K123" s="3">
        <v>202476999</v>
      </c>
      <c r="L123" s="3">
        <v>59014154</v>
      </c>
    </row>
    <row r="124" spans="1:12" x14ac:dyDescent="0.3">
      <c r="A124" s="2" t="s">
        <v>187</v>
      </c>
      <c r="B124" s="2" t="str">
        <f>LEFT(Table1[[#This Row],[تاریخ]],4)</f>
        <v>1398</v>
      </c>
      <c r="C124" s="2" t="s">
        <v>15</v>
      </c>
      <c r="D124" s="2" t="s">
        <v>14</v>
      </c>
      <c r="E124" s="2" t="s">
        <v>29</v>
      </c>
      <c r="F124" s="2" t="s">
        <v>33</v>
      </c>
      <c r="G124" s="2" t="s">
        <v>42</v>
      </c>
      <c r="H124" s="3">
        <v>2485</v>
      </c>
      <c r="I124" s="3">
        <v>102315</v>
      </c>
      <c r="J124" s="3">
        <f t="shared" si="1"/>
        <v>254252775</v>
      </c>
      <c r="K124" s="3">
        <v>157210705</v>
      </c>
      <c r="L124" s="3">
        <v>36083563</v>
      </c>
    </row>
    <row r="125" spans="1:12" x14ac:dyDescent="0.3">
      <c r="A125" s="2" t="s">
        <v>188</v>
      </c>
      <c r="B125" s="2" t="str">
        <f>LEFT(Table1[[#This Row],[تاریخ]],4)</f>
        <v>1398</v>
      </c>
      <c r="C125" s="2" t="s">
        <v>15</v>
      </c>
      <c r="D125" s="2" t="s">
        <v>14</v>
      </c>
      <c r="E125" s="2" t="s">
        <v>69</v>
      </c>
      <c r="F125" s="2" t="s">
        <v>37</v>
      </c>
      <c r="G125" s="2" t="s">
        <v>46</v>
      </c>
      <c r="H125" s="3">
        <v>3780</v>
      </c>
      <c r="I125" s="3">
        <v>94142</v>
      </c>
      <c r="J125" s="3">
        <f t="shared" si="1"/>
        <v>355856760</v>
      </c>
      <c r="K125" s="3">
        <v>339831513</v>
      </c>
      <c r="L125" s="3">
        <v>84369534</v>
      </c>
    </row>
    <row r="126" spans="1:12" x14ac:dyDescent="0.3">
      <c r="A126" s="2" t="s">
        <v>189</v>
      </c>
      <c r="B126" s="2" t="str">
        <f>LEFT(Table1[[#This Row],[تاریخ]],4)</f>
        <v>1398</v>
      </c>
      <c r="C126" s="2" t="s">
        <v>15</v>
      </c>
      <c r="D126" s="2" t="s">
        <v>14</v>
      </c>
      <c r="E126" s="2" t="s">
        <v>72</v>
      </c>
      <c r="F126" s="2" t="s">
        <v>41</v>
      </c>
      <c r="G126" s="2" t="s">
        <v>46</v>
      </c>
      <c r="H126" s="3">
        <v>2555</v>
      </c>
      <c r="I126" s="3">
        <v>93022</v>
      </c>
      <c r="J126" s="3">
        <f t="shared" si="1"/>
        <v>237671210</v>
      </c>
      <c r="K126" s="3">
        <v>94612967</v>
      </c>
      <c r="L126" s="3">
        <v>41102604</v>
      </c>
    </row>
    <row r="127" spans="1:12" x14ac:dyDescent="0.3">
      <c r="A127" s="2" t="s">
        <v>190</v>
      </c>
      <c r="B127" s="2" t="str">
        <f>LEFT(Table1[[#This Row],[تاریخ]],4)</f>
        <v>1398</v>
      </c>
      <c r="C127" s="2" t="s">
        <v>15</v>
      </c>
      <c r="D127" s="2" t="s">
        <v>14</v>
      </c>
      <c r="E127" s="2" t="s">
        <v>75</v>
      </c>
      <c r="F127" s="2" t="s">
        <v>45</v>
      </c>
      <c r="G127" s="2" t="s">
        <v>50</v>
      </c>
      <c r="H127" s="3">
        <v>3150</v>
      </c>
      <c r="I127" s="3">
        <v>81147</v>
      </c>
      <c r="J127" s="3">
        <f t="shared" si="1"/>
        <v>255613050</v>
      </c>
      <c r="K127" s="3">
        <v>22104506</v>
      </c>
      <c r="L127" s="3">
        <v>2398668</v>
      </c>
    </row>
    <row r="128" spans="1:12" x14ac:dyDescent="0.3">
      <c r="A128" s="2" t="s">
        <v>191</v>
      </c>
      <c r="B128" s="2" t="str">
        <f>LEFT(Table1[[#This Row],[تاریخ]],4)</f>
        <v>1398</v>
      </c>
      <c r="C128" s="2" t="s">
        <v>15</v>
      </c>
      <c r="D128" s="2" t="s">
        <v>16</v>
      </c>
      <c r="E128" s="2" t="s">
        <v>44</v>
      </c>
      <c r="F128" s="2" t="s">
        <v>49</v>
      </c>
      <c r="G128" s="2" t="s">
        <v>31</v>
      </c>
      <c r="H128" s="3">
        <v>2765</v>
      </c>
      <c r="I128" s="3">
        <v>144261</v>
      </c>
      <c r="J128" s="3">
        <f t="shared" si="1"/>
        <v>398881665</v>
      </c>
      <c r="K128" s="3">
        <v>262932251</v>
      </c>
      <c r="L128" s="3">
        <v>93773642</v>
      </c>
    </row>
    <row r="129" spans="1:12" x14ac:dyDescent="0.3">
      <c r="A129" s="2" t="s">
        <v>192</v>
      </c>
      <c r="B129" s="2" t="str">
        <f>LEFT(Table1[[#This Row],[تاریخ]],4)</f>
        <v>1398</v>
      </c>
      <c r="C129" s="2" t="s">
        <v>15</v>
      </c>
      <c r="D129" s="2" t="s">
        <v>16</v>
      </c>
      <c r="E129" s="2" t="s">
        <v>79</v>
      </c>
      <c r="F129" s="2" t="s">
        <v>53</v>
      </c>
      <c r="G129" s="2" t="s">
        <v>34</v>
      </c>
      <c r="H129" s="3">
        <v>3710</v>
      </c>
      <c r="I129" s="3">
        <v>55435</v>
      </c>
      <c r="J129" s="3">
        <f t="shared" si="1"/>
        <v>205663850</v>
      </c>
      <c r="K129" s="3">
        <v>187861633</v>
      </c>
      <c r="L129" s="3">
        <v>40017714</v>
      </c>
    </row>
    <row r="130" spans="1:12" x14ac:dyDescent="0.3">
      <c r="A130" s="2" t="s">
        <v>193</v>
      </c>
      <c r="B130" s="2" t="str">
        <f>LEFT(Table1[[#This Row],[تاریخ]],4)</f>
        <v>1398</v>
      </c>
      <c r="C130" s="2" t="s">
        <v>15</v>
      </c>
      <c r="D130" s="2" t="s">
        <v>16</v>
      </c>
      <c r="E130" s="2" t="s">
        <v>81</v>
      </c>
      <c r="F130" s="2" t="s">
        <v>56</v>
      </c>
      <c r="G130" s="2" t="s">
        <v>38</v>
      </c>
      <c r="H130" s="3">
        <v>1890</v>
      </c>
      <c r="I130" s="3">
        <v>81697</v>
      </c>
      <c r="J130" s="3">
        <f t="shared" si="1"/>
        <v>154407330</v>
      </c>
      <c r="K130" s="3">
        <v>65190932</v>
      </c>
      <c r="L130" s="3">
        <v>28969153</v>
      </c>
    </row>
    <row r="131" spans="1:12" x14ac:dyDescent="0.3">
      <c r="A131" s="2" t="s">
        <v>194</v>
      </c>
      <c r="B131" s="2" t="str">
        <f>LEFT(Table1[[#This Row],[تاریخ]],4)</f>
        <v>1398</v>
      </c>
      <c r="C131" s="2" t="s">
        <v>15</v>
      </c>
      <c r="D131" s="2" t="s">
        <v>16</v>
      </c>
      <c r="E131" s="2" t="s">
        <v>83</v>
      </c>
      <c r="F131" s="2" t="s">
        <v>59</v>
      </c>
      <c r="G131" s="2" t="s">
        <v>42</v>
      </c>
      <c r="H131" s="3">
        <v>2240</v>
      </c>
      <c r="I131" s="3">
        <v>106249</v>
      </c>
      <c r="J131" s="3">
        <f t="shared" si="1"/>
        <v>237997760</v>
      </c>
      <c r="K131" s="3">
        <v>138180001</v>
      </c>
      <c r="L131" s="3">
        <v>5814740</v>
      </c>
    </row>
    <row r="132" spans="1:12" x14ac:dyDescent="0.3">
      <c r="A132" s="2" t="s">
        <v>195</v>
      </c>
      <c r="B132" s="2" t="str">
        <f>LEFT(Table1[[#This Row],[تاریخ]],4)</f>
        <v>1398</v>
      </c>
      <c r="C132" s="2" t="s">
        <v>15</v>
      </c>
      <c r="D132" s="2" t="s">
        <v>16</v>
      </c>
      <c r="E132" s="2" t="s">
        <v>85</v>
      </c>
      <c r="F132" s="2" t="s">
        <v>62</v>
      </c>
      <c r="G132" s="2" t="s">
        <v>46</v>
      </c>
      <c r="H132" s="3">
        <v>3290</v>
      </c>
      <c r="I132" s="3">
        <v>145453</v>
      </c>
      <c r="J132" s="3">
        <f t="shared" ref="J132:J195" si="2">I132*H132</f>
        <v>478540370</v>
      </c>
      <c r="K132" s="3">
        <v>59237932</v>
      </c>
      <c r="L132" s="3">
        <v>87171521</v>
      </c>
    </row>
    <row r="133" spans="1:12" x14ac:dyDescent="0.3">
      <c r="A133" s="2" t="s">
        <v>196</v>
      </c>
      <c r="B133" s="2" t="str">
        <f>LEFT(Table1[[#This Row],[تاریخ]],4)</f>
        <v>1398</v>
      </c>
      <c r="C133" s="2" t="s">
        <v>15</v>
      </c>
      <c r="D133" s="2" t="s">
        <v>16</v>
      </c>
      <c r="E133" s="2" t="s">
        <v>61</v>
      </c>
      <c r="F133" s="2" t="s">
        <v>65</v>
      </c>
      <c r="G133" s="2" t="s">
        <v>46</v>
      </c>
      <c r="H133" s="3">
        <v>3430</v>
      </c>
      <c r="I133" s="3">
        <v>87435</v>
      </c>
      <c r="J133" s="3">
        <f t="shared" si="2"/>
        <v>299902050</v>
      </c>
      <c r="K133" s="3">
        <v>7895013</v>
      </c>
      <c r="L133" s="3">
        <v>83610812</v>
      </c>
    </row>
    <row r="134" spans="1:12" x14ac:dyDescent="0.3">
      <c r="A134" s="2" t="s">
        <v>197</v>
      </c>
      <c r="B134" s="2" t="str">
        <f>LEFT(Table1[[#This Row],[تاریخ]],4)</f>
        <v>1398</v>
      </c>
      <c r="C134" s="2" t="s">
        <v>15</v>
      </c>
      <c r="D134" s="2" t="s">
        <v>17</v>
      </c>
      <c r="E134" s="2" t="s">
        <v>64</v>
      </c>
      <c r="F134" s="2" t="s">
        <v>67</v>
      </c>
      <c r="G134" s="2" t="s">
        <v>50</v>
      </c>
      <c r="H134" s="3">
        <v>2520</v>
      </c>
      <c r="I134" s="3">
        <v>129209</v>
      </c>
      <c r="J134" s="3">
        <f t="shared" si="2"/>
        <v>325606680</v>
      </c>
      <c r="K134" s="3">
        <v>282773729</v>
      </c>
      <c r="L134" s="3">
        <v>96773346</v>
      </c>
    </row>
    <row r="135" spans="1:12" x14ac:dyDescent="0.3">
      <c r="A135" s="2" t="s">
        <v>198</v>
      </c>
      <c r="B135" s="2" t="str">
        <f>LEFT(Table1[[#This Row],[تاریخ]],4)</f>
        <v>1398</v>
      </c>
      <c r="C135" s="2" t="s">
        <v>15</v>
      </c>
      <c r="D135" s="2" t="s">
        <v>17</v>
      </c>
      <c r="E135" s="2" t="s">
        <v>29</v>
      </c>
      <c r="F135" s="2" t="s">
        <v>70</v>
      </c>
      <c r="G135" s="2" t="s">
        <v>31</v>
      </c>
      <c r="H135" s="3">
        <v>2800</v>
      </c>
      <c r="I135" s="3">
        <v>63265</v>
      </c>
      <c r="J135" s="3">
        <f t="shared" si="2"/>
        <v>177142000</v>
      </c>
      <c r="K135" s="3">
        <v>173097486</v>
      </c>
      <c r="L135" s="3">
        <v>1801297</v>
      </c>
    </row>
    <row r="136" spans="1:12" x14ac:dyDescent="0.3">
      <c r="A136" s="2" t="s">
        <v>199</v>
      </c>
      <c r="B136" s="2" t="str">
        <f>LEFT(Table1[[#This Row],[تاریخ]],4)</f>
        <v>1398</v>
      </c>
      <c r="C136" s="2" t="s">
        <v>15</v>
      </c>
      <c r="D136" s="2" t="s">
        <v>17</v>
      </c>
      <c r="E136" s="2" t="s">
        <v>69</v>
      </c>
      <c r="F136" s="2" t="s">
        <v>73</v>
      </c>
      <c r="G136" s="2" t="s">
        <v>34</v>
      </c>
      <c r="H136" s="3">
        <v>3290</v>
      </c>
      <c r="I136" s="3">
        <v>54129</v>
      </c>
      <c r="J136" s="3">
        <f t="shared" si="2"/>
        <v>178084410</v>
      </c>
      <c r="K136" s="3">
        <v>31613798</v>
      </c>
      <c r="L136" s="3">
        <v>44334005</v>
      </c>
    </row>
    <row r="137" spans="1:12" x14ac:dyDescent="0.3">
      <c r="A137" s="2" t="s">
        <v>200</v>
      </c>
      <c r="B137" s="2" t="str">
        <f>LEFT(Table1[[#This Row],[تاریخ]],4)</f>
        <v>1398</v>
      </c>
      <c r="C137" s="2" t="s">
        <v>15</v>
      </c>
      <c r="D137" s="2" t="s">
        <v>17</v>
      </c>
      <c r="E137" s="2" t="s">
        <v>72</v>
      </c>
      <c r="F137" s="2" t="s">
        <v>76</v>
      </c>
      <c r="G137" s="2" t="s">
        <v>38</v>
      </c>
      <c r="H137" s="3">
        <v>1785</v>
      </c>
      <c r="I137" s="3">
        <v>73826</v>
      </c>
      <c r="J137" s="3">
        <f t="shared" si="2"/>
        <v>131779410</v>
      </c>
      <c r="K137" s="3">
        <v>23004905</v>
      </c>
      <c r="L137" s="3">
        <v>1414512</v>
      </c>
    </row>
    <row r="138" spans="1:12" x14ac:dyDescent="0.3">
      <c r="A138" s="2" t="s">
        <v>201</v>
      </c>
      <c r="B138" s="2" t="str">
        <f>LEFT(Table1[[#This Row],[تاریخ]],4)</f>
        <v>1398</v>
      </c>
      <c r="C138" s="2" t="s">
        <v>15</v>
      </c>
      <c r="D138" s="2" t="s">
        <v>17</v>
      </c>
      <c r="E138" s="2" t="s">
        <v>75</v>
      </c>
      <c r="F138" s="2" t="s">
        <v>30</v>
      </c>
      <c r="G138" s="2" t="s">
        <v>42</v>
      </c>
      <c r="H138" s="3">
        <v>2065</v>
      </c>
      <c r="I138" s="3">
        <v>110610</v>
      </c>
      <c r="J138" s="3">
        <f t="shared" si="2"/>
        <v>228409650</v>
      </c>
      <c r="K138" s="3">
        <v>212226116</v>
      </c>
      <c r="L138" s="3">
        <v>18934217</v>
      </c>
    </row>
    <row r="139" spans="1:12" x14ac:dyDescent="0.3">
      <c r="A139" s="2" t="s">
        <v>202</v>
      </c>
      <c r="B139" s="2" t="str">
        <f>LEFT(Table1[[#This Row],[تاریخ]],4)</f>
        <v>1398</v>
      </c>
      <c r="C139" s="2" t="s">
        <v>15</v>
      </c>
      <c r="D139" s="2" t="s">
        <v>17</v>
      </c>
      <c r="E139" s="2" t="s">
        <v>44</v>
      </c>
      <c r="F139" s="2" t="s">
        <v>33</v>
      </c>
      <c r="G139" s="2" t="s">
        <v>46</v>
      </c>
      <c r="H139" s="3">
        <v>3010</v>
      </c>
      <c r="I139" s="3">
        <v>50194</v>
      </c>
      <c r="J139" s="3">
        <f t="shared" si="2"/>
        <v>151083940</v>
      </c>
      <c r="K139" s="3">
        <v>94215367</v>
      </c>
      <c r="L139" s="3">
        <v>5734781</v>
      </c>
    </row>
    <row r="140" spans="1:12" x14ac:dyDescent="0.3">
      <c r="A140" s="2" t="s">
        <v>203</v>
      </c>
      <c r="B140" s="2" t="str">
        <f>LEFT(Table1[[#This Row],[تاریخ]],4)</f>
        <v>1399</v>
      </c>
      <c r="C140" s="2" t="s">
        <v>3</v>
      </c>
      <c r="D140" s="2" t="s">
        <v>2</v>
      </c>
      <c r="E140" s="2" t="s">
        <v>79</v>
      </c>
      <c r="F140" s="2" t="s">
        <v>37</v>
      </c>
      <c r="G140" s="2" t="s">
        <v>46</v>
      </c>
      <c r="H140" s="3">
        <v>3570</v>
      </c>
      <c r="I140" s="3">
        <v>117577</v>
      </c>
      <c r="J140" s="3">
        <f t="shared" si="2"/>
        <v>419749890</v>
      </c>
      <c r="K140" s="3">
        <v>170179813</v>
      </c>
      <c r="L140" s="3">
        <v>59440273</v>
      </c>
    </row>
    <row r="141" spans="1:12" x14ac:dyDescent="0.3">
      <c r="A141" s="2" t="s">
        <v>204</v>
      </c>
      <c r="B141" s="2" t="str">
        <f>LEFT(Table1[[#This Row],[تاریخ]],4)</f>
        <v>1399</v>
      </c>
      <c r="C141" s="2" t="s">
        <v>3</v>
      </c>
      <c r="D141" s="2" t="s">
        <v>2</v>
      </c>
      <c r="E141" s="2" t="s">
        <v>81</v>
      </c>
      <c r="F141" s="2" t="s">
        <v>41</v>
      </c>
      <c r="G141" s="2" t="s">
        <v>50</v>
      </c>
      <c r="H141" s="3">
        <v>2450</v>
      </c>
      <c r="I141" s="3">
        <v>79100</v>
      </c>
      <c r="J141" s="3">
        <f t="shared" si="2"/>
        <v>193795000</v>
      </c>
      <c r="K141" s="3">
        <v>172692574</v>
      </c>
      <c r="L141" s="3">
        <v>46357911</v>
      </c>
    </row>
    <row r="142" spans="1:12" x14ac:dyDescent="0.3">
      <c r="A142" s="2" t="s">
        <v>205</v>
      </c>
      <c r="B142" s="2" t="str">
        <f>LEFT(Table1[[#This Row],[تاریخ]],4)</f>
        <v>1399</v>
      </c>
      <c r="C142" s="2" t="s">
        <v>3</v>
      </c>
      <c r="D142" s="2" t="s">
        <v>2</v>
      </c>
      <c r="E142" s="2" t="s">
        <v>83</v>
      </c>
      <c r="F142" s="2" t="s">
        <v>45</v>
      </c>
      <c r="G142" s="2" t="s">
        <v>31</v>
      </c>
      <c r="H142" s="3">
        <v>3290</v>
      </c>
      <c r="I142" s="3">
        <v>77139</v>
      </c>
      <c r="J142" s="3">
        <f t="shared" si="2"/>
        <v>253787310</v>
      </c>
      <c r="K142" s="3">
        <v>248387034</v>
      </c>
      <c r="L142" s="3">
        <v>72001255</v>
      </c>
    </row>
    <row r="143" spans="1:12" x14ac:dyDescent="0.3">
      <c r="A143" s="2" t="s">
        <v>206</v>
      </c>
      <c r="B143" s="2" t="str">
        <f>LEFT(Table1[[#This Row],[تاریخ]],4)</f>
        <v>1399</v>
      </c>
      <c r="C143" s="2" t="s">
        <v>3</v>
      </c>
      <c r="D143" s="2" t="s">
        <v>2</v>
      </c>
      <c r="E143" s="2" t="s">
        <v>85</v>
      </c>
      <c r="F143" s="2" t="s">
        <v>49</v>
      </c>
      <c r="G143" s="2" t="s">
        <v>34</v>
      </c>
      <c r="H143" s="3">
        <v>2940</v>
      </c>
      <c r="I143" s="3">
        <v>50926</v>
      </c>
      <c r="J143" s="3">
        <f t="shared" si="2"/>
        <v>149722440</v>
      </c>
      <c r="K143" s="3">
        <v>27085125</v>
      </c>
      <c r="L143" s="3">
        <v>26100288</v>
      </c>
    </row>
    <row r="144" spans="1:12" x14ac:dyDescent="0.3">
      <c r="A144" s="2" t="s">
        <v>207</v>
      </c>
      <c r="B144" s="2" t="str">
        <f>LEFT(Table1[[#This Row],[تاریخ]],4)</f>
        <v>1399</v>
      </c>
      <c r="C144" s="2" t="s">
        <v>3</v>
      </c>
      <c r="D144" s="2" t="s">
        <v>2</v>
      </c>
      <c r="E144" s="2" t="s">
        <v>61</v>
      </c>
      <c r="F144" s="2" t="s">
        <v>53</v>
      </c>
      <c r="G144" s="2" t="s">
        <v>38</v>
      </c>
      <c r="H144" s="3">
        <v>2660</v>
      </c>
      <c r="I144" s="3">
        <v>101992</v>
      </c>
      <c r="J144" s="3">
        <f t="shared" si="2"/>
        <v>271298720</v>
      </c>
      <c r="K144" s="3">
        <v>232581721</v>
      </c>
      <c r="L144" s="3">
        <v>76688374</v>
      </c>
    </row>
    <row r="145" spans="1:12" x14ac:dyDescent="0.3">
      <c r="A145" s="2" t="s">
        <v>208</v>
      </c>
      <c r="B145" s="2" t="str">
        <f>LEFT(Table1[[#This Row],[تاریخ]],4)</f>
        <v>1399</v>
      </c>
      <c r="C145" s="2" t="s">
        <v>3</v>
      </c>
      <c r="D145" s="2" t="s">
        <v>2</v>
      </c>
      <c r="E145" s="2" t="s">
        <v>64</v>
      </c>
      <c r="F145" s="2" t="s">
        <v>56</v>
      </c>
      <c r="G145" s="2" t="s">
        <v>42</v>
      </c>
      <c r="H145" s="3">
        <v>1785</v>
      </c>
      <c r="I145" s="3">
        <v>53701</v>
      </c>
      <c r="J145" s="3">
        <f t="shared" si="2"/>
        <v>95856285</v>
      </c>
      <c r="K145" s="3">
        <v>42153807</v>
      </c>
      <c r="L145" s="3">
        <v>9472760</v>
      </c>
    </row>
    <row r="146" spans="1:12" x14ac:dyDescent="0.3">
      <c r="A146" s="2" t="s">
        <v>209</v>
      </c>
      <c r="B146" s="2" t="str">
        <f>LEFT(Table1[[#This Row],[تاریخ]],4)</f>
        <v>1399</v>
      </c>
      <c r="C146" s="2" t="s">
        <v>3</v>
      </c>
      <c r="D146" s="2" t="s">
        <v>4</v>
      </c>
      <c r="E146" s="2" t="s">
        <v>29</v>
      </c>
      <c r="F146" s="2" t="s">
        <v>59</v>
      </c>
      <c r="G146" s="2" t="s">
        <v>46</v>
      </c>
      <c r="H146" s="3">
        <v>2590</v>
      </c>
      <c r="I146" s="3">
        <v>123978</v>
      </c>
      <c r="J146" s="3">
        <f t="shared" si="2"/>
        <v>321103020</v>
      </c>
      <c r="K146" s="3">
        <v>299598915</v>
      </c>
      <c r="L146" s="3">
        <v>69991713</v>
      </c>
    </row>
    <row r="147" spans="1:12" x14ac:dyDescent="0.3">
      <c r="A147" s="2" t="s">
        <v>210</v>
      </c>
      <c r="B147" s="2" t="str">
        <f>LEFT(Table1[[#This Row],[تاریخ]],4)</f>
        <v>1399</v>
      </c>
      <c r="C147" s="2" t="s">
        <v>3</v>
      </c>
      <c r="D147" s="2" t="s">
        <v>4</v>
      </c>
      <c r="E147" s="2" t="s">
        <v>69</v>
      </c>
      <c r="F147" s="2" t="s">
        <v>62</v>
      </c>
      <c r="G147" s="2" t="s">
        <v>46</v>
      </c>
      <c r="H147" s="3">
        <v>3850</v>
      </c>
      <c r="I147" s="3">
        <v>138905</v>
      </c>
      <c r="J147" s="3">
        <f t="shared" si="2"/>
        <v>534784250</v>
      </c>
      <c r="K147" s="3">
        <v>152401805</v>
      </c>
      <c r="L147" s="3">
        <v>40223286</v>
      </c>
    </row>
    <row r="148" spans="1:12" x14ac:dyDescent="0.3">
      <c r="A148" s="2" t="s">
        <v>211</v>
      </c>
      <c r="B148" s="2" t="str">
        <f>LEFT(Table1[[#This Row],[تاریخ]],4)</f>
        <v>1399</v>
      </c>
      <c r="C148" s="2" t="s">
        <v>3</v>
      </c>
      <c r="D148" s="2" t="s">
        <v>4</v>
      </c>
      <c r="E148" s="2" t="s">
        <v>72</v>
      </c>
      <c r="F148" s="2" t="s">
        <v>65</v>
      </c>
      <c r="G148" s="2" t="s">
        <v>50</v>
      </c>
      <c r="H148" s="3">
        <v>2695</v>
      </c>
      <c r="I148" s="3">
        <v>52505</v>
      </c>
      <c r="J148" s="3">
        <f t="shared" si="2"/>
        <v>141500975</v>
      </c>
      <c r="K148" s="3">
        <v>115103454</v>
      </c>
      <c r="L148" s="3">
        <v>1748889</v>
      </c>
    </row>
    <row r="149" spans="1:12" x14ac:dyDescent="0.3">
      <c r="A149" s="2" t="s">
        <v>212</v>
      </c>
      <c r="B149" s="2" t="str">
        <f>LEFT(Table1[[#This Row],[تاریخ]],4)</f>
        <v>1399</v>
      </c>
      <c r="C149" s="2" t="s">
        <v>3</v>
      </c>
      <c r="D149" s="2" t="s">
        <v>4</v>
      </c>
      <c r="E149" s="2" t="s">
        <v>75</v>
      </c>
      <c r="F149" s="2" t="s">
        <v>67</v>
      </c>
      <c r="G149" s="2" t="s">
        <v>31</v>
      </c>
      <c r="H149" s="3">
        <v>2730</v>
      </c>
      <c r="I149" s="3">
        <v>83886</v>
      </c>
      <c r="J149" s="3">
        <f t="shared" si="2"/>
        <v>229008780</v>
      </c>
      <c r="K149" s="3">
        <v>205637795</v>
      </c>
      <c r="L149" s="3">
        <v>61411634</v>
      </c>
    </row>
    <row r="150" spans="1:12" x14ac:dyDescent="0.3">
      <c r="A150" s="2" t="s">
        <v>213</v>
      </c>
      <c r="B150" s="2" t="str">
        <f>LEFT(Table1[[#This Row],[تاریخ]],4)</f>
        <v>1399</v>
      </c>
      <c r="C150" s="2" t="s">
        <v>3</v>
      </c>
      <c r="D150" s="2" t="s">
        <v>4</v>
      </c>
      <c r="E150" s="2" t="s">
        <v>44</v>
      </c>
      <c r="F150" s="2" t="s">
        <v>70</v>
      </c>
      <c r="G150" s="2" t="s">
        <v>34</v>
      </c>
      <c r="H150" s="3">
        <v>2100</v>
      </c>
      <c r="I150" s="3">
        <v>119094</v>
      </c>
      <c r="J150" s="3">
        <f t="shared" si="2"/>
        <v>250097400</v>
      </c>
      <c r="K150" s="3">
        <v>43591561</v>
      </c>
      <c r="L150" s="3">
        <v>64155171</v>
      </c>
    </row>
    <row r="151" spans="1:12" x14ac:dyDescent="0.3">
      <c r="A151" s="2" t="s">
        <v>214</v>
      </c>
      <c r="B151" s="2" t="str">
        <f>LEFT(Table1[[#This Row],[تاریخ]],4)</f>
        <v>1399</v>
      </c>
      <c r="C151" s="2" t="s">
        <v>3</v>
      </c>
      <c r="D151" s="2" t="s">
        <v>4</v>
      </c>
      <c r="E151" s="2" t="s">
        <v>79</v>
      </c>
      <c r="F151" s="2" t="s">
        <v>73</v>
      </c>
      <c r="G151" s="2" t="s">
        <v>38</v>
      </c>
      <c r="H151" s="3">
        <v>3465</v>
      </c>
      <c r="I151" s="3">
        <v>53425</v>
      </c>
      <c r="J151" s="3">
        <f t="shared" si="2"/>
        <v>185117625</v>
      </c>
      <c r="K151" s="3">
        <v>97122673</v>
      </c>
      <c r="L151" s="3">
        <v>4551214</v>
      </c>
    </row>
    <row r="152" spans="1:12" x14ac:dyDescent="0.3">
      <c r="A152" s="2" t="s">
        <v>215</v>
      </c>
      <c r="B152" s="2" t="str">
        <f>LEFT(Table1[[#This Row],[تاریخ]],4)</f>
        <v>1399</v>
      </c>
      <c r="C152" s="2" t="s">
        <v>3</v>
      </c>
      <c r="D152" s="2" t="s">
        <v>4</v>
      </c>
      <c r="E152" s="2" t="s">
        <v>81</v>
      </c>
      <c r="F152" s="2" t="s">
        <v>76</v>
      </c>
      <c r="G152" s="2" t="s">
        <v>42</v>
      </c>
      <c r="H152" s="3">
        <v>2380</v>
      </c>
      <c r="I152" s="3">
        <v>58091</v>
      </c>
      <c r="J152" s="3">
        <f t="shared" si="2"/>
        <v>138256580</v>
      </c>
      <c r="K152" s="3">
        <v>60112963</v>
      </c>
      <c r="L152" s="3">
        <v>36251783</v>
      </c>
    </row>
    <row r="153" spans="1:12" x14ac:dyDescent="0.3">
      <c r="A153" s="2" t="s">
        <v>216</v>
      </c>
      <c r="B153" s="2" t="str">
        <f>LEFT(Table1[[#This Row],[تاریخ]],4)</f>
        <v>1399</v>
      </c>
      <c r="C153" s="2" t="s">
        <v>3</v>
      </c>
      <c r="D153" s="2" t="s">
        <v>5</v>
      </c>
      <c r="E153" s="2" t="s">
        <v>83</v>
      </c>
      <c r="F153" s="2" t="s">
        <v>30</v>
      </c>
      <c r="G153" s="2" t="s">
        <v>46</v>
      </c>
      <c r="H153" s="3">
        <v>1890</v>
      </c>
      <c r="I153" s="3">
        <v>117671</v>
      </c>
      <c r="J153" s="3">
        <f t="shared" si="2"/>
        <v>222398190</v>
      </c>
      <c r="K153" s="3">
        <v>138712925</v>
      </c>
      <c r="L153" s="3">
        <v>32898556</v>
      </c>
    </row>
    <row r="154" spans="1:12" x14ac:dyDescent="0.3">
      <c r="A154" s="2" t="s">
        <v>217</v>
      </c>
      <c r="B154" s="2" t="str">
        <f>LEFT(Table1[[#This Row],[تاریخ]],4)</f>
        <v>1399</v>
      </c>
      <c r="C154" s="2" t="s">
        <v>3</v>
      </c>
      <c r="D154" s="2" t="s">
        <v>5</v>
      </c>
      <c r="E154" s="2" t="s">
        <v>85</v>
      </c>
      <c r="F154" s="2" t="s">
        <v>33</v>
      </c>
      <c r="G154" s="2" t="s">
        <v>46</v>
      </c>
      <c r="H154" s="3">
        <v>2975</v>
      </c>
      <c r="I154" s="3">
        <v>53433</v>
      </c>
      <c r="J154" s="3">
        <f t="shared" si="2"/>
        <v>158963175</v>
      </c>
      <c r="K154" s="3">
        <v>154500311</v>
      </c>
      <c r="L154" s="3">
        <v>31104083</v>
      </c>
    </row>
    <row r="155" spans="1:12" x14ac:dyDescent="0.3">
      <c r="A155" s="2" t="s">
        <v>218</v>
      </c>
      <c r="B155" s="2" t="str">
        <f>LEFT(Table1[[#This Row],[تاریخ]],4)</f>
        <v>1399</v>
      </c>
      <c r="C155" s="2" t="s">
        <v>3</v>
      </c>
      <c r="D155" s="2" t="s">
        <v>5</v>
      </c>
      <c r="E155" s="2" t="s">
        <v>61</v>
      </c>
      <c r="F155" s="2" t="s">
        <v>37</v>
      </c>
      <c r="G155" s="2" t="s">
        <v>50</v>
      </c>
      <c r="H155" s="3">
        <v>3290</v>
      </c>
      <c r="I155" s="3">
        <v>143099</v>
      </c>
      <c r="J155" s="3">
        <f t="shared" si="2"/>
        <v>470795710</v>
      </c>
      <c r="K155" s="3">
        <v>82318636</v>
      </c>
      <c r="L155" s="3">
        <v>104452509</v>
      </c>
    </row>
    <row r="156" spans="1:12" x14ac:dyDescent="0.3">
      <c r="A156" s="2" t="s">
        <v>219</v>
      </c>
      <c r="B156" s="2" t="str">
        <f>LEFT(Table1[[#This Row],[تاریخ]],4)</f>
        <v>1399</v>
      </c>
      <c r="C156" s="2" t="s">
        <v>3</v>
      </c>
      <c r="D156" s="2" t="s">
        <v>5</v>
      </c>
      <c r="E156" s="2" t="s">
        <v>64</v>
      </c>
      <c r="F156" s="2" t="s">
        <v>41</v>
      </c>
      <c r="G156" s="2" t="s">
        <v>31</v>
      </c>
      <c r="H156" s="3">
        <v>3605</v>
      </c>
      <c r="I156" s="3">
        <v>67354</v>
      </c>
      <c r="J156" s="3">
        <f t="shared" si="2"/>
        <v>242811170</v>
      </c>
      <c r="K156" s="3">
        <v>61281247</v>
      </c>
      <c r="L156" s="3">
        <v>39970991</v>
      </c>
    </row>
    <row r="157" spans="1:12" x14ac:dyDescent="0.3">
      <c r="A157" s="2" t="s">
        <v>220</v>
      </c>
      <c r="B157" s="2" t="str">
        <f>LEFT(Table1[[#This Row],[تاریخ]],4)</f>
        <v>1399</v>
      </c>
      <c r="C157" s="2" t="s">
        <v>3</v>
      </c>
      <c r="D157" s="2" t="s">
        <v>5</v>
      </c>
      <c r="E157" s="2" t="s">
        <v>29</v>
      </c>
      <c r="F157" s="2" t="s">
        <v>45</v>
      </c>
      <c r="G157" s="2" t="s">
        <v>34</v>
      </c>
      <c r="H157" s="3">
        <v>3220</v>
      </c>
      <c r="I157" s="3">
        <v>142579</v>
      </c>
      <c r="J157" s="3">
        <f t="shared" si="2"/>
        <v>459104380</v>
      </c>
      <c r="K157" s="3">
        <v>34076270</v>
      </c>
      <c r="L157" s="3">
        <v>9868108</v>
      </c>
    </row>
    <row r="158" spans="1:12" x14ac:dyDescent="0.3">
      <c r="A158" s="2" t="s">
        <v>221</v>
      </c>
      <c r="B158" s="2" t="str">
        <f>LEFT(Table1[[#This Row],[تاریخ]],4)</f>
        <v>1399</v>
      </c>
      <c r="C158" s="2" t="s">
        <v>3</v>
      </c>
      <c r="D158" s="2" t="s">
        <v>5</v>
      </c>
      <c r="E158" s="2" t="s">
        <v>69</v>
      </c>
      <c r="F158" s="2" t="s">
        <v>49</v>
      </c>
      <c r="G158" s="2" t="s">
        <v>38</v>
      </c>
      <c r="H158" s="3">
        <v>2135</v>
      </c>
      <c r="I158" s="3">
        <v>122700</v>
      </c>
      <c r="J158" s="3">
        <f t="shared" si="2"/>
        <v>261964500</v>
      </c>
      <c r="K158" s="3">
        <v>39949931</v>
      </c>
      <c r="L158" s="3">
        <v>77989744</v>
      </c>
    </row>
    <row r="159" spans="1:12" x14ac:dyDescent="0.3">
      <c r="A159" s="2" t="s">
        <v>222</v>
      </c>
      <c r="B159" s="2" t="str">
        <f>LEFT(Table1[[#This Row],[تاریخ]],4)</f>
        <v>1399</v>
      </c>
      <c r="C159" s="2" t="s">
        <v>7</v>
      </c>
      <c r="D159" s="2" t="s">
        <v>6</v>
      </c>
      <c r="E159" s="2" t="s">
        <v>72</v>
      </c>
      <c r="F159" s="2" t="s">
        <v>53</v>
      </c>
      <c r="G159" s="2" t="s">
        <v>42</v>
      </c>
      <c r="H159" s="3">
        <v>2275</v>
      </c>
      <c r="I159" s="3">
        <v>120752</v>
      </c>
      <c r="J159" s="3">
        <f t="shared" si="2"/>
        <v>274710800</v>
      </c>
      <c r="K159" s="3">
        <v>18263385</v>
      </c>
      <c r="L159" s="3">
        <v>47869434</v>
      </c>
    </row>
    <row r="160" spans="1:12" x14ac:dyDescent="0.3">
      <c r="A160" s="2" t="s">
        <v>223</v>
      </c>
      <c r="B160" s="2" t="str">
        <f>LEFT(Table1[[#This Row],[تاریخ]],4)</f>
        <v>1399</v>
      </c>
      <c r="C160" s="2" t="s">
        <v>7</v>
      </c>
      <c r="D160" s="2" t="s">
        <v>6</v>
      </c>
      <c r="E160" s="2" t="s">
        <v>75</v>
      </c>
      <c r="F160" s="2" t="s">
        <v>56</v>
      </c>
      <c r="G160" s="2" t="s">
        <v>46</v>
      </c>
      <c r="H160" s="3">
        <v>2065</v>
      </c>
      <c r="I160" s="3">
        <v>60229</v>
      </c>
      <c r="J160" s="3">
        <f t="shared" si="2"/>
        <v>124372885</v>
      </c>
      <c r="K160" s="3">
        <v>77373058</v>
      </c>
      <c r="L160" s="3">
        <v>5037425</v>
      </c>
    </row>
    <row r="161" spans="1:12" x14ac:dyDescent="0.3">
      <c r="A161" s="2" t="s">
        <v>224</v>
      </c>
      <c r="B161" s="2" t="str">
        <f>LEFT(Table1[[#This Row],[تاریخ]],4)</f>
        <v>1399</v>
      </c>
      <c r="C161" s="2" t="s">
        <v>7</v>
      </c>
      <c r="D161" s="2" t="s">
        <v>6</v>
      </c>
      <c r="E161" s="2" t="s">
        <v>44</v>
      </c>
      <c r="F161" s="2" t="s">
        <v>59</v>
      </c>
      <c r="G161" s="2" t="s">
        <v>46</v>
      </c>
      <c r="H161" s="3">
        <v>3080</v>
      </c>
      <c r="I161" s="3">
        <v>136355</v>
      </c>
      <c r="J161" s="3">
        <f t="shared" si="2"/>
        <v>419973400</v>
      </c>
      <c r="K161" s="3">
        <v>32798602</v>
      </c>
      <c r="L161" s="3">
        <v>67972067</v>
      </c>
    </row>
    <row r="162" spans="1:12" x14ac:dyDescent="0.3">
      <c r="A162" s="2" t="s">
        <v>225</v>
      </c>
      <c r="B162" s="2" t="str">
        <f>LEFT(Table1[[#This Row],[تاریخ]],4)</f>
        <v>1399</v>
      </c>
      <c r="C162" s="2" t="s">
        <v>7</v>
      </c>
      <c r="D162" s="2" t="s">
        <v>6</v>
      </c>
      <c r="E162" s="2" t="s">
        <v>79</v>
      </c>
      <c r="F162" s="2" t="s">
        <v>62</v>
      </c>
      <c r="G162" s="2" t="s">
        <v>50</v>
      </c>
      <c r="H162" s="3">
        <v>2695</v>
      </c>
      <c r="I162" s="3">
        <v>127996</v>
      </c>
      <c r="J162" s="3">
        <f t="shared" si="2"/>
        <v>344949220</v>
      </c>
      <c r="K162" s="3">
        <v>30990762</v>
      </c>
      <c r="L162" s="3">
        <v>75479542</v>
      </c>
    </row>
    <row r="163" spans="1:12" x14ac:dyDescent="0.3">
      <c r="A163" s="2" t="s">
        <v>226</v>
      </c>
      <c r="B163" s="2" t="str">
        <f>LEFT(Table1[[#This Row],[تاریخ]],4)</f>
        <v>1399</v>
      </c>
      <c r="C163" s="2" t="s">
        <v>7</v>
      </c>
      <c r="D163" s="2" t="s">
        <v>6</v>
      </c>
      <c r="E163" s="2" t="s">
        <v>81</v>
      </c>
      <c r="F163" s="2" t="s">
        <v>65</v>
      </c>
      <c r="G163" s="2" t="s">
        <v>31</v>
      </c>
      <c r="H163" s="3">
        <v>3780</v>
      </c>
      <c r="I163" s="3">
        <v>70144</v>
      </c>
      <c r="J163" s="3">
        <f t="shared" si="2"/>
        <v>265144320</v>
      </c>
      <c r="K163" s="3">
        <v>261955761</v>
      </c>
      <c r="L163" s="3">
        <v>57688309</v>
      </c>
    </row>
    <row r="164" spans="1:12" x14ac:dyDescent="0.3">
      <c r="A164" s="2" t="s">
        <v>227</v>
      </c>
      <c r="B164" s="2" t="str">
        <f>LEFT(Table1[[#This Row],[تاریخ]],4)</f>
        <v>1399</v>
      </c>
      <c r="C164" s="2" t="s">
        <v>7</v>
      </c>
      <c r="D164" s="2" t="s">
        <v>6</v>
      </c>
      <c r="E164" s="2" t="s">
        <v>83</v>
      </c>
      <c r="F164" s="2" t="s">
        <v>67</v>
      </c>
      <c r="G164" s="2" t="s">
        <v>34</v>
      </c>
      <c r="H164" s="3">
        <v>3675</v>
      </c>
      <c r="I164" s="3">
        <v>96740</v>
      </c>
      <c r="J164" s="3">
        <f t="shared" si="2"/>
        <v>355519500</v>
      </c>
      <c r="K164" s="3">
        <v>295570536</v>
      </c>
      <c r="L164" s="3">
        <v>106530513</v>
      </c>
    </row>
    <row r="165" spans="1:12" x14ac:dyDescent="0.3">
      <c r="A165" s="2" t="s">
        <v>228</v>
      </c>
      <c r="B165" s="2" t="str">
        <f>LEFT(Table1[[#This Row],[تاریخ]],4)</f>
        <v>1399</v>
      </c>
      <c r="C165" s="2" t="s">
        <v>7</v>
      </c>
      <c r="D165" s="2" t="s">
        <v>8</v>
      </c>
      <c r="E165" s="2" t="s">
        <v>85</v>
      </c>
      <c r="F165" s="2" t="s">
        <v>70</v>
      </c>
      <c r="G165" s="2" t="s">
        <v>38</v>
      </c>
      <c r="H165" s="3">
        <v>2555</v>
      </c>
      <c r="I165" s="3">
        <v>76141</v>
      </c>
      <c r="J165" s="3">
        <f t="shared" si="2"/>
        <v>194540255</v>
      </c>
      <c r="K165" s="3">
        <v>140580519</v>
      </c>
      <c r="L165" s="3">
        <v>28236693</v>
      </c>
    </row>
    <row r="166" spans="1:12" x14ac:dyDescent="0.3">
      <c r="A166" s="2" t="s">
        <v>229</v>
      </c>
      <c r="B166" s="2" t="str">
        <f>LEFT(Table1[[#This Row],[تاریخ]],4)</f>
        <v>1399</v>
      </c>
      <c r="C166" s="2" t="s">
        <v>7</v>
      </c>
      <c r="D166" s="2" t="s">
        <v>8</v>
      </c>
      <c r="E166" s="2" t="s">
        <v>61</v>
      </c>
      <c r="F166" s="2" t="s">
        <v>73</v>
      </c>
      <c r="G166" s="2" t="s">
        <v>42</v>
      </c>
      <c r="H166" s="3">
        <v>3815</v>
      </c>
      <c r="I166" s="3">
        <v>94881</v>
      </c>
      <c r="J166" s="3">
        <f t="shared" si="2"/>
        <v>361971015</v>
      </c>
      <c r="K166" s="3">
        <v>49932921</v>
      </c>
      <c r="L166" s="3">
        <v>105540223</v>
      </c>
    </row>
    <row r="167" spans="1:12" x14ac:dyDescent="0.3">
      <c r="A167" s="2" t="s">
        <v>230</v>
      </c>
      <c r="B167" s="2" t="str">
        <f>LEFT(Table1[[#This Row],[تاریخ]],4)</f>
        <v>1399</v>
      </c>
      <c r="C167" s="2" t="s">
        <v>7</v>
      </c>
      <c r="D167" s="2" t="s">
        <v>8</v>
      </c>
      <c r="E167" s="2" t="s">
        <v>64</v>
      </c>
      <c r="F167" s="2" t="s">
        <v>76</v>
      </c>
      <c r="G167" s="2" t="s">
        <v>46</v>
      </c>
      <c r="H167" s="3">
        <v>2170</v>
      </c>
      <c r="I167" s="3">
        <v>95083</v>
      </c>
      <c r="J167" s="3">
        <f t="shared" si="2"/>
        <v>206330110</v>
      </c>
      <c r="K167" s="3">
        <v>88067060</v>
      </c>
      <c r="L167" s="3">
        <v>3613506</v>
      </c>
    </row>
    <row r="168" spans="1:12" x14ac:dyDescent="0.3">
      <c r="A168" s="2" t="s">
        <v>231</v>
      </c>
      <c r="B168" s="2" t="str">
        <f>LEFT(Table1[[#This Row],[تاریخ]],4)</f>
        <v>1399</v>
      </c>
      <c r="C168" s="2" t="s">
        <v>7</v>
      </c>
      <c r="D168" s="2" t="s">
        <v>8</v>
      </c>
      <c r="E168" s="2" t="s">
        <v>29</v>
      </c>
      <c r="F168" s="2" t="s">
        <v>30</v>
      </c>
      <c r="G168" s="2" t="s">
        <v>46</v>
      </c>
      <c r="H168" s="3">
        <v>1820</v>
      </c>
      <c r="I168" s="3">
        <v>137600</v>
      </c>
      <c r="J168" s="3">
        <f t="shared" si="2"/>
        <v>250432000</v>
      </c>
      <c r="K168" s="3">
        <v>70862616</v>
      </c>
      <c r="L168" s="3">
        <v>64803193</v>
      </c>
    </row>
    <row r="169" spans="1:12" x14ac:dyDescent="0.3">
      <c r="A169" s="2" t="s">
        <v>232</v>
      </c>
      <c r="B169" s="2" t="str">
        <f>LEFT(Table1[[#This Row],[تاریخ]],4)</f>
        <v>1399</v>
      </c>
      <c r="C169" s="2" t="s">
        <v>7</v>
      </c>
      <c r="D169" s="2" t="s">
        <v>8</v>
      </c>
      <c r="E169" s="2" t="s">
        <v>69</v>
      </c>
      <c r="F169" s="2" t="s">
        <v>33</v>
      </c>
      <c r="G169" s="2" t="s">
        <v>50</v>
      </c>
      <c r="H169" s="3">
        <v>2800</v>
      </c>
      <c r="I169" s="3">
        <v>74448</v>
      </c>
      <c r="J169" s="3">
        <f t="shared" si="2"/>
        <v>208454400</v>
      </c>
      <c r="K169" s="3">
        <v>4214297</v>
      </c>
      <c r="L169" s="3">
        <v>42969897</v>
      </c>
    </row>
    <row r="170" spans="1:12" x14ac:dyDescent="0.3">
      <c r="A170" s="2" t="s">
        <v>233</v>
      </c>
      <c r="B170" s="2" t="str">
        <f>LEFT(Table1[[#This Row],[تاریخ]],4)</f>
        <v>1399</v>
      </c>
      <c r="C170" s="2" t="s">
        <v>7</v>
      </c>
      <c r="D170" s="2" t="s">
        <v>8</v>
      </c>
      <c r="E170" s="2" t="s">
        <v>72</v>
      </c>
      <c r="F170" s="2" t="s">
        <v>37</v>
      </c>
      <c r="G170" s="2" t="s">
        <v>31</v>
      </c>
      <c r="H170" s="3">
        <v>2835</v>
      </c>
      <c r="I170" s="3">
        <v>136934</v>
      </c>
      <c r="J170" s="3">
        <f t="shared" si="2"/>
        <v>388207890</v>
      </c>
      <c r="K170" s="3">
        <v>372567076</v>
      </c>
      <c r="L170" s="3">
        <v>34703886</v>
      </c>
    </row>
    <row r="171" spans="1:12" x14ac:dyDescent="0.3">
      <c r="A171" s="2" t="s">
        <v>234</v>
      </c>
      <c r="B171" s="2" t="str">
        <f>LEFT(Table1[[#This Row],[تاریخ]],4)</f>
        <v>1399</v>
      </c>
      <c r="C171" s="2" t="s">
        <v>7</v>
      </c>
      <c r="D171" s="2" t="s">
        <v>9</v>
      </c>
      <c r="E171" s="2" t="s">
        <v>75</v>
      </c>
      <c r="F171" s="2" t="s">
        <v>41</v>
      </c>
      <c r="G171" s="2" t="s">
        <v>34</v>
      </c>
      <c r="H171" s="3">
        <v>3150</v>
      </c>
      <c r="I171" s="3">
        <v>105349</v>
      </c>
      <c r="J171" s="3">
        <f t="shared" si="2"/>
        <v>331849350</v>
      </c>
      <c r="K171" s="3">
        <v>74478554</v>
      </c>
      <c r="L171" s="3">
        <v>52224681</v>
      </c>
    </row>
    <row r="172" spans="1:12" x14ac:dyDescent="0.3">
      <c r="A172" s="2" t="s">
        <v>235</v>
      </c>
      <c r="B172" s="2" t="str">
        <f>LEFT(Table1[[#This Row],[تاریخ]],4)</f>
        <v>1399</v>
      </c>
      <c r="C172" s="2" t="s">
        <v>7</v>
      </c>
      <c r="D172" s="2" t="s">
        <v>9</v>
      </c>
      <c r="E172" s="2" t="s">
        <v>44</v>
      </c>
      <c r="F172" s="2" t="s">
        <v>45</v>
      </c>
      <c r="G172" s="2" t="s">
        <v>38</v>
      </c>
      <c r="H172" s="3">
        <v>3675</v>
      </c>
      <c r="I172" s="3">
        <v>68859</v>
      </c>
      <c r="J172" s="3">
        <f t="shared" si="2"/>
        <v>253056825</v>
      </c>
      <c r="K172" s="3">
        <v>245590472</v>
      </c>
      <c r="L172" s="3">
        <v>56773694</v>
      </c>
    </row>
    <row r="173" spans="1:12" x14ac:dyDescent="0.3">
      <c r="A173" s="2" t="s">
        <v>236</v>
      </c>
      <c r="B173" s="2" t="str">
        <f>LEFT(Table1[[#This Row],[تاریخ]],4)</f>
        <v>1399</v>
      </c>
      <c r="C173" s="2" t="s">
        <v>7</v>
      </c>
      <c r="D173" s="2" t="s">
        <v>9</v>
      </c>
      <c r="E173" s="2" t="s">
        <v>79</v>
      </c>
      <c r="F173" s="2" t="s">
        <v>49</v>
      </c>
      <c r="G173" s="2" t="s">
        <v>42</v>
      </c>
      <c r="H173" s="3">
        <v>2065</v>
      </c>
      <c r="I173" s="3">
        <v>55607</v>
      </c>
      <c r="J173" s="3">
        <f t="shared" si="2"/>
        <v>114828455</v>
      </c>
      <c r="K173" s="3">
        <v>25160154</v>
      </c>
      <c r="L173" s="3">
        <v>20106832</v>
      </c>
    </row>
    <row r="174" spans="1:12" x14ac:dyDescent="0.3">
      <c r="A174" s="2" t="s">
        <v>237</v>
      </c>
      <c r="B174" s="2" t="str">
        <f>LEFT(Table1[[#This Row],[تاریخ]],4)</f>
        <v>1399</v>
      </c>
      <c r="C174" s="2" t="s">
        <v>7</v>
      </c>
      <c r="D174" s="2" t="s">
        <v>9</v>
      </c>
      <c r="E174" s="2" t="s">
        <v>81</v>
      </c>
      <c r="F174" s="2" t="s">
        <v>53</v>
      </c>
      <c r="G174" s="2" t="s">
        <v>46</v>
      </c>
      <c r="H174" s="3">
        <v>2870</v>
      </c>
      <c r="I174" s="3">
        <v>59204</v>
      </c>
      <c r="J174" s="3">
        <f t="shared" si="2"/>
        <v>169915480</v>
      </c>
      <c r="K174" s="3">
        <v>141774442</v>
      </c>
      <c r="L174" s="3">
        <v>26451160</v>
      </c>
    </row>
    <row r="175" spans="1:12" x14ac:dyDescent="0.3">
      <c r="A175" s="2" t="s">
        <v>238</v>
      </c>
      <c r="B175" s="2" t="str">
        <f>LEFT(Table1[[#This Row],[تاریخ]],4)</f>
        <v>1399</v>
      </c>
      <c r="C175" s="2" t="s">
        <v>7</v>
      </c>
      <c r="D175" s="2" t="s">
        <v>9</v>
      </c>
      <c r="E175" s="2" t="s">
        <v>83</v>
      </c>
      <c r="F175" s="2" t="s">
        <v>56</v>
      </c>
      <c r="G175" s="2" t="s">
        <v>46</v>
      </c>
      <c r="H175" s="3">
        <v>3360</v>
      </c>
      <c r="I175" s="3">
        <v>149760</v>
      </c>
      <c r="J175" s="3">
        <f t="shared" si="2"/>
        <v>503193600</v>
      </c>
      <c r="K175" s="3">
        <v>143895850</v>
      </c>
      <c r="L175" s="3">
        <v>20823215</v>
      </c>
    </row>
    <row r="176" spans="1:12" x14ac:dyDescent="0.3">
      <c r="A176" s="2" t="s">
        <v>239</v>
      </c>
      <c r="B176" s="2" t="str">
        <f>LEFT(Table1[[#This Row],[تاریخ]],4)</f>
        <v>1399</v>
      </c>
      <c r="C176" s="2" t="s">
        <v>7</v>
      </c>
      <c r="D176" s="2" t="s">
        <v>9</v>
      </c>
      <c r="E176" s="2" t="s">
        <v>85</v>
      </c>
      <c r="F176" s="2" t="s">
        <v>59</v>
      </c>
      <c r="G176" s="2" t="s">
        <v>50</v>
      </c>
      <c r="H176" s="3">
        <v>3080</v>
      </c>
      <c r="I176" s="3">
        <v>131149</v>
      </c>
      <c r="J176" s="3">
        <f t="shared" si="2"/>
        <v>403938920</v>
      </c>
      <c r="K176" s="3">
        <v>362450780</v>
      </c>
      <c r="L176" s="3">
        <v>87870310</v>
      </c>
    </row>
    <row r="177" spans="1:12" x14ac:dyDescent="0.3">
      <c r="A177" s="2" t="s">
        <v>240</v>
      </c>
      <c r="B177" s="2" t="str">
        <f>LEFT(Table1[[#This Row],[تاریخ]],4)</f>
        <v>1399</v>
      </c>
      <c r="C177" s="2" t="s">
        <v>11</v>
      </c>
      <c r="D177" s="2" t="s">
        <v>10</v>
      </c>
      <c r="E177" s="2" t="s">
        <v>61</v>
      </c>
      <c r="F177" s="2" t="s">
        <v>62</v>
      </c>
      <c r="G177" s="2" t="s">
        <v>31</v>
      </c>
      <c r="H177" s="3">
        <v>3325</v>
      </c>
      <c r="I177" s="3">
        <v>98584</v>
      </c>
      <c r="J177" s="3">
        <f t="shared" si="2"/>
        <v>327791800</v>
      </c>
      <c r="K177" s="3">
        <v>308607224</v>
      </c>
      <c r="L177" s="3">
        <v>75576425</v>
      </c>
    </row>
    <row r="178" spans="1:12" x14ac:dyDescent="0.3">
      <c r="A178" s="2" t="s">
        <v>241</v>
      </c>
      <c r="B178" s="2" t="str">
        <f>LEFT(Table1[[#This Row],[تاریخ]],4)</f>
        <v>1399</v>
      </c>
      <c r="C178" s="2" t="s">
        <v>11</v>
      </c>
      <c r="D178" s="2" t="s">
        <v>10</v>
      </c>
      <c r="E178" s="2" t="s">
        <v>64</v>
      </c>
      <c r="F178" s="2" t="s">
        <v>65</v>
      </c>
      <c r="G178" s="2" t="s">
        <v>34</v>
      </c>
      <c r="H178" s="3">
        <v>2170</v>
      </c>
      <c r="I178" s="3">
        <v>125921</v>
      </c>
      <c r="J178" s="3">
        <f t="shared" si="2"/>
        <v>273248570</v>
      </c>
      <c r="K178" s="3">
        <v>181977401</v>
      </c>
      <c r="L178" s="3">
        <v>21275707</v>
      </c>
    </row>
    <row r="179" spans="1:12" x14ac:dyDescent="0.3">
      <c r="A179" s="2" t="s">
        <v>242</v>
      </c>
      <c r="B179" s="2" t="str">
        <f>LEFT(Table1[[#This Row],[تاریخ]],4)</f>
        <v>1399</v>
      </c>
      <c r="C179" s="2" t="s">
        <v>11</v>
      </c>
      <c r="D179" s="2" t="s">
        <v>10</v>
      </c>
      <c r="E179" s="2" t="s">
        <v>29</v>
      </c>
      <c r="F179" s="2" t="s">
        <v>67</v>
      </c>
      <c r="G179" s="2" t="s">
        <v>38</v>
      </c>
      <c r="H179" s="3">
        <v>3430</v>
      </c>
      <c r="I179" s="3">
        <v>147356</v>
      </c>
      <c r="J179" s="3">
        <f t="shared" si="2"/>
        <v>505431080</v>
      </c>
      <c r="K179" s="3">
        <v>209040324</v>
      </c>
      <c r="L179" s="3">
        <v>18460452</v>
      </c>
    </row>
    <row r="180" spans="1:12" x14ac:dyDescent="0.3">
      <c r="A180" s="2" t="s">
        <v>243</v>
      </c>
      <c r="B180" s="2" t="str">
        <f>LEFT(Table1[[#This Row],[تاریخ]],4)</f>
        <v>1399</v>
      </c>
      <c r="C180" s="2" t="s">
        <v>11</v>
      </c>
      <c r="D180" s="2" t="s">
        <v>10</v>
      </c>
      <c r="E180" s="2" t="s">
        <v>69</v>
      </c>
      <c r="F180" s="2" t="s">
        <v>70</v>
      </c>
      <c r="G180" s="2" t="s">
        <v>42</v>
      </c>
      <c r="H180" s="3">
        <v>3325</v>
      </c>
      <c r="I180" s="3">
        <v>101218</v>
      </c>
      <c r="J180" s="3">
        <f t="shared" si="2"/>
        <v>336549850</v>
      </c>
      <c r="K180" s="3">
        <v>144224487</v>
      </c>
      <c r="L180" s="3">
        <v>18971582</v>
      </c>
    </row>
    <row r="181" spans="1:12" x14ac:dyDescent="0.3">
      <c r="A181" s="2" t="s">
        <v>244</v>
      </c>
      <c r="B181" s="2" t="str">
        <f>LEFT(Table1[[#This Row],[تاریخ]],4)</f>
        <v>1399</v>
      </c>
      <c r="C181" s="2" t="s">
        <v>11</v>
      </c>
      <c r="D181" s="2" t="s">
        <v>10</v>
      </c>
      <c r="E181" s="2" t="s">
        <v>72</v>
      </c>
      <c r="F181" s="2" t="s">
        <v>73</v>
      </c>
      <c r="G181" s="2" t="s">
        <v>46</v>
      </c>
      <c r="H181" s="3">
        <v>2485</v>
      </c>
      <c r="I181" s="3">
        <v>102043</v>
      </c>
      <c r="J181" s="3">
        <f t="shared" si="2"/>
        <v>253576855</v>
      </c>
      <c r="K181" s="3">
        <v>13071820</v>
      </c>
      <c r="L181" s="3">
        <v>47887945</v>
      </c>
    </row>
    <row r="182" spans="1:12" x14ac:dyDescent="0.3">
      <c r="A182" s="2" t="s">
        <v>245</v>
      </c>
      <c r="B182" s="2" t="str">
        <f>LEFT(Table1[[#This Row],[تاریخ]],4)</f>
        <v>1399</v>
      </c>
      <c r="C182" s="2" t="s">
        <v>11</v>
      </c>
      <c r="D182" s="2" t="s">
        <v>10</v>
      </c>
      <c r="E182" s="2" t="s">
        <v>75</v>
      </c>
      <c r="F182" s="2" t="s">
        <v>76</v>
      </c>
      <c r="G182" s="2" t="s">
        <v>46</v>
      </c>
      <c r="H182" s="3">
        <v>2975</v>
      </c>
      <c r="I182" s="3">
        <v>67273</v>
      </c>
      <c r="J182" s="3">
        <f t="shared" si="2"/>
        <v>200137175</v>
      </c>
      <c r="K182" s="3">
        <v>88475615</v>
      </c>
      <c r="L182" s="3">
        <v>54493438</v>
      </c>
    </row>
    <row r="183" spans="1:12" x14ac:dyDescent="0.3">
      <c r="A183" s="2" t="s">
        <v>246</v>
      </c>
      <c r="B183" s="2" t="str">
        <f>LEFT(Table1[[#This Row],[تاریخ]],4)</f>
        <v>1399</v>
      </c>
      <c r="C183" s="2" t="s">
        <v>11</v>
      </c>
      <c r="D183" s="2" t="s">
        <v>12</v>
      </c>
      <c r="E183" s="2" t="s">
        <v>44</v>
      </c>
      <c r="F183" s="2" t="s">
        <v>30</v>
      </c>
      <c r="G183" s="2" t="s">
        <v>50</v>
      </c>
      <c r="H183" s="3">
        <v>2065</v>
      </c>
      <c r="I183" s="3">
        <v>64431</v>
      </c>
      <c r="J183" s="3">
        <f t="shared" si="2"/>
        <v>133050015</v>
      </c>
      <c r="K183" s="3">
        <v>116710197</v>
      </c>
      <c r="L183" s="3">
        <v>29947451</v>
      </c>
    </row>
    <row r="184" spans="1:12" x14ac:dyDescent="0.3">
      <c r="A184" s="2" t="s">
        <v>247</v>
      </c>
      <c r="B184" s="2" t="str">
        <f>LEFT(Table1[[#This Row],[تاریخ]],4)</f>
        <v>1399</v>
      </c>
      <c r="C184" s="2" t="s">
        <v>11</v>
      </c>
      <c r="D184" s="2" t="s">
        <v>12</v>
      </c>
      <c r="E184" s="2" t="s">
        <v>79</v>
      </c>
      <c r="F184" s="2" t="s">
        <v>33</v>
      </c>
      <c r="G184" s="2" t="s">
        <v>31</v>
      </c>
      <c r="H184" s="3">
        <v>3255</v>
      </c>
      <c r="I184" s="3">
        <v>121054</v>
      </c>
      <c r="J184" s="3">
        <f t="shared" si="2"/>
        <v>394030770</v>
      </c>
      <c r="K184" s="3">
        <v>386318517</v>
      </c>
      <c r="L184" s="3">
        <v>111244887</v>
      </c>
    </row>
    <row r="185" spans="1:12" x14ac:dyDescent="0.3">
      <c r="A185" s="2" t="s">
        <v>248</v>
      </c>
      <c r="B185" s="2" t="str">
        <f>LEFT(Table1[[#This Row],[تاریخ]],4)</f>
        <v>1399</v>
      </c>
      <c r="C185" s="2" t="s">
        <v>11</v>
      </c>
      <c r="D185" s="2" t="s">
        <v>12</v>
      </c>
      <c r="E185" s="2" t="s">
        <v>81</v>
      </c>
      <c r="F185" s="2" t="s">
        <v>37</v>
      </c>
      <c r="G185" s="2" t="s">
        <v>34</v>
      </c>
      <c r="H185" s="3">
        <v>2870</v>
      </c>
      <c r="I185" s="3">
        <v>141097</v>
      </c>
      <c r="J185" s="3">
        <f t="shared" si="2"/>
        <v>404948390</v>
      </c>
      <c r="K185" s="3">
        <v>143385892</v>
      </c>
      <c r="L185" s="3">
        <v>82194450</v>
      </c>
    </row>
    <row r="186" spans="1:12" x14ac:dyDescent="0.3">
      <c r="A186" s="2" t="s">
        <v>249</v>
      </c>
      <c r="B186" s="2" t="str">
        <f>LEFT(Table1[[#This Row],[تاریخ]],4)</f>
        <v>1399</v>
      </c>
      <c r="C186" s="2" t="s">
        <v>11</v>
      </c>
      <c r="D186" s="2" t="s">
        <v>12</v>
      </c>
      <c r="E186" s="2" t="s">
        <v>83</v>
      </c>
      <c r="F186" s="2" t="s">
        <v>41</v>
      </c>
      <c r="G186" s="2" t="s">
        <v>38</v>
      </c>
      <c r="H186" s="3">
        <v>3220</v>
      </c>
      <c r="I186" s="3">
        <v>76706</v>
      </c>
      <c r="J186" s="3">
        <f t="shared" si="2"/>
        <v>246993320</v>
      </c>
      <c r="K186" s="3">
        <v>50967847</v>
      </c>
      <c r="L186" s="3">
        <v>55022236</v>
      </c>
    </row>
    <row r="187" spans="1:12" x14ac:dyDescent="0.3">
      <c r="A187" s="2" t="s">
        <v>250</v>
      </c>
      <c r="B187" s="2" t="str">
        <f>LEFT(Table1[[#This Row],[تاریخ]],4)</f>
        <v>1399</v>
      </c>
      <c r="C187" s="2" t="s">
        <v>11</v>
      </c>
      <c r="D187" s="2" t="s">
        <v>12</v>
      </c>
      <c r="E187" s="2" t="s">
        <v>85</v>
      </c>
      <c r="F187" s="2" t="s">
        <v>45</v>
      </c>
      <c r="G187" s="2" t="s">
        <v>42</v>
      </c>
      <c r="H187" s="3">
        <v>2345</v>
      </c>
      <c r="I187" s="3">
        <v>50455</v>
      </c>
      <c r="J187" s="3">
        <f t="shared" si="2"/>
        <v>118316975</v>
      </c>
      <c r="K187" s="3">
        <v>32685947</v>
      </c>
      <c r="L187" s="3">
        <v>5544198</v>
      </c>
    </row>
    <row r="188" spans="1:12" x14ac:dyDescent="0.3">
      <c r="A188" s="2" t="s">
        <v>251</v>
      </c>
      <c r="B188" s="2" t="str">
        <f>LEFT(Table1[[#This Row],[تاریخ]],4)</f>
        <v>1399</v>
      </c>
      <c r="C188" s="2" t="s">
        <v>11</v>
      </c>
      <c r="D188" s="2" t="s">
        <v>12</v>
      </c>
      <c r="E188" s="2" t="s">
        <v>61</v>
      </c>
      <c r="F188" s="2" t="s">
        <v>49</v>
      </c>
      <c r="G188" s="2" t="s">
        <v>46</v>
      </c>
      <c r="H188" s="3">
        <v>3535</v>
      </c>
      <c r="I188" s="3">
        <v>52169</v>
      </c>
      <c r="J188" s="3">
        <f t="shared" si="2"/>
        <v>184417415</v>
      </c>
      <c r="K188" s="3">
        <v>62258703</v>
      </c>
      <c r="L188" s="3">
        <v>52442356</v>
      </c>
    </row>
    <row r="189" spans="1:12" x14ac:dyDescent="0.3">
      <c r="A189" s="2" t="s">
        <v>252</v>
      </c>
      <c r="B189" s="2" t="str">
        <f>LEFT(Table1[[#This Row],[تاریخ]],4)</f>
        <v>1399</v>
      </c>
      <c r="C189" s="2" t="s">
        <v>11</v>
      </c>
      <c r="D189" s="2" t="s">
        <v>13</v>
      </c>
      <c r="E189" s="2" t="s">
        <v>64</v>
      </c>
      <c r="F189" s="2" t="s">
        <v>53</v>
      </c>
      <c r="G189" s="2" t="s">
        <v>46</v>
      </c>
      <c r="H189" s="3">
        <v>1925</v>
      </c>
      <c r="I189" s="3">
        <v>83382</v>
      </c>
      <c r="J189" s="3">
        <f t="shared" si="2"/>
        <v>160510350</v>
      </c>
      <c r="K189" s="3">
        <v>33638169</v>
      </c>
      <c r="L189" s="3">
        <v>26392960</v>
      </c>
    </row>
    <row r="190" spans="1:12" x14ac:dyDescent="0.3">
      <c r="A190" s="2" t="s">
        <v>253</v>
      </c>
      <c r="B190" s="2" t="str">
        <f>LEFT(Table1[[#This Row],[تاریخ]],4)</f>
        <v>1399</v>
      </c>
      <c r="C190" s="2" t="s">
        <v>11</v>
      </c>
      <c r="D190" s="2" t="s">
        <v>13</v>
      </c>
      <c r="E190" s="2" t="s">
        <v>29</v>
      </c>
      <c r="F190" s="2" t="s">
        <v>56</v>
      </c>
      <c r="G190" s="2" t="s">
        <v>50</v>
      </c>
      <c r="H190" s="3">
        <v>2485</v>
      </c>
      <c r="I190" s="3">
        <v>136409</v>
      </c>
      <c r="J190" s="3">
        <f t="shared" si="2"/>
        <v>338976365</v>
      </c>
      <c r="K190" s="3">
        <v>330105747</v>
      </c>
      <c r="L190" s="3">
        <v>56173778</v>
      </c>
    </row>
    <row r="191" spans="1:12" x14ac:dyDescent="0.3">
      <c r="A191" s="2" t="s">
        <v>254</v>
      </c>
      <c r="B191" s="2" t="str">
        <f>LEFT(Table1[[#This Row],[تاریخ]],4)</f>
        <v>1399</v>
      </c>
      <c r="C191" s="2" t="s">
        <v>11</v>
      </c>
      <c r="D191" s="2" t="s">
        <v>13</v>
      </c>
      <c r="E191" s="2" t="s">
        <v>69</v>
      </c>
      <c r="F191" s="2" t="s">
        <v>59</v>
      </c>
      <c r="G191" s="2" t="s">
        <v>31</v>
      </c>
      <c r="H191" s="3">
        <v>1855</v>
      </c>
      <c r="I191" s="3">
        <v>142630</v>
      </c>
      <c r="J191" s="3">
        <f t="shared" si="2"/>
        <v>264578650</v>
      </c>
      <c r="K191" s="3">
        <v>3530960</v>
      </c>
      <c r="L191" s="3">
        <v>27787880</v>
      </c>
    </row>
    <row r="192" spans="1:12" x14ac:dyDescent="0.3">
      <c r="A192" s="2" t="s">
        <v>255</v>
      </c>
      <c r="B192" s="2" t="str">
        <f>LEFT(Table1[[#This Row],[تاریخ]],4)</f>
        <v>1399</v>
      </c>
      <c r="C192" s="2" t="s">
        <v>11</v>
      </c>
      <c r="D192" s="2" t="s">
        <v>13</v>
      </c>
      <c r="E192" s="2" t="s">
        <v>72</v>
      </c>
      <c r="F192" s="2" t="s">
        <v>62</v>
      </c>
      <c r="G192" s="2" t="s">
        <v>34</v>
      </c>
      <c r="H192" s="3">
        <v>3675</v>
      </c>
      <c r="I192" s="3">
        <v>54996</v>
      </c>
      <c r="J192" s="3">
        <f t="shared" si="2"/>
        <v>202110300</v>
      </c>
      <c r="K192" s="3">
        <v>177807428</v>
      </c>
      <c r="L192" s="3">
        <v>41677035</v>
      </c>
    </row>
    <row r="193" spans="1:12" x14ac:dyDescent="0.3">
      <c r="A193" s="2" t="s">
        <v>256</v>
      </c>
      <c r="B193" s="2" t="str">
        <f>LEFT(Table1[[#This Row],[تاریخ]],4)</f>
        <v>1399</v>
      </c>
      <c r="C193" s="2" t="s">
        <v>11</v>
      </c>
      <c r="D193" s="2" t="s">
        <v>13</v>
      </c>
      <c r="E193" s="2" t="s">
        <v>75</v>
      </c>
      <c r="F193" s="2" t="s">
        <v>65</v>
      </c>
      <c r="G193" s="2" t="s">
        <v>38</v>
      </c>
      <c r="H193" s="3">
        <v>1925</v>
      </c>
      <c r="I193" s="3">
        <v>148113</v>
      </c>
      <c r="J193" s="3">
        <f t="shared" si="2"/>
        <v>285117525</v>
      </c>
      <c r="K193" s="3">
        <v>55512027</v>
      </c>
      <c r="L193" s="3">
        <v>25221834</v>
      </c>
    </row>
    <row r="194" spans="1:12" x14ac:dyDescent="0.3">
      <c r="A194" s="2" t="s">
        <v>257</v>
      </c>
      <c r="B194" s="2" t="str">
        <f>LEFT(Table1[[#This Row],[تاریخ]],4)</f>
        <v>1399</v>
      </c>
      <c r="C194" s="2" t="s">
        <v>11</v>
      </c>
      <c r="D194" s="2" t="s">
        <v>13</v>
      </c>
      <c r="E194" s="2" t="s">
        <v>44</v>
      </c>
      <c r="F194" s="2" t="s">
        <v>67</v>
      </c>
      <c r="G194" s="2" t="s">
        <v>42</v>
      </c>
      <c r="H194" s="3">
        <v>3185</v>
      </c>
      <c r="I194" s="3">
        <v>95161</v>
      </c>
      <c r="J194" s="3">
        <f t="shared" si="2"/>
        <v>303087785</v>
      </c>
      <c r="K194" s="3">
        <v>51920414</v>
      </c>
      <c r="L194" s="3">
        <v>71729519</v>
      </c>
    </row>
    <row r="195" spans="1:12" x14ac:dyDescent="0.3">
      <c r="A195" s="2" t="s">
        <v>258</v>
      </c>
      <c r="B195" s="2" t="str">
        <f>LEFT(Table1[[#This Row],[تاریخ]],4)</f>
        <v>1399</v>
      </c>
      <c r="C195" s="2" t="s">
        <v>15</v>
      </c>
      <c r="D195" s="2" t="s">
        <v>14</v>
      </c>
      <c r="E195" s="2" t="s">
        <v>79</v>
      </c>
      <c r="F195" s="2" t="s">
        <v>70</v>
      </c>
      <c r="G195" s="2" t="s">
        <v>46</v>
      </c>
      <c r="H195" s="3">
        <v>3325</v>
      </c>
      <c r="I195" s="3">
        <v>142469</v>
      </c>
      <c r="J195" s="3">
        <f t="shared" si="2"/>
        <v>473709425</v>
      </c>
      <c r="K195" s="3">
        <v>377073560</v>
      </c>
      <c r="L195" s="3">
        <v>26561832</v>
      </c>
    </row>
    <row r="196" spans="1:12" x14ac:dyDescent="0.3">
      <c r="A196" s="2" t="s">
        <v>259</v>
      </c>
      <c r="B196" s="2" t="str">
        <f>LEFT(Table1[[#This Row],[تاریخ]],4)</f>
        <v>1399</v>
      </c>
      <c r="C196" s="2" t="s">
        <v>15</v>
      </c>
      <c r="D196" s="2" t="s">
        <v>14</v>
      </c>
      <c r="E196" s="2" t="s">
        <v>81</v>
      </c>
      <c r="F196" s="2" t="s">
        <v>73</v>
      </c>
      <c r="G196" s="2" t="s">
        <v>46</v>
      </c>
      <c r="H196" s="3">
        <v>3255</v>
      </c>
      <c r="I196" s="3">
        <v>100830</v>
      </c>
      <c r="J196" s="3">
        <f t="shared" ref="J196:J259" si="3">I196*H196</f>
        <v>328201650</v>
      </c>
      <c r="K196" s="3">
        <v>17656388</v>
      </c>
      <c r="L196" s="3">
        <v>36260648</v>
      </c>
    </row>
    <row r="197" spans="1:12" x14ac:dyDescent="0.3">
      <c r="A197" s="2" t="s">
        <v>260</v>
      </c>
      <c r="B197" s="2" t="str">
        <f>LEFT(Table1[[#This Row],[تاریخ]],4)</f>
        <v>1399</v>
      </c>
      <c r="C197" s="2" t="s">
        <v>15</v>
      </c>
      <c r="D197" s="2" t="s">
        <v>14</v>
      </c>
      <c r="E197" s="2" t="s">
        <v>83</v>
      </c>
      <c r="F197" s="2" t="s">
        <v>76</v>
      </c>
      <c r="G197" s="2" t="s">
        <v>50</v>
      </c>
      <c r="H197" s="3">
        <v>1890</v>
      </c>
      <c r="I197" s="3">
        <v>74468</v>
      </c>
      <c r="J197" s="3">
        <f t="shared" si="3"/>
        <v>140744520</v>
      </c>
      <c r="K197" s="3">
        <v>120207286</v>
      </c>
      <c r="L197" s="3">
        <v>14299399</v>
      </c>
    </row>
    <row r="198" spans="1:12" x14ac:dyDescent="0.3">
      <c r="A198" s="2" t="s">
        <v>261</v>
      </c>
      <c r="B198" s="2" t="str">
        <f>LEFT(Table1[[#This Row],[تاریخ]],4)</f>
        <v>1399</v>
      </c>
      <c r="C198" s="2" t="s">
        <v>15</v>
      </c>
      <c r="D198" s="2" t="s">
        <v>14</v>
      </c>
      <c r="E198" s="2" t="s">
        <v>85</v>
      </c>
      <c r="F198" s="2" t="s">
        <v>30</v>
      </c>
      <c r="G198" s="2" t="s">
        <v>31</v>
      </c>
      <c r="H198" s="3">
        <v>1960</v>
      </c>
      <c r="I198" s="3">
        <v>101617</v>
      </c>
      <c r="J198" s="3">
        <f t="shared" si="3"/>
        <v>199169320</v>
      </c>
      <c r="K198" s="3">
        <v>146456083</v>
      </c>
      <c r="L198" s="3">
        <v>29844837</v>
      </c>
    </row>
    <row r="199" spans="1:12" x14ac:dyDescent="0.3">
      <c r="A199" s="2" t="s">
        <v>262</v>
      </c>
      <c r="B199" s="2" t="str">
        <f>LEFT(Table1[[#This Row],[تاریخ]],4)</f>
        <v>1399</v>
      </c>
      <c r="C199" s="2" t="s">
        <v>15</v>
      </c>
      <c r="D199" s="2" t="s">
        <v>14</v>
      </c>
      <c r="E199" s="2" t="s">
        <v>61</v>
      </c>
      <c r="F199" s="2" t="s">
        <v>33</v>
      </c>
      <c r="G199" s="2" t="s">
        <v>34</v>
      </c>
      <c r="H199" s="3">
        <v>2275</v>
      </c>
      <c r="I199" s="3">
        <v>99430</v>
      </c>
      <c r="J199" s="3">
        <f t="shared" si="3"/>
        <v>226203250</v>
      </c>
      <c r="K199" s="3">
        <v>36404739</v>
      </c>
      <c r="L199" s="3">
        <v>28102177</v>
      </c>
    </row>
    <row r="200" spans="1:12" x14ac:dyDescent="0.3">
      <c r="A200" s="2" t="s">
        <v>263</v>
      </c>
      <c r="B200" s="2" t="str">
        <f>LEFT(Table1[[#This Row],[تاریخ]],4)</f>
        <v>1399</v>
      </c>
      <c r="C200" s="2" t="s">
        <v>15</v>
      </c>
      <c r="D200" s="2" t="s">
        <v>14</v>
      </c>
      <c r="E200" s="2" t="s">
        <v>64</v>
      </c>
      <c r="F200" s="2" t="s">
        <v>37</v>
      </c>
      <c r="G200" s="2" t="s">
        <v>38</v>
      </c>
      <c r="H200" s="3">
        <v>2485</v>
      </c>
      <c r="I200" s="3">
        <v>114661</v>
      </c>
      <c r="J200" s="3">
        <f t="shared" si="3"/>
        <v>284932585</v>
      </c>
      <c r="K200" s="3">
        <v>17978027</v>
      </c>
      <c r="L200" s="3">
        <v>83719885</v>
      </c>
    </row>
    <row r="201" spans="1:12" x14ac:dyDescent="0.3">
      <c r="A201" s="2" t="s">
        <v>264</v>
      </c>
      <c r="B201" s="2" t="str">
        <f>LEFT(Table1[[#This Row],[تاریخ]],4)</f>
        <v>1399</v>
      </c>
      <c r="C201" s="2" t="s">
        <v>15</v>
      </c>
      <c r="D201" s="2" t="s">
        <v>16</v>
      </c>
      <c r="E201" s="2" t="s">
        <v>29</v>
      </c>
      <c r="F201" s="2" t="s">
        <v>41</v>
      </c>
      <c r="G201" s="2" t="s">
        <v>42</v>
      </c>
      <c r="H201" s="3">
        <v>3185</v>
      </c>
      <c r="I201" s="3">
        <v>118384</v>
      </c>
      <c r="J201" s="3">
        <f t="shared" si="3"/>
        <v>377053040</v>
      </c>
      <c r="K201" s="3">
        <v>213274192</v>
      </c>
      <c r="L201" s="3">
        <v>24504500</v>
      </c>
    </row>
    <row r="202" spans="1:12" x14ac:dyDescent="0.3">
      <c r="A202" s="2" t="s">
        <v>265</v>
      </c>
      <c r="B202" s="2" t="str">
        <f>LEFT(Table1[[#This Row],[تاریخ]],4)</f>
        <v>1399</v>
      </c>
      <c r="C202" s="2" t="s">
        <v>15</v>
      </c>
      <c r="D202" s="2" t="s">
        <v>16</v>
      </c>
      <c r="E202" s="2" t="s">
        <v>69</v>
      </c>
      <c r="F202" s="2" t="s">
        <v>45</v>
      </c>
      <c r="G202" s="2" t="s">
        <v>46</v>
      </c>
      <c r="H202" s="3">
        <v>2940</v>
      </c>
      <c r="I202" s="3">
        <v>117032</v>
      </c>
      <c r="J202" s="3">
        <f t="shared" si="3"/>
        <v>344074080</v>
      </c>
      <c r="K202" s="3">
        <v>128050742</v>
      </c>
      <c r="L202" s="3">
        <v>1056124</v>
      </c>
    </row>
    <row r="203" spans="1:12" x14ac:dyDescent="0.3">
      <c r="A203" s="2" t="s">
        <v>266</v>
      </c>
      <c r="B203" s="2" t="str">
        <f>LEFT(Table1[[#This Row],[تاریخ]],4)</f>
        <v>1399</v>
      </c>
      <c r="C203" s="2" t="s">
        <v>15</v>
      </c>
      <c r="D203" s="2" t="s">
        <v>16</v>
      </c>
      <c r="E203" s="2" t="s">
        <v>72</v>
      </c>
      <c r="F203" s="2" t="s">
        <v>49</v>
      </c>
      <c r="G203" s="2" t="s">
        <v>46</v>
      </c>
      <c r="H203" s="3">
        <v>1820</v>
      </c>
      <c r="I203" s="3">
        <v>90181</v>
      </c>
      <c r="J203" s="3">
        <f t="shared" si="3"/>
        <v>164129420</v>
      </c>
      <c r="K203" s="3">
        <v>120870231</v>
      </c>
      <c r="L203" s="3">
        <v>48255642</v>
      </c>
    </row>
    <row r="204" spans="1:12" x14ac:dyDescent="0.3">
      <c r="A204" s="2" t="s">
        <v>267</v>
      </c>
      <c r="B204" s="2" t="str">
        <f>LEFT(Table1[[#This Row],[تاریخ]],4)</f>
        <v>1399</v>
      </c>
      <c r="C204" s="2" t="s">
        <v>15</v>
      </c>
      <c r="D204" s="2" t="s">
        <v>16</v>
      </c>
      <c r="E204" s="2" t="s">
        <v>75</v>
      </c>
      <c r="F204" s="2" t="s">
        <v>53</v>
      </c>
      <c r="G204" s="2" t="s">
        <v>50</v>
      </c>
      <c r="H204" s="3">
        <v>2520</v>
      </c>
      <c r="I204" s="3">
        <v>75016</v>
      </c>
      <c r="J204" s="3">
        <f t="shared" si="3"/>
        <v>189040320</v>
      </c>
      <c r="K204" s="3">
        <v>129855943</v>
      </c>
      <c r="L204" s="3">
        <v>54887340</v>
      </c>
    </row>
    <row r="205" spans="1:12" x14ac:dyDescent="0.3">
      <c r="A205" s="2" t="s">
        <v>268</v>
      </c>
      <c r="B205" s="2" t="str">
        <f>LEFT(Table1[[#This Row],[تاریخ]],4)</f>
        <v>1399</v>
      </c>
      <c r="C205" s="2" t="s">
        <v>15</v>
      </c>
      <c r="D205" s="2" t="s">
        <v>16</v>
      </c>
      <c r="E205" s="2" t="s">
        <v>44</v>
      </c>
      <c r="F205" s="2" t="s">
        <v>56</v>
      </c>
      <c r="G205" s="2" t="s">
        <v>31</v>
      </c>
      <c r="H205" s="3">
        <v>3150</v>
      </c>
      <c r="I205" s="3">
        <v>101461</v>
      </c>
      <c r="J205" s="3">
        <f t="shared" si="3"/>
        <v>319602150</v>
      </c>
      <c r="K205" s="3">
        <v>167140693</v>
      </c>
      <c r="L205" s="3">
        <v>90772539</v>
      </c>
    </row>
    <row r="206" spans="1:12" x14ac:dyDescent="0.3">
      <c r="A206" s="2" t="s">
        <v>269</v>
      </c>
      <c r="B206" s="2" t="str">
        <f>LEFT(Table1[[#This Row],[تاریخ]],4)</f>
        <v>1399</v>
      </c>
      <c r="C206" s="2" t="s">
        <v>15</v>
      </c>
      <c r="D206" s="2" t="s">
        <v>16</v>
      </c>
      <c r="E206" s="2" t="s">
        <v>79</v>
      </c>
      <c r="F206" s="2" t="s">
        <v>59</v>
      </c>
      <c r="G206" s="2" t="s">
        <v>34</v>
      </c>
      <c r="H206" s="3">
        <v>1960</v>
      </c>
      <c r="I206" s="3">
        <v>56858</v>
      </c>
      <c r="J206" s="3">
        <f t="shared" si="3"/>
        <v>111441680</v>
      </c>
      <c r="K206" s="3">
        <v>49874076</v>
      </c>
      <c r="L206" s="3">
        <v>20824748</v>
      </c>
    </row>
    <row r="207" spans="1:12" x14ac:dyDescent="0.3">
      <c r="A207" s="2" t="s">
        <v>270</v>
      </c>
      <c r="B207" s="2" t="str">
        <f>LEFT(Table1[[#This Row],[تاریخ]],4)</f>
        <v>1399</v>
      </c>
      <c r="C207" s="2" t="s">
        <v>15</v>
      </c>
      <c r="D207" s="2" t="s">
        <v>17</v>
      </c>
      <c r="E207" s="2" t="s">
        <v>81</v>
      </c>
      <c r="F207" s="2" t="s">
        <v>62</v>
      </c>
      <c r="G207" s="2" t="s">
        <v>38</v>
      </c>
      <c r="H207" s="3">
        <v>2030</v>
      </c>
      <c r="I207" s="3">
        <v>143705</v>
      </c>
      <c r="J207" s="3">
        <f t="shared" si="3"/>
        <v>291721150</v>
      </c>
      <c r="K207" s="3">
        <v>166171859</v>
      </c>
      <c r="L207" s="3">
        <v>42623169</v>
      </c>
    </row>
    <row r="208" spans="1:12" x14ac:dyDescent="0.3">
      <c r="A208" s="2" t="s">
        <v>271</v>
      </c>
      <c r="B208" s="2" t="str">
        <f>LEFT(Table1[[#This Row],[تاریخ]],4)</f>
        <v>1399</v>
      </c>
      <c r="C208" s="2" t="s">
        <v>15</v>
      </c>
      <c r="D208" s="2" t="s">
        <v>17</v>
      </c>
      <c r="E208" s="2" t="s">
        <v>83</v>
      </c>
      <c r="F208" s="2" t="s">
        <v>65</v>
      </c>
      <c r="G208" s="2" t="s">
        <v>42</v>
      </c>
      <c r="H208" s="3">
        <v>2240</v>
      </c>
      <c r="I208" s="3">
        <v>121626</v>
      </c>
      <c r="J208" s="3">
        <f t="shared" si="3"/>
        <v>272442240</v>
      </c>
      <c r="K208" s="3">
        <v>253326999</v>
      </c>
      <c r="L208" s="3">
        <v>33073786</v>
      </c>
    </row>
    <row r="209" spans="1:12" x14ac:dyDescent="0.3">
      <c r="A209" s="2" t="s">
        <v>272</v>
      </c>
      <c r="B209" s="2" t="str">
        <f>LEFT(Table1[[#This Row],[تاریخ]],4)</f>
        <v>1399</v>
      </c>
      <c r="C209" s="2" t="s">
        <v>15</v>
      </c>
      <c r="D209" s="2" t="s">
        <v>17</v>
      </c>
      <c r="E209" s="2" t="s">
        <v>85</v>
      </c>
      <c r="F209" s="2" t="s">
        <v>67</v>
      </c>
      <c r="G209" s="2" t="s">
        <v>46</v>
      </c>
      <c r="H209" s="3">
        <v>1820</v>
      </c>
      <c r="I209" s="3">
        <v>143974</v>
      </c>
      <c r="J209" s="3">
        <f t="shared" si="3"/>
        <v>262032680</v>
      </c>
      <c r="K209" s="3">
        <v>73596770</v>
      </c>
      <c r="L209" s="3">
        <v>13251512</v>
      </c>
    </row>
    <row r="210" spans="1:12" x14ac:dyDescent="0.3">
      <c r="A210" s="2" t="s">
        <v>273</v>
      </c>
      <c r="B210" s="2" t="str">
        <f>LEFT(Table1[[#This Row],[تاریخ]],4)</f>
        <v>1399</v>
      </c>
      <c r="C210" s="2" t="s">
        <v>15</v>
      </c>
      <c r="D210" s="2" t="s">
        <v>17</v>
      </c>
      <c r="E210" s="2" t="s">
        <v>61</v>
      </c>
      <c r="F210" s="2" t="s">
        <v>70</v>
      </c>
      <c r="G210" s="2" t="s">
        <v>46</v>
      </c>
      <c r="H210" s="3">
        <v>3395</v>
      </c>
      <c r="I210" s="3">
        <v>99130</v>
      </c>
      <c r="J210" s="3">
        <f t="shared" si="3"/>
        <v>336546350</v>
      </c>
      <c r="K210" s="3">
        <v>200118634</v>
      </c>
      <c r="L210" s="3">
        <v>78719655</v>
      </c>
    </row>
    <row r="211" spans="1:12" x14ac:dyDescent="0.3">
      <c r="A211" s="2" t="s">
        <v>274</v>
      </c>
      <c r="B211" s="2" t="str">
        <f>LEFT(Table1[[#This Row],[تاریخ]],4)</f>
        <v>1399</v>
      </c>
      <c r="C211" s="2" t="s">
        <v>15</v>
      </c>
      <c r="D211" s="2" t="s">
        <v>17</v>
      </c>
      <c r="E211" s="2" t="s">
        <v>64</v>
      </c>
      <c r="F211" s="2" t="s">
        <v>73</v>
      </c>
      <c r="G211" s="2" t="s">
        <v>50</v>
      </c>
      <c r="H211" s="3">
        <v>2660</v>
      </c>
      <c r="I211" s="3">
        <v>70966</v>
      </c>
      <c r="J211" s="3">
        <f t="shared" si="3"/>
        <v>188769560</v>
      </c>
      <c r="K211" s="3">
        <v>187403789</v>
      </c>
      <c r="L211" s="3">
        <v>42302671</v>
      </c>
    </row>
    <row r="212" spans="1:12" x14ac:dyDescent="0.3">
      <c r="A212" s="2" t="s">
        <v>275</v>
      </c>
      <c r="B212" s="2" t="str">
        <f>LEFT(Table1[[#This Row],[تاریخ]],4)</f>
        <v>1399</v>
      </c>
      <c r="C212" s="2" t="s">
        <v>15</v>
      </c>
      <c r="D212" s="2" t="s">
        <v>17</v>
      </c>
      <c r="E212" s="2" t="s">
        <v>29</v>
      </c>
      <c r="F212" s="2" t="s">
        <v>76</v>
      </c>
      <c r="G212" s="2" t="s">
        <v>31</v>
      </c>
      <c r="H212" s="3">
        <v>2415</v>
      </c>
      <c r="I212" s="3">
        <v>129292</v>
      </c>
      <c r="J212" s="3">
        <f t="shared" si="3"/>
        <v>312240180</v>
      </c>
      <c r="K212" s="3">
        <v>29187382</v>
      </c>
      <c r="L212" s="3">
        <v>52964626</v>
      </c>
    </row>
    <row r="213" spans="1:12" x14ac:dyDescent="0.3">
      <c r="A213" s="2" t="s">
        <v>276</v>
      </c>
      <c r="B213" s="2" t="str">
        <f>LEFT(Table1[[#This Row],[تاریخ]],4)</f>
        <v>1400</v>
      </c>
      <c r="C213" s="2" t="s">
        <v>3</v>
      </c>
      <c r="D213" s="2" t="s">
        <v>2</v>
      </c>
      <c r="E213" s="2" t="s">
        <v>69</v>
      </c>
      <c r="F213" s="2" t="s">
        <v>30</v>
      </c>
      <c r="G213" s="2" t="s">
        <v>34</v>
      </c>
      <c r="H213" s="3">
        <v>1995</v>
      </c>
      <c r="I213" s="3">
        <v>81477</v>
      </c>
      <c r="J213" s="3">
        <f t="shared" si="3"/>
        <v>162546615</v>
      </c>
      <c r="K213" s="3">
        <v>8191333</v>
      </c>
      <c r="L213" s="3">
        <v>25687309</v>
      </c>
    </row>
    <row r="214" spans="1:12" x14ac:dyDescent="0.3">
      <c r="A214" s="2" t="s">
        <v>277</v>
      </c>
      <c r="B214" s="2" t="str">
        <f>LEFT(Table1[[#This Row],[تاریخ]],4)</f>
        <v>1400</v>
      </c>
      <c r="C214" s="2" t="s">
        <v>3</v>
      </c>
      <c r="D214" s="2" t="s">
        <v>2</v>
      </c>
      <c r="E214" s="2" t="s">
        <v>72</v>
      </c>
      <c r="F214" s="2" t="s">
        <v>33</v>
      </c>
      <c r="G214" s="2" t="s">
        <v>38</v>
      </c>
      <c r="H214" s="3">
        <v>3500</v>
      </c>
      <c r="I214" s="3">
        <v>100366</v>
      </c>
      <c r="J214" s="3">
        <f t="shared" si="3"/>
        <v>351281000</v>
      </c>
      <c r="K214" s="3">
        <v>296658862</v>
      </c>
      <c r="L214" s="3">
        <v>39041490</v>
      </c>
    </row>
    <row r="215" spans="1:12" x14ac:dyDescent="0.3">
      <c r="A215" s="2" t="s">
        <v>278</v>
      </c>
      <c r="B215" s="2" t="str">
        <f>LEFT(Table1[[#This Row],[تاریخ]],4)</f>
        <v>1400</v>
      </c>
      <c r="C215" s="2" t="s">
        <v>3</v>
      </c>
      <c r="D215" s="2" t="s">
        <v>2</v>
      </c>
      <c r="E215" s="2" t="s">
        <v>75</v>
      </c>
      <c r="F215" s="2" t="s">
        <v>37</v>
      </c>
      <c r="G215" s="2" t="s">
        <v>42</v>
      </c>
      <c r="H215" s="3">
        <v>1925</v>
      </c>
      <c r="I215" s="3">
        <v>109065</v>
      </c>
      <c r="J215" s="3">
        <f t="shared" si="3"/>
        <v>209950125</v>
      </c>
      <c r="K215" s="3">
        <v>47800189</v>
      </c>
      <c r="L215" s="3">
        <v>56111962</v>
      </c>
    </row>
    <row r="216" spans="1:12" x14ac:dyDescent="0.3">
      <c r="A216" s="2" t="s">
        <v>279</v>
      </c>
      <c r="B216" s="2" t="str">
        <f>LEFT(Table1[[#This Row],[تاریخ]],4)</f>
        <v>1400</v>
      </c>
      <c r="C216" s="2" t="s">
        <v>3</v>
      </c>
      <c r="D216" s="2" t="s">
        <v>2</v>
      </c>
      <c r="E216" s="2" t="s">
        <v>44</v>
      </c>
      <c r="F216" s="2" t="s">
        <v>41</v>
      </c>
      <c r="G216" s="2" t="s">
        <v>46</v>
      </c>
      <c r="H216" s="3">
        <v>1785</v>
      </c>
      <c r="I216" s="3">
        <v>140119</v>
      </c>
      <c r="J216" s="3">
        <f t="shared" si="3"/>
        <v>250112415</v>
      </c>
      <c r="K216" s="3">
        <v>7569628</v>
      </c>
      <c r="L216" s="3">
        <v>62087210</v>
      </c>
    </row>
    <row r="217" spans="1:12" x14ac:dyDescent="0.3">
      <c r="A217" s="2" t="s">
        <v>280</v>
      </c>
      <c r="B217" s="2" t="str">
        <f>LEFT(Table1[[#This Row],[تاریخ]],4)</f>
        <v>1400</v>
      </c>
      <c r="C217" s="2" t="s">
        <v>3</v>
      </c>
      <c r="D217" s="2" t="s">
        <v>2</v>
      </c>
      <c r="E217" s="2" t="s">
        <v>79</v>
      </c>
      <c r="F217" s="2" t="s">
        <v>45</v>
      </c>
      <c r="G217" s="2" t="s">
        <v>46</v>
      </c>
      <c r="H217" s="3">
        <v>2555</v>
      </c>
      <c r="I217" s="3">
        <v>76760</v>
      </c>
      <c r="J217" s="3">
        <f t="shared" si="3"/>
        <v>196121800</v>
      </c>
      <c r="K217" s="3">
        <v>75425761</v>
      </c>
      <c r="L217" s="3">
        <v>24918422</v>
      </c>
    </row>
    <row r="218" spans="1:12" x14ac:dyDescent="0.3">
      <c r="A218" s="2" t="s">
        <v>281</v>
      </c>
      <c r="B218" s="2" t="str">
        <f>LEFT(Table1[[#This Row],[تاریخ]],4)</f>
        <v>1400</v>
      </c>
      <c r="C218" s="2" t="s">
        <v>3</v>
      </c>
      <c r="D218" s="2" t="s">
        <v>2</v>
      </c>
      <c r="E218" s="2" t="s">
        <v>81</v>
      </c>
      <c r="F218" s="2" t="s">
        <v>49</v>
      </c>
      <c r="G218" s="2" t="s">
        <v>50</v>
      </c>
      <c r="H218" s="3">
        <v>2730</v>
      </c>
      <c r="I218" s="3">
        <v>149771</v>
      </c>
      <c r="J218" s="3">
        <f t="shared" si="3"/>
        <v>408874830</v>
      </c>
      <c r="K218" s="3">
        <v>289035509</v>
      </c>
      <c r="L218" s="3">
        <v>115184018</v>
      </c>
    </row>
    <row r="219" spans="1:12" x14ac:dyDescent="0.3">
      <c r="A219" s="2" t="s">
        <v>282</v>
      </c>
      <c r="B219" s="2" t="str">
        <f>LEFT(Table1[[#This Row],[تاریخ]],4)</f>
        <v>1400</v>
      </c>
      <c r="C219" s="2" t="s">
        <v>3</v>
      </c>
      <c r="D219" s="2" t="s">
        <v>2</v>
      </c>
      <c r="E219" s="2" t="s">
        <v>83</v>
      </c>
      <c r="F219" s="2" t="s">
        <v>53</v>
      </c>
      <c r="G219" s="2" t="s">
        <v>31</v>
      </c>
      <c r="H219" s="3">
        <v>2065</v>
      </c>
      <c r="I219" s="3">
        <v>73884</v>
      </c>
      <c r="J219" s="3">
        <f t="shared" si="3"/>
        <v>152570460</v>
      </c>
      <c r="K219" s="3">
        <v>4065953</v>
      </c>
      <c r="L219" s="3">
        <v>36189149</v>
      </c>
    </row>
    <row r="220" spans="1:12" x14ac:dyDescent="0.3">
      <c r="A220" s="2" t="s">
        <v>283</v>
      </c>
      <c r="B220" s="2" t="str">
        <f>LEFT(Table1[[#This Row],[تاریخ]],4)</f>
        <v>1400</v>
      </c>
      <c r="C220" s="2" t="s">
        <v>3</v>
      </c>
      <c r="D220" s="2" t="s">
        <v>4</v>
      </c>
      <c r="E220" s="2" t="s">
        <v>85</v>
      </c>
      <c r="F220" s="2" t="s">
        <v>56</v>
      </c>
      <c r="G220" s="2" t="s">
        <v>34</v>
      </c>
      <c r="H220" s="3">
        <v>3290</v>
      </c>
      <c r="I220" s="3">
        <v>100107</v>
      </c>
      <c r="J220" s="3">
        <f t="shared" si="3"/>
        <v>329352030</v>
      </c>
      <c r="K220" s="3">
        <v>166134359</v>
      </c>
      <c r="L220" s="3">
        <v>91730302</v>
      </c>
    </row>
    <row r="221" spans="1:12" x14ac:dyDescent="0.3">
      <c r="A221" s="2" t="s">
        <v>284</v>
      </c>
      <c r="B221" s="2" t="str">
        <f>LEFT(Table1[[#This Row],[تاریخ]],4)</f>
        <v>1400</v>
      </c>
      <c r="C221" s="2" t="s">
        <v>3</v>
      </c>
      <c r="D221" s="2" t="s">
        <v>4</v>
      </c>
      <c r="E221" s="2" t="s">
        <v>61</v>
      </c>
      <c r="F221" s="2" t="s">
        <v>59</v>
      </c>
      <c r="G221" s="2" t="s">
        <v>38</v>
      </c>
      <c r="H221" s="3">
        <v>3325</v>
      </c>
      <c r="I221" s="3">
        <v>51975</v>
      </c>
      <c r="J221" s="3">
        <f t="shared" si="3"/>
        <v>172816875</v>
      </c>
      <c r="K221" s="3">
        <v>18126812</v>
      </c>
      <c r="L221" s="3">
        <v>7929125</v>
      </c>
    </row>
    <row r="222" spans="1:12" x14ac:dyDescent="0.3">
      <c r="A222" s="2" t="s">
        <v>285</v>
      </c>
      <c r="B222" s="2" t="str">
        <f>LEFT(Table1[[#This Row],[تاریخ]],4)</f>
        <v>1400</v>
      </c>
      <c r="C222" s="2" t="s">
        <v>3</v>
      </c>
      <c r="D222" s="2" t="s">
        <v>4</v>
      </c>
      <c r="E222" s="2" t="s">
        <v>64</v>
      </c>
      <c r="F222" s="2" t="s">
        <v>62</v>
      </c>
      <c r="G222" s="2" t="s">
        <v>42</v>
      </c>
      <c r="H222" s="3">
        <v>3290</v>
      </c>
      <c r="I222" s="3">
        <v>87759</v>
      </c>
      <c r="J222" s="3">
        <f t="shared" si="3"/>
        <v>288727110</v>
      </c>
      <c r="K222" s="3">
        <v>108575760</v>
      </c>
      <c r="L222" s="3">
        <v>68754894</v>
      </c>
    </row>
    <row r="223" spans="1:12" x14ac:dyDescent="0.3">
      <c r="A223" s="2" t="s">
        <v>286</v>
      </c>
      <c r="B223" s="2" t="str">
        <f>LEFT(Table1[[#This Row],[تاریخ]],4)</f>
        <v>1400</v>
      </c>
      <c r="C223" s="2" t="s">
        <v>3</v>
      </c>
      <c r="D223" s="2" t="s">
        <v>4</v>
      </c>
      <c r="E223" s="2" t="s">
        <v>29</v>
      </c>
      <c r="F223" s="2" t="s">
        <v>65</v>
      </c>
      <c r="G223" s="2" t="s">
        <v>46</v>
      </c>
      <c r="H223" s="3">
        <v>2940</v>
      </c>
      <c r="I223" s="3">
        <v>86461</v>
      </c>
      <c r="J223" s="3">
        <f t="shared" si="3"/>
        <v>254195340</v>
      </c>
      <c r="K223" s="3">
        <v>183800762</v>
      </c>
      <c r="L223" s="3">
        <v>42355069</v>
      </c>
    </row>
    <row r="224" spans="1:12" x14ac:dyDescent="0.3">
      <c r="A224" s="2" t="s">
        <v>287</v>
      </c>
      <c r="B224" s="2" t="str">
        <f>LEFT(Table1[[#This Row],[تاریخ]],4)</f>
        <v>1400</v>
      </c>
      <c r="C224" s="2" t="s">
        <v>3</v>
      </c>
      <c r="D224" s="2" t="s">
        <v>4</v>
      </c>
      <c r="E224" s="2" t="s">
        <v>69</v>
      </c>
      <c r="F224" s="2" t="s">
        <v>67</v>
      </c>
      <c r="G224" s="2" t="s">
        <v>46</v>
      </c>
      <c r="H224" s="3">
        <v>2625</v>
      </c>
      <c r="I224" s="3">
        <v>147626</v>
      </c>
      <c r="J224" s="3">
        <f t="shared" si="3"/>
        <v>387518250</v>
      </c>
      <c r="K224" s="3">
        <v>146633388</v>
      </c>
      <c r="L224" s="3">
        <v>10161878</v>
      </c>
    </row>
    <row r="225" spans="1:12" x14ac:dyDescent="0.3">
      <c r="A225" s="2" t="s">
        <v>288</v>
      </c>
      <c r="B225" s="2" t="str">
        <f>LEFT(Table1[[#This Row],[تاریخ]],4)</f>
        <v>1400</v>
      </c>
      <c r="C225" s="2" t="s">
        <v>3</v>
      </c>
      <c r="D225" s="2" t="s">
        <v>4</v>
      </c>
      <c r="E225" s="2" t="s">
        <v>72</v>
      </c>
      <c r="F225" s="2" t="s">
        <v>70</v>
      </c>
      <c r="G225" s="2" t="s">
        <v>50</v>
      </c>
      <c r="H225" s="3">
        <v>2695</v>
      </c>
      <c r="I225" s="3">
        <v>130591</v>
      </c>
      <c r="J225" s="3">
        <f t="shared" si="3"/>
        <v>351942745</v>
      </c>
      <c r="K225" s="3">
        <v>319013864</v>
      </c>
      <c r="L225" s="3">
        <v>53662579</v>
      </c>
    </row>
    <row r="226" spans="1:12" x14ac:dyDescent="0.3">
      <c r="A226" s="2" t="s">
        <v>289</v>
      </c>
      <c r="B226" s="2" t="str">
        <f>LEFT(Table1[[#This Row],[تاریخ]],4)</f>
        <v>1400</v>
      </c>
      <c r="C226" s="2" t="s">
        <v>3</v>
      </c>
      <c r="D226" s="2" t="s">
        <v>5</v>
      </c>
      <c r="E226" s="2" t="s">
        <v>75</v>
      </c>
      <c r="F226" s="2" t="s">
        <v>73</v>
      </c>
      <c r="G226" s="2" t="s">
        <v>31</v>
      </c>
      <c r="H226" s="3">
        <v>2415</v>
      </c>
      <c r="I226" s="3">
        <v>58612</v>
      </c>
      <c r="J226" s="3">
        <f t="shared" si="3"/>
        <v>141547980</v>
      </c>
      <c r="K226" s="3">
        <v>9102104</v>
      </c>
      <c r="L226" s="3">
        <v>20752766</v>
      </c>
    </row>
    <row r="227" spans="1:12" x14ac:dyDescent="0.3">
      <c r="A227" s="2" t="s">
        <v>290</v>
      </c>
      <c r="B227" s="2" t="str">
        <f>LEFT(Table1[[#This Row],[تاریخ]],4)</f>
        <v>1400</v>
      </c>
      <c r="C227" s="2" t="s">
        <v>3</v>
      </c>
      <c r="D227" s="2" t="s">
        <v>5</v>
      </c>
      <c r="E227" s="2" t="s">
        <v>44</v>
      </c>
      <c r="F227" s="2" t="s">
        <v>76</v>
      </c>
      <c r="G227" s="2" t="s">
        <v>34</v>
      </c>
      <c r="H227" s="3">
        <v>3220</v>
      </c>
      <c r="I227" s="3">
        <v>78217</v>
      </c>
      <c r="J227" s="3">
        <f t="shared" si="3"/>
        <v>251858740</v>
      </c>
      <c r="K227" s="3">
        <v>84289234</v>
      </c>
      <c r="L227" s="3">
        <v>16519134</v>
      </c>
    </row>
    <row r="228" spans="1:12" x14ac:dyDescent="0.3">
      <c r="A228" s="2" t="s">
        <v>291</v>
      </c>
      <c r="B228" s="2" t="str">
        <f>LEFT(Table1[[#This Row],[تاریخ]],4)</f>
        <v>1400</v>
      </c>
      <c r="C228" s="2" t="s">
        <v>3</v>
      </c>
      <c r="D228" s="2" t="s">
        <v>5</v>
      </c>
      <c r="E228" s="2" t="s">
        <v>79</v>
      </c>
      <c r="F228" s="2" t="s">
        <v>30</v>
      </c>
      <c r="G228" s="2" t="s">
        <v>38</v>
      </c>
      <c r="H228" s="3">
        <v>2590</v>
      </c>
      <c r="I228" s="3">
        <v>114024</v>
      </c>
      <c r="J228" s="3">
        <f t="shared" si="3"/>
        <v>295322160</v>
      </c>
      <c r="K228" s="3">
        <v>49739627</v>
      </c>
      <c r="L228" s="3">
        <v>45178257</v>
      </c>
    </row>
    <row r="229" spans="1:12" x14ac:dyDescent="0.3">
      <c r="A229" s="2" t="s">
        <v>292</v>
      </c>
      <c r="B229" s="2" t="str">
        <f>LEFT(Table1[[#This Row],[تاریخ]],4)</f>
        <v>1400</v>
      </c>
      <c r="C229" s="2" t="s">
        <v>3</v>
      </c>
      <c r="D229" s="2" t="s">
        <v>5</v>
      </c>
      <c r="E229" s="2" t="s">
        <v>81</v>
      </c>
      <c r="F229" s="2" t="s">
        <v>33</v>
      </c>
      <c r="G229" s="2" t="s">
        <v>42</v>
      </c>
      <c r="H229" s="3">
        <v>1750</v>
      </c>
      <c r="I229" s="3">
        <v>145274</v>
      </c>
      <c r="J229" s="3">
        <f t="shared" si="3"/>
        <v>254229500</v>
      </c>
      <c r="K229" s="3">
        <v>76969076</v>
      </c>
      <c r="L229" s="3">
        <v>30338821</v>
      </c>
    </row>
    <row r="230" spans="1:12" x14ac:dyDescent="0.3">
      <c r="A230" s="2" t="s">
        <v>293</v>
      </c>
      <c r="B230" s="2" t="str">
        <f>LEFT(Table1[[#This Row],[تاریخ]],4)</f>
        <v>1400</v>
      </c>
      <c r="C230" s="2" t="s">
        <v>3</v>
      </c>
      <c r="D230" s="2" t="s">
        <v>5</v>
      </c>
      <c r="E230" s="2" t="s">
        <v>83</v>
      </c>
      <c r="F230" s="2" t="s">
        <v>37</v>
      </c>
      <c r="G230" s="2" t="s">
        <v>46</v>
      </c>
      <c r="H230" s="3">
        <v>2975</v>
      </c>
      <c r="I230" s="3">
        <v>139445</v>
      </c>
      <c r="J230" s="3">
        <f t="shared" si="3"/>
        <v>414848875</v>
      </c>
      <c r="K230" s="3">
        <v>85978015</v>
      </c>
      <c r="L230" s="3">
        <v>93625737</v>
      </c>
    </row>
    <row r="231" spans="1:12" x14ac:dyDescent="0.3">
      <c r="A231" s="2" t="s">
        <v>294</v>
      </c>
      <c r="B231" s="2" t="str">
        <f>LEFT(Table1[[#This Row],[تاریخ]],4)</f>
        <v>1400</v>
      </c>
      <c r="C231" s="2" t="s">
        <v>3</v>
      </c>
      <c r="D231" s="2" t="s">
        <v>5</v>
      </c>
      <c r="E231" s="2" t="s">
        <v>85</v>
      </c>
      <c r="F231" s="2" t="s">
        <v>41</v>
      </c>
      <c r="G231" s="2" t="s">
        <v>46</v>
      </c>
      <c r="H231" s="3">
        <v>1855</v>
      </c>
      <c r="I231" s="3">
        <v>113603</v>
      </c>
      <c r="J231" s="3">
        <f t="shared" si="3"/>
        <v>210733565</v>
      </c>
      <c r="K231" s="3">
        <v>4328046</v>
      </c>
      <c r="L231" s="3">
        <v>27749007</v>
      </c>
    </row>
    <row r="232" spans="1:12" x14ac:dyDescent="0.3">
      <c r="A232" s="2" t="s">
        <v>295</v>
      </c>
      <c r="B232" s="2" t="str">
        <f>LEFT(Table1[[#This Row],[تاریخ]],4)</f>
        <v>1400</v>
      </c>
      <c r="C232" s="2" t="s">
        <v>7</v>
      </c>
      <c r="D232" s="2" t="s">
        <v>6</v>
      </c>
      <c r="E232" s="2" t="s">
        <v>61</v>
      </c>
      <c r="F232" s="2" t="s">
        <v>45</v>
      </c>
      <c r="G232" s="2" t="s">
        <v>50</v>
      </c>
      <c r="H232" s="3">
        <v>3185</v>
      </c>
      <c r="I232" s="3">
        <v>94716</v>
      </c>
      <c r="J232" s="3">
        <f t="shared" si="3"/>
        <v>301670460</v>
      </c>
      <c r="K232" s="3">
        <v>254994729</v>
      </c>
      <c r="L232" s="3">
        <v>5980539</v>
      </c>
    </row>
    <row r="233" spans="1:12" x14ac:dyDescent="0.3">
      <c r="A233" s="2" t="s">
        <v>296</v>
      </c>
      <c r="B233" s="2" t="str">
        <f>LEFT(Table1[[#This Row],[تاریخ]],4)</f>
        <v>1400</v>
      </c>
      <c r="C233" s="2" t="s">
        <v>7</v>
      </c>
      <c r="D233" s="2" t="s">
        <v>6</v>
      </c>
      <c r="E233" s="2" t="s">
        <v>64</v>
      </c>
      <c r="F233" s="2" t="s">
        <v>49</v>
      </c>
      <c r="G233" s="2" t="s">
        <v>31</v>
      </c>
      <c r="H233" s="3">
        <v>3850</v>
      </c>
      <c r="I233" s="3">
        <v>88720</v>
      </c>
      <c r="J233" s="3">
        <f t="shared" si="3"/>
        <v>341572000</v>
      </c>
      <c r="K233" s="3">
        <v>16707012</v>
      </c>
      <c r="L233" s="3">
        <v>14263885</v>
      </c>
    </row>
    <row r="234" spans="1:12" x14ac:dyDescent="0.3">
      <c r="A234" s="2" t="s">
        <v>297</v>
      </c>
      <c r="B234" s="2" t="str">
        <f>LEFT(Table1[[#This Row],[تاریخ]],4)</f>
        <v>1400</v>
      </c>
      <c r="C234" s="2" t="s">
        <v>7</v>
      </c>
      <c r="D234" s="2" t="s">
        <v>6</v>
      </c>
      <c r="E234" s="2" t="s">
        <v>29</v>
      </c>
      <c r="F234" s="2" t="s">
        <v>53</v>
      </c>
      <c r="G234" s="2" t="s">
        <v>34</v>
      </c>
      <c r="H234" s="3">
        <v>3255</v>
      </c>
      <c r="I234" s="3">
        <v>56659</v>
      </c>
      <c r="J234" s="3">
        <f t="shared" si="3"/>
        <v>184425045</v>
      </c>
      <c r="K234" s="3">
        <v>85429930</v>
      </c>
      <c r="L234" s="3">
        <v>22108291</v>
      </c>
    </row>
    <row r="235" spans="1:12" x14ac:dyDescent="0.3">
      <c r="A235" s="2" t="s">
        <v>298</v>
      </c>
      <c r="B235" s="2" t="str">
        <f>LEFT(Table1[[#This Row],[تاریخ]],4)</f>
        <v>1400</v>
      </c>
      <c r="C235" s="2" t="s">
        <v>7</v>
      </c>
      <c r="D235" s="2" t="s">
        <v>6</v>
      </c>
      <c r="E235" s="2" t="s">
        <v>69</v>
      </c>
      <c r="F235" s="2" t="s">
        <v>56</v>
      </c>
      <c r="G235" s="2" t="s">
        <v>38</v>
      </c>
      <c r="H235" s="3">
        <v>3360</v>
      </c>
      <c r="I235" s="3">
        <v>75621</v>
      </c>
      <c r="J235" s="3">
        <f t="shared" si="3"/>
        <v>254086560</v>
      </c>
      <c r="K235" s="3">
        <v>102915324</v>
      </c>
      <c r="L235" s="3">
        <v>40711043</v>
      </c>
    </row>
    <row r="236" spans="1:12" x14ac:dyDescent="0.3">
      <c r="A236" s="2" t="s">
        <v>299</v>
      </c>
      <c r="B236" s="2" t="str">
        <f>LEFT(Table1[[#This Row],[تاریخ]],4)</f>
        <v>1400</v>
      </c>
      <c r="C236" s="2" t="s">
        <v>7</v>
      </c>
      <c r="D236" s="2" t="s">
        <v>6</v>
      </c>
      <c r="E236" s="2" t="s">
        <v>72</v>
      </c>
      <c r="F236" s="2" t="s">
        <v>59</v>
      </c>
      <c r="G236" s="2" t="s">
        <v>42</v>
      </c>
      <c r="H236" s="3">
        <v>3255</v>
      </c>
      <c r="I236" s="3">
        <v>64508</v>
      </c>
      <c r="J236" s="3">
        <f t="shared" si="3"/>
        <v>209973540</v>
      </c>
      <c r="K236" s="3">
        <v>22964844</v>
      </c>
      <c r="L236" s="3">
        <v>22158327</v>
      </c>
    </row>
    <row r="237" spans="1:12" x14ac:dyDescent="0.3">
      <c r="A237" s="2" t="s">
        <v>300</v>
      </c>
      <c r="B237" s="2" t="str">
        <f>LEFT(Table1[[#This Row],[تاریخ]],4)</f>
        <v>1400</v>
      </c>
      <c r="C237" s="2" t="s">
        <v>7</v>
      </c>
      <c r="D237" s="2" t="s">
        <v>6</v>
      </c>
      <c r="E237" s="2" t="s">
        <v>75</v>
      </c>
      <c r="F237" s="2" t="s">
        <v>62</v>
      </c>
      <c r="G237" s="2" t="s">
        <v>46</v>
      </c>
      <c r="H237" s="3">
        <v>2205</v>
      </c>
      <c r="I237" s="3">
        <v>64419</v>
      </c>
      <c r="J237" s="3">
        <f t="shared" si="3"/>
        <v>142043895</v>
      </c>
      <c r="K237" s="3">
        <v>54329769</v>
      </c>
      <c r="L237" s="3">
        <v>13613877</v>
      </c>
    </row>
    <row r="238" spans="1:12" x14ac:dyDescent="0.3">
      <c r="A238" s="2" t="s">
        <v>301</v>
      </c>
      <c r="B238" s="2" t="str">
        <f>LEFT(Table1[[#This Row],[تاریخ]],4)</f>
        <v>1400</v>
      </c>
      <c r="C238" s="2" t="s">
        <v>7</v>
      </c>
      <c r="D238" s="2" t="s">
        <v>8</v>
      </c>
      <c r="E238" s="2" t="s">
        <v>44</v>
      </c>
      <c r="F238" s="2" t="s">
        <v>65</v>
      </c>
      <c r="G238" s="2" t="s">
        <v>46</v>
      </c>
      <c r="H238" s="3">
        <v>3710</v>
      </c>
      <c r="I238" s="3">
        <v>76790</v>
      </c>
      <c r="J238" s="3">
        <f t="shared" si="3"/>
        <v>284890900</v>
      </c>
      <c r="K238" s="3">
        <v>219430297</v>
      </c>
      <c r="L238" s="3">
        <v>40621067</v>
      </c>
    </row>
    <row r="239" spans="1:12" x14ac:dyDescent="0.3">
      <c r="A239" s="2" t="s">
        <v>302</v>
      </c>
      <c r="B239" s="2" t="str">
        <f>LEFT(Table1[[#This Row],[تاریخ]],4)</f>
        <v>1400</v>
      </c>
      <c r="C239" s="2" t="s">
        <v>7</v>
      </c>
      <c r="D239" s="2" t="s">
        <v>8</v>
      </c>
      <c r="E239" s="2" t="s">
        <v>79</v>
      </c>
      <c r="F239" s="2" t="s">
        <v>67</v>
      </c>
      <c r="G239" s="2" t="s">
        <v>50</v>
      </c>
      <c r="H239" s="3">
        <v>2415</v>
      </c>
      <c r="I239" s="3">
        <v>74281</v>
      </c>
      <c r="J239" s="3">
        <f t="shared" si="3"/>
        <v>179388615</v>
      </c>
      <c r="K239" s="3">
        <v>11029817</v>
      </c>
      <c r="L239" s="3">
        <v>17375017</v>
      </c>
    </row>
    <row r="240" spans="1:12" x14ac:dyDescent="0.3">
      <c r="A240" s="2" t="s">
        <v>303</v>
      </c>
      <c r="B240" s="2" t="str">
        <f>LEFT(Table1[[#This Row],[تاریخ]],4)</f>
        <v>1400</v>
      </c>
      <c r="C240" s="2" t="s">
        <v>7</v>
      </c>
      <c r="D240" s="2" t="s">
        <v>8</v>
      </c>
      <c r="E240" s="2" t="s">
        <v>81</v>
      </c>
      <c r="F240" s="2" t="s">
        <v>70</v>
      </c>
      <c r="G240" s="2" t="s">
        <v>31</v>
      </c>
      <c r="H240" s="3">
        <v>3325</v>
      </c>
      <c r="I240" s="3">
        <v>52542</v>
      </c>
      <c r="J240" s="3">
        <f t="shared" si="3"/>
        <v>174702150</v>
      </c>
      <c r="K240" s="3">
        <v>59259644</v>
      </c>
      <c r="L240" s="3">
        <v>15462294</v>
      </c>
    </row>
    <row r="241" spans="1:12" x14ac:dyDescent="0.3">
      <c r="A241" s="2" t="s">
        <v>304</v>
      </c>
      <c r="B241" s="2" t="str">
        <f>LEFT(Table1[[#This Row],[تاریخ]],4)</f>
        <v>1400</v>
      </c>
      <c r="C241" s="2" t="s">
        <v>7</v>
      </c>
      <c r="D241" s="2" t="s">
        <v>8</v>
      </c>
      <c r="E241" s="2" t="s">
        <v>83</v>
      </c>
      <c r="F241" s="2" t="s">
        <v>73</v>
      </c>
      <c r="G241" s="2" t="s">
        <v>34</v>
      </c>
      <c r="H241" s="3">
        <v>3465</v>
      </c>
      <c r="I241" s="3">
        <v>101968</v>
      </c>
      <c r="J241" s="3">
        <f t="shared" si="3"/>
        <v>353319120</v>
      </c>
      <c r="K241" s="3">
        <v>190319918</v>
      </c>
      <c r="L241" s="3">
        <v>105466127</v>
      </c>
    </row>
    <row r="242" spans="1:12" x14ac:dyDescent="0.3">
      <c r="A242" s="2" t="s">
        <v>305</v>
      </c>
      <c r="B242" s="2" t="str">
        <f>LEFT(Table1[[#This Row],[تاریخ]],4)</f>
        <v>1400</v>
      </c>
      <c r="C242" s="2" t="s">
        <v>7</v>
      </c>
      <c r="D242" s="2" t="s">
        <v>8</v>
      </c>
      <c r="E242" s="2" t="s">
        <v>85</v>
      </c>
      <c r="F242" s="2" t="s">
        <v>76</v>
      </c>
      <c r="G242" s="2" t="s">
        <v>38</v>
      </c>
      <c r="H242" s="3">
        <v>1995</v>
      </c>
      <c r="I242" s="3">
        <v>109487</v>
      </c>
      <c r="J242" s="3">
        <f t="shared" si="3"/>
        <v>218426565</v>
      </c>
      <c r="K242" s="3">
        <v>85984890</v>
      </c>
      <c r="L242" s="3">
        <v>62860685</v>
      </c>
    </row>
    <row r="243" spans="1:12" x14ac:dyDescent="0.3">
      <c r="A243" s="2" t="s">
        <v>306</v>
      </c>
      <c r="B243" s="2" t="str">
        <f>LEFT(Table1[[#This Row],[تاریخ]],4)</f>
        <v>1400</v>
      </c>
      <c r="C243" s="2" t="s">
        <v>7</v>
      </c>
      <c r="D243" s="2" t="s">
        <v>8</v>
      </c>
      <c r="E243" s="2" t="s">
        <v>61</v>
      </c>
      <c r="F243" s="2" t="s">
        <v>30</v>
      </c>
      <c r="G243" s="2" t="s">
        <v>42</v>
      </c>
      <c r="H243" s="3">
        <v>1750</v>
      </c>
      <c r="I243" s="3">
        <v>125545</v>
      </c>
      <c r="J243" s="3">
        <f t="shared" si="3"/>
        <v>219703750</v>
      </c>
      <c r="K243" s="3">
        <v>131962301</v>
      </c>
      <c r="L243" s="3">
        <v>27046741</v>
      </c>
    </row>
    <row r="244" spans="1:12" x14ac:dyDescent="0.3">
      <c r="A244" s="2" t="s">
        <v>307</v>
      </c>
      <c r="B244" s="2" t="str">
        <f>LEFT(Table1[[#This Row],[تاریخ]],4)</f>
        <v>1400</v>
      </c>
      <c r="C244" s="2" t="s">
        <v>7</v>
      </c>
      <c r="D244" s="2" t="s">
        <v>9</v>
      </c>
      <c r="E244" s="2" t="s">
        <v>64</v>
      </c>
      <c r="F244" s="2" t="s">
        <v>33</v>
      </c>
      <c r="G244" s="2" t="s">
        <v>46</v>
      </c>
      <c r="H244" s="3">
        <v>3605</v>
      </c>
      <c r="I244" s="3">
        <v>53039</v>
      </c>
      <c r="J244" s="3">
        <f t="shared" si="3"/>
        <v>191205595</v>
      </c>
      <c r="K244" s="3">
        <v>33572310</v>
      </c>
      <c r="L244" s="3">
        <v>42769855</v>
      </c>
    </row>
    <row r="245" spans="1:12" x14ac:dyDescent="0.3">
      <c r="A245" s="2" t="s">
        <v>308</v>
      </c>
      <c r="B245" s="2" t="str">
        <f>LEFT(Table1[[#This Row],[تاریخ]],4)</f>
        <v>1400</v>
      </c>
      <c r="C245" s="2" t="s">
        <v>7</v>
      </c>
      <c r="D245" s="2" t="s">
        <v>9</v>
      </c>
      <c r="E245" s="2" t="s">
        <v>29</v>
      </c>
      <c r="F245" s="2" t="s">
        <v>37</v>
      </c>
      <c r="G245" s="2" t="s">
        <v>46</v>
      </c>
      <c r="H245" s="3">
        <v>3290</v>
      </c>
      <c r="I245" s="3">
        <v>111979</v>
      </c>
      <c r="J245" s="3">
        <f t="shared" si="3"/>
        <v>368410910</v>
      </c>
      <c r="K245" s="3">
        <v>26524101</v>
      </c>
      <c r="L245" s="3">
        <v>492784</v>
      </c>
    </row>
    <row r="246" spans="1:12" x14ac:dyDescent="0.3">
      <c r="A246" s="2" t="s">
        <v>309</v>
      </c>
      <c r="B246" s="2" t="str">
        <f>LEFT(Table1[[#This Row],[تاریخ]],4)</f>
        <v>1400</v>
      </c>
      <c r="C246" s="2" t="s">
        <v>7</v>
      </c>
      <c r="D246" s="2" t="s">
        <v>9</v>
      </c>
      <c r="E246" s="2" t="s">
        <v>69</v>
      </c>
      <c r="F246" s="2" t="s">
        <v>41</v>
      </c>
      <c r="G246" s="2" t="s">
        <v>50</v>
      </c>
      <c r="H246" s="3">
        <v>3220</v>
      </c>
      <c r="I246" s="3">
        <v>138032</v>
      </c>
      <c r="J246" s="3">
        <f t="shared" si="3"/>
        <v>444463040</v>
      </c>
      <c r="K246" s="3">
        <v>76698234</v>
      </c>
      <c r="L246" s="3">
        <v>34898195</v>
      </c>
    </row>
    <row r="247" spans="1:12" x14ac:dyDescent="0.3">
      <c r="A247" s="2" t="s">
        <v>310</v>
      </c>
      <c r="B247" s="2" t="str">
        <f>LEFT(Table1[[#This Row],[تاریخ]],4)</f>
        <v>1400</v>
      </c>
      <c r="C247" s="2" t="s">
        <v>7</v>
      </c>
      <c r="D247" s="2" t="s">
        <v>9</v>
      </c>
      <c r="E247" s="2" t="s">
        <v>72</v>
      </c>
      <c r="F247" s="2" t="s">
        <v>45</v>
      </c>
      <c r="G247" s="2" t="s">
        <v>31</v>
      </c>
      <c r="H247" s="3">
        <v>3080</v>
      </c>
      <c r="I247" s="3">
        <v>71926</v>
      </c>
      <c r="J247" s="3">
        <f t="shared" si="3"/>
        <v>221532080</v>
      </c>
      <c r="K247" s="3">
        <v>24574413</v>
      </c>
      <c r="L247" s="3">
        <v>8502371</v>
      </c>
    </row>
    <row r="248" spans="1:12" x14ac:dyDescent="0.3">
      <c r="A248" s="2" t="s">
        <v>311</v>
      </c>
      <c r="B248" s="2" t="str">
        <f>LEFT(Table1[[#This Row],[تاریخ]],4)</f>
        <v>1400</v>
      </c>
      <c r="C248" s="2" t="s">
        <v>7</v>
      </c>
      <c r="D248" s="2" t="s">
        <v>9</v>
      </c>
      <c r="E248" s="2" t="s">
        <v>75</v>
      </c>
      <c r="F248" s="2" t="s">
        <v>49</v>
      </c>
      <c r="G248" s="2" t="s">
        <v>34</v>
      </c>
      <c r="H248" s="3">
        <v>3290</v>
      </c>
      <c r="I248" s="3">
        <v>50832</v>
      </c>
      <c r="J248" s="3">
        <f t="shared" si="3"/>
        <v>167237280</v>
      </c>
      <c r="K248" s="3">
        <v>74667906</v>
      </c>
      <c r="L248" s="3">
        <v>40951835</v>
      </c>
    </row>
    <row r="249" spans="1:12" x14ac:dyDescent="0.3">
      <c r="A249" s="2" t="s">
        <v>312</v>
      </c>
      <c r="B249" s="2" t="str">
        <f>LEFT(Table1[[#This Row],[تاریخ]],4)</f>
        <v>1400</v>
      </c>
      <c r="C249" s="2" t="s">
        <v>7</v>
      </c>
      <c r="D249" s="2" t="s">
        <v>9</v>
      </c>
      <c r="E249" s="2" t="s">
        <v>44</v>
      </c>
      <c r="F249" s="2" t="s">
        <v>53</v>
      </c>
      <c r="G249" s="2" t="s">
        <v>38</v>
      </c>
      <c r="H249" s="3">
        <v>2275</v>
      </c>
      <c r="I249" s="3">
        <v>105445</v>
      </c>
      <c r="J249" s="3">
        <f t="shared" si="3"/>
        <v>239887375</v>
      </c>
      <c r="K249" s="3">
        <v>194814225</v>
      </c>
      <c r="L249" s="3">
        <v>5665989</v>
      </c>
    </row>
    <row r="250" spans="1:12" x14ac:dyDescent="0.3">
      <c r="A250" s="2" t="s">
        <v>313</v>
      </c>
      <c r="B250" s="2" t="str">
        <f>LEFT(Table1[[#This Row],[تاریخ]],4)</f>
        <v>1400</v>
      </c>
      <c r="C250" s="2" t="s">
        <v>7</v>
      </c>
      <c r="D250" s="2" t="s">
        <v>9</v>
      </c>
      <c r="E250" s="2" t="s">
        <v>79</v>
      </c>
      <c r="F250" s="2" t="s">
        <v>56</v>
      </c>
      <c r="G250" s="2" t="s">
        <v>42</v>
      </c>
      <c r="H250" s="3">
        <v>2240</v>
      </c>
      <c r="I250" s="3">
        <v>116757</v>
      </c>
      <c r="J250" s="3">
        <f t="shared" si="3"/>
        <v>261535680</v>
      </c>
      <c r="K250" s="3">
        <v>223480957</v>
      </c>
      <c r="L250" s="3">
        <v>73498333</v>
      </c>
    </row>
    <row r="251" spans="1:12" x14ac:dyDescent="0.3">
      <c r="A251" s="2" t="s">
        <v>314</v>
      </c>
      <c r="B251" s="2" t="str">
        <f>LEFT(Table1[[#This Row],[تاریخ]],4)</f>
        <v>1400</v>
      </c>
      <c r="C251" s="2" t="s">
        <v>11</v>
      </c>
      <c r="D251" s="2" t="s">
        <v>10</v>
      </c>
      <c r="E251" s="2" t="s">
        <v>81</v>
      </c>
      <c r="F251" s="2" t="s">
        <v>59</v>
      </c>
      <c r="G251" s="2" t="s">
        <v>46</v>
      </c>
      <c r="H251" s="3">
        <v>2695</v>
      </c>
      <c r="I251" s="3">
        <v>129914</v>
      </c>
      <c r="J251" s="3">
        <f t="shared" si="3"/>
        <v>350118230</v>
      </c>
      <c r="K251" s="3">
        <v>4163490</v>
      </c>
      <c r="L251" s="3">
        <v>34258694</v>
      </c>
    </row>
    <row r="252" spans="1:12" x14ac:dyDescent="0.3">
      <c r="A252" s="2" t="s">
        <v>315</v>
      </c>
      <c r="B252" s="2" t="str">
        <f>LEFT(Table1[[#This Row],[تاریخ]],4)</f>
        <v>1400</v>
      </c>
      <c r="C252" s="2" t="s">
        <v>11</v>
      </c>
      <c r="D252" s="2" t="s">
        <v>10</v>
      </c>
      <c r="E252" s="2" t="s">
        <v>83</v>
      </c>
      <c r="F252" s="2" t="s">
        <v>62</v>
      </c>
      <c r="G252" s="2" t="s">
        <v>46</v>
      </c>
      <c r="H252" s="3">
        <v>3395</v>
      </c>
      <c r="I252" s="3">
        <v>141638</v>
      </c>
      <c r="J252" s="3">
        <f t="shared" si="3"/>
        <v>480861010</v>
      </c>
      <c r="K252" s="3">
        <v>157937116</v>
      </c>
      <c r="L252" s="3">
        <v>30011083</v>
      </c>
    </row>
    <row r="253" spans="1:12" x14ac:dyDescent="0.3">
      <c r="A253" s="2" t="s">
        <v>316</v>
      </c>
      <c r="B253" s="2" t="str">
        <f>LEFT(Table1[[#This Row],[تاریخ]],4)</f>
        <v>1400</v>
      </c>
      <c r="C253" s="2" t="s">
        <v>11</v>
      </c>
      <c r="D253" s="2" t="s">
        <v>10</v>
      </c>
      <c r="E253" s="2" t="s">
        <v>85</v>
      </c>
      <c r="F253" s="2" t="s">
        <v>65</v>
      </c>
      <c r="G253" s="2" t="s">
        <v>50</v>
      </c>
      <c r="H253" s="3">
        <v>3850</v>
      </c>
      <c r="I253" s="3">
        <v>116475</v>
      </c>
      <c r="J253" s="3">
        <f t="shared" si="3"/>
        <v>448428750</v>
      </c>
      <c r="K253" s="3">
        <v>402946210</v>
      </c>
      <c r="L253" s="3">
        <v>128737402</v>
      </c>
    </row>
    <row r="254" spans="1:12" x14ac:dyDescent="0.3">
      <c r="A254" s="2" t="s">
        <v>317</v>
      </c>
      <c r="B254" s="2" t="str">
        <f>LEFT(Table1[[#This Row],[تاریخ]],4)</f>
        <v>1400</v>
      </c>
      <c r="C254" s="2" t="s">
        <v>11</v>
      </c>
      <c r="D254" s="2" t="s">
        <v>10</v>
      </c>
      <c r="E254" s="2" t="s">
        <v>61</v>
      </c>
      <c r="F254" s="2" t="s">
        <v>67</v>
      </c>
      <c r="G254" s="2" t="s">
        <v>31</v>
      </c>
      <c r="H254" s="3">
        <v>3640</v>
      </c>
      <c r="I254" s="3">
        <v>114813</v>
      </c>
      <c r="J254" s="3">
        <f t="shared" si="3"/>
        <v>417919320</v>
      </c>
      <c r="K254" s="3">
        <v>40331077</v>
      </c>
      <c r="L254" s="3">
        <v>47249384</v>
      </c>
    </row>
    <row r="255" spans="1:12" x14ac:dyDescent="0.3">
      <c r="A255" s="2" t="s">
        <v>318</v>
      </c>
      <c r="B255" s="2" t="str">
        <f>LEFT(Table1[[#This Row],[تاریخ]],4)</f>
        <v>1400</v>
      </c>
      <c r="C255" s="2" t="s">
        <v>11</v>
      </c>
      <c r="D255" s="2" t="s">
        <v>10</v>
      </c>
      <c r="E255" s="2" t="s">
        <v>64</v>
      </c>
      <c r="F255" s="2" t="s">
        <v>70</v>
      </c>
      <c r="G255" s="2" t="s">
        <v>34</v>
      </c>
      <c r="H255" s="3">
        <v>3185</v>
      </c>
      <c r="I255" s="3">
        <v>57240</v>
      </c>
      <c r="J255" s="3">
        <f t="shared" si="3"/>
        <v>182309400</v>
      </c>
      <c r="K255" s="3">
        <v>178019645</v>
      </c>
      <c r="L255" s="3">
        <v>53963274</v>
      </c>
    </row>
    <row r="256" spans="1:12" x14ac:dyDescent="0.3">
      <c r="A256" s="2" t="s">
        <v>319</v>
      </c>
      <c r="B256" s="2" t="str">
        <f>LEFT(Table1[[#This Row],[تاریخ]],4)</f>
        <v>1400</v>
      </c>
      <c r="C256" s="2" t="s">
        <v>11</v>
      </c>
      <c r="D256" s="2" t="s">
        <v>10</v>
      </c>
      <c r="E256" s="2" t="s">
        <v>29</v>
      </c>
      <c r="F256" s="2" t="s">
        <v>73</v>
      </c>
      <c r="G256" s="2" t="s">
        <v>38</v>
      </c>
      <c r="H256" s="3">
        <v>2835</v>
      </c>
      <c r="I256" s="3">
        <v>86823</v>
      </c>
      <c r="J256" s="3">
        <f t="shared" si="3"/>
        <v>246143205</v>
      </c>
      <c r="K256" s="3">
        <v>80976187</v>
      </c>
      <c r="L256" s="3">
        <v>65044756</v>
      </c>
    </row>
    <row r="257" spans="1:12" x14ac:dyDescent="0.3">
      <c r="A257" s="2" t="s">
        <v>320</v>
      </c>
      <c r="B257" s="2" t="str">
        <f>LEFT(Table1[[#This Row],[تاریخ]],4)</f>
        <v>1400</v>
      </c>
      <c r="C257" s="2" t="s">
        <v>11</v>
      </c>
      <c r="D257" s="2" t="s">
        <v>12</v>
      </c>
      <c r="E257" s="2" t="s">
        <v>69</v>
      </c>
      <c r="F257" s="2" t="s">
        <v>76</v>
      </c>
      <c r="G257" s="2" t="s">
        <v>42</v>
      </c>
      <c r="H257" s="3">
        <v>3290</v>
      </c>
      <c r="I257" s="3">
        <v>96979</v>
      </c>
      <c r="J257" s="3">
        <f t="shared" si="3"/>
        <v>319060910</v>
      </c>
      <c r="K257" s="3">
        <v>211282822</v>
      </c>
      <c r="L257" s="3">
        <v>79464644</v>
      </c>
    </row>
    <row r="258" spans="1:12" x14ac:dyDescent="0.3">
      <c r="A258" s="2" t="s">
        <v>321</v>
      </c>
      <c r="B258" s="2" t="str">
        <f>LEFT(Table1[[#This Row],[تاریخ]],4)</f>
        <v>1400</v>
      </c>
      <c r="C258" s="2" t="s">
        <v>11</v>
      </c>
      <c r="D258" s="2" t="s">
        <v>12</v>
      </c>
      <c r="E258" s="2" t="s">
        <v>72</v>
      </c>
      <c r="F258" s="2" t="s">
        <v>30</v>
      </c>
      <c r="G258" s="2" t="s">
        <v>46</v>
      </c>
      <c r="H258" s="3">
        <v>3255</v>
      </c>
      <c r="I258" s="3">
        <v>122553</v>
      </c>
      <c r="J258" s="3">
        <f t="shared" si="3"/>
        <v>398910015</v>
      </c>
      <c r="K258" s="3">
        <v>90234231</v>
      </c>
      <c r="L258" s="3">
        <v>30705602</v>
      </c>
    </row>
    <row r="259" spans="1:12" x14ac:dyDescent="0.3">
      <c r="A259" s="2" t="s">
        <v>322</v>
      </c>
      <c r="B259" s="2" t="str">
        <f>LEFT(Table1[[#This Row],[تاریخ]],4)</f>
        <v>1400</v>
      </c>
      <c r="C259" s="2" t="s">
        <v>11</v>
      </c>
      <c r="D259" s="2" t="s">
        <v>12</v>
      </c>
      <c r="E259" s="2" t="s">
        <v>75</v>
      </c>
      <c r="F259" s="2" t="s">
        <v>33</v>
      </c>
      <c r="G259" s="2" t="s">
        <v>46</v>
      </c>
      <c r="H259" s="3">
        <v>1750</v>
      </c>
      <c r="I259" s="3">
        <v>146134</v>
      </c>
      <c r="J259" s="3">
        <f t="shared" si="3"/>
        <v>255734500</v>
      </c>
      <c r="K259" s="3">
        <v>242583070</v>
      </c>
      <c r="L259" s="3">
        <v>26717451</v>
      </c>
    </row>
    <row r="260" spans="1:12" x14ac:dyDescent="0.3">
      <c r="A260" s="2" t="s">
        <v>323</v>
      </c>
      <c r="B260" s="2" t="str">
        <f>LEFT(Table1[[#This Row],[تاریخ]],4)</f>
        <v>1400</v>
      </c>
      <c r="C260" s="2" t="s">
        <v>11</v>
      </c>
      <c r="D260" s="2" t="s">
        <v>12</v>
      </c>
      <c r="E260" s="2" t="s">
        <v>44</v>
      </c>
      <c r="F260" s="2" t="s">
        <v>37</v>
      </c>
      <c r="G260" s="2" t="s">
        <v>50</v>
      </c>
      <c r="H260" s="3">
        <v>3395</v>
      </c>
      <c r="I260" s="3">
        <v>126823</v>
      </c>
      <c r="J260" s="3">
        <f t="shared" ref="J260:J323" si="4">I260*H260</f>
        <v>430564085</v>
      </c>
      <c r="K260" s="3">
        <v>396265603</v>
      </c>
      <c r="L260" s="3">
        <v>85826793</v>
      </c>
    </row>
    <row r="261" spans="1:12" x14ac:dyDescent="0.3">
      <c r="A261" s="2" t="s">
        <v>324</v>
      </c>
      <c r="B261" s="2" t="str">
        <f>LEFT(Table1[[#This Row],[تاریخ]],4)</f>
        <v>1400</v>
      </c>
      <c r="C261" s="2" t="s">
        <v>11</v>
      </c>
      <c r="D261" s="2" t="s">
        <v>12</v>
      </c>
      <c r="E261" s="2" t="s">
        <v>79</v>
      </c>
      <c r="F261" s="2" t="s">
        <v>41</v>
      </c>
      <c r="G261" s="2" t="s">
        <v>31</v>
      </c>
      <c r="H261" s="3">
        <v>2380</v>
      </c>
      <c r="I261" s="3">
        <v>115734</v>
      </c>
      <c r="J261" s="3">
        <f t="shared" si="4"/>
        <v>275446920</v>
      </c>
      <c r="K261" s="3">
        <v>33291827</v>
      </c>
      <c r="L261" s="3">
        <v>7596620</v>
      </c>
    </row>
    <row r="262" spans="1:12" x14ac:dyDescent="0.3">
      <c r="A262" s="2" t="s">
        <v>325</v>
      </c>
      <c r="B262" s="2" t="str">
        <f>LEFT(Table1[[#This Row],[تاریخ]],4)</f>
        <v>1400</v>
      </c>
      <c r="C262" s="2" t="s">
        <v>11</v>
      </c>
      <c r="D262" s="2" t="s">
        <v>12</v>
      </c>
      <c r="E262" s="2" t="s">
        <v>81</v>
      </c>
      <c r="F262" s="2" t="s">
        <v>45</v>
      </c>
      <c r="G262" s="2" t="s">
        <v>34</v>
      </c>
      <c r="H262" s="3">
        <v>2205</v>
      </c>
      <c r="I262" s="3">
        <v>78058</v>
      </c>
      <c r="J262" s="3">
        <f t="shared" si="4"/>
        <v>172117890</v>
      </c>
      <c r="K262" s="3">
        <v>115820095</v>
      </c>
      <c r="L262" s="3">
        <v>15453578</v>
      </c>
    </row>
    <row r="263" spans="1:12" x14ac:dyDescent="0.3">
      <c r="A263" s="2" t="s">
        <v>326</v>
      </c>
      <c r="B263" s="2" t="str">
        <f>LEFT(Table1[[#This Row],[تاریخ]],4)</f>
        <v>1400</v>
      </c>
      <c r="C263" s="2" t="s">
        <v>11</v>
      </c>
      <c r="D263" s="2" t="s">
        <v>13</v>
      </c>
      <c r="E263" s="2" t="s">
        <v>83</v>
      </c>
      <c r="F263" s="2" t="s">
        <v>49</v>
      </c>
      <c r="G263" s="2" t="s">
        <v>38</v>
      </c>
      <c r="H263" s="3">
        <v>1995</v>
      </c>
      <c r="I263" s="3">
        <v>85202</v>
      </c>
      <c r="J263" s="3">
        <f t="shared" si="4"/>
        <v>169977990</v>
      </c>
      <c r="K263" s="3">
        <v>29495466</v>
      </c>
      <c r="L263" s="3">
        <v>13591299</v>
      </c>
    </row>
    <row r="264" spans="1:12" x14ac:dyDescent="0.3">
      <c r="A264" s="2" t="s">
        <v>327</v>
      </c>
      <c r="B264" s="2" t="str">
        <f>LEFT(Table1[[#This Row],[تاریخ]],4)</f>
        <v>1400</v>
      </c>
      <c r="C264" s="2" t="s">
        <v>11</v>
      </c>
      <c r="D264" s="2" t="s">
        <v>13</v>
      </c>
      <c r="E264" s="2" t="s">
        <v>85</v>
      </c>
      <c r="F264" s="2" t="s">
        <v>53</v>
      </c>
      <c r="G264" s="2" t="s">
        <v>42</v>
      </c>
      <c r="H264" s="3">
        <v>2905</v>
      </c>
      <c r="I264" s="3">
        <v>75154</v>
      </c>
      <c r="J264" s="3">
        <f t="shared" si="4"/>
        <v>218322370</v>
      </c>
      <c r="K264" s="3">
        <v>174358445</v>
      </c>
      <c r="L264" s="3">
        <v>18864911</v>
      </c>
    </row>
    <row r="265" spans="1:12" x14ac:dyDescent="0.3">
      <c r="A265" s="2" t="s">
        <v>328</v>
      </c>
      <c r="B265" s="2" t="str">
        <f>LEFT(Table1[[#This Row],[تاریخ]],4)</f>
        <v>1400</v>
      </c>
      <c r="C265" s="2" t="s">
        <v>11</v>
      </c>
      <c r="D265" s="2" t="s">
        <v>13</v>
      </c>
      <c r="E265" s="2" t="s">
        <v>61</v>
      </c>
      <c r="F265" s="2" t="s">
        <v>56</v>
      </c>
      <c r="G265" s="2" t="s">
        <v>46</v>
      </c>
      <c r="H265" s="3">
        <v>2835</v>
      </c>
      <c r="I265" s="3">
        <v>106887</v>
      </c>
      <c r="J265" s="3">
        <f t="shared" si="4"/>
        <v>303024645</v>
      </c>
      <c r="K265" s="3">
        <v>142721362</v>
      </c>
      <c r="L265" s="3">
        <v>84203583</v>
      </c>
    </row>
    <row r="266" spans="1:12" x14ac:dyDescent="0.3">
      <c r="A266" s="2" t="s">
        <v>329</v>
      </c>
      <c r="B266" s="2" t="str">
        <f>LEFT(Table1[[#This Row],[تاریخ]],4)</f>
        <v>1400</v>
      </c>
      <c r="C266" s="2" t="s">
        <v>11</v>
      </c>
      <c r="D266" s="2" t="s">
        <v>13</v>
      </c>
      <c r="E266" s="2" t="s">
        <v>64</v>
      </c>
      <c r="F266" s="2" t="s">
        <v>59</v>
      </c>
      <c r="G266" s="2" t="s">
        <v>46</v>
      </c>
      <c r="H266" s="3">
        <v>1750</v>
      </c>
      <c r="I266" s="3">
        <v>128554</v>
      </c>
      <c r="J266" s="3">
        <f t="shared" si="4"/>
        <v>224969500</v>
      </c>
      <c r="K266" s="3">
        <v>42516074</v>
      </c>
      <c r="L266" s="3">
        <v>51537258</v>
      </c>
    </row>
    <row r="267" spans="1:12" x14ac:dyDescent="0.3">
      <c r="A267" s="2" t="s">
        <v>330</v>
      </c>
      <c r="B267" s="2" t="str">
        <f>LEFT(Table1[[#This Row],[تاریخ]],4)</f>
        <v>1400</v>
      </c>
      <c r="C267" s="2" t="s">
        <v>11</v>
      </c>
      <c r="D267" s="2" t="s">
        <v>13</v>
      </c>
      <c r="E267" s="2" t="s">
        <v>29</v>
      </c>
      <c r="F267" s="2" t="s">
        <v>62</v>
      </c>
      <c r="G267" s="2" t="s">
        <v>50</v>
      </c>
      <c r="H267" s="3">
        <v>3710</v>
      </c>
      <c r="I267" s="3">
        <v>96462</v>
      </c>
      <c r="J267" s="3">
        <f t="shared" si="4"/>
        <v>357874020</v>
      </c>
      <c r="K267" s="3">
        <v>43946894</v>
      </c>
      <c r="L267" s="3">
        <v>91301374</v>
      </c>
    </row>
    <row r="268" spans="1:12" x14ac:dyDescent="0.3">
      <c r="A268" s="2" t="s">
        <v>331</v>
      </c>
      <c r="B268" s="2" t="str">
        <f>LEFT(Table1[[#This Row],[تاریخ]],4)</f>
        <v>1400</v>
      </c>
      <c r="C268" s="2" t="s">
        <v>11</v>
      </c>
      <c r="D268" s="2" t="s">
        <v>13</v>
      </c>
      <c r="E268" s="2" t="s">
        <v>69</v>
      </c>
      <c r="F268" s="2" t="s">
        <v>65</v>
      </c>
      <c r="G268" s="2" t="s">
        <v>31</v>
      </c>
      <c r="H268" s="3">
        <v>3115</v>
      </c>
      <c r="I268" s="3">
        <v>72240</v>
      </c>
      <c r="J268" s="3">
        <f t="shared" si="4"/>
        <v>225027600</v>
      </c>
      <c r="K268" s="3">
        <v>210861169</v>
      </c>
      <c r="L268" s="3">
        <v>66293837</v>
      </c>
    </row>
    <row r="269" spans="1:12" x14ac:dyDescent="0.3">
      <c r="A269" s="2" t="s">
        <v>332</v>
      </c>
      <c r="B269" s="2" t="str">
        <f>LEFT(Table1[[#This Row],[تاریخ]],4)</f>
        <v>1400</v>
      </c>
      <c r="C269" s="2" t="s">
        <v>15</v>
      </c>
      <c r="D269" s="2" t="s">
        <v>14</v>
      </c>
      <c r="E269" s="2" t="s">
        <v>72</v>
      </c>
      <c r="F269" s="2" t="s">
        <v>67</v>
      </c>
      <c r="G269" s="2" t="s">
        <v>34</v>
      </c>
      <c r="H269" s="3">
        <v>2555</v>
      </c>
      <c r="I269" s="3">
        <v>124746</v>
      </c>
      <c r="J269" s="3">
        <f t="shared" si="4"/>
        <v>318726030</v>
      </c>
      <c r="K269" s="3">
        <v>132854414</v>
      </c>
      <c r="L269" s="3">
        <v>63169370</v>
      </c>
    </row>
    <row r="270" spans="1:12" x14ac:dyDescent="0.3">
      <c r="A270" s="2" t="s">
        <v>333</v>
      </c>
      <c r="B270" s="2" t="str">
        <f>LEFT(Table1[[#This Row],[تاریخ]],4)</f>
        <v>1400</v>
      </c>
      <c r="C270" s="2" t="s">
        <v>15</v>
      </c>
      <c r="D270" s="2" t="s">
        <v>14</v>
      </c>
      <c r="E270" s="2" t="s">
        <v>75</v>
      </c>
      <c r="F270" s="2" t="s">
        <v>70</v>
      </c>
      <c r="G270" s="2" t="s">
        <v>38</v>
      </c>
      <c r="H270" s="3">
        <v>1820</v>
      </c>
      <c r="I270" s="3">
        <v>143508</v>
      </c>
      <c r="J270" s="3">
        <f t="shared" si="4"/>
        <v>261184560</v>
      </c>
      <c r="K270" s="3">
        <v>222502417</v>
      </c>
      <c r="L270" s="3">
        <v>23725695</v>
      </c>
    </row>
    <row r="271" spans="1:12" x14ac:dyDescent="0.3">
      <c r="A271" s="2" t="s">
        <v>334</v>
      </c>
      <c r="B271" s="2" t="str">
        <f>LEFT(Table1[[#This Row],[تاریخ]],4)</f>
        <v>1400</v>
      </c>
      <c r="C271" s="2" t="s">
        <v>15</v>
      </c>
      <c r="D271" s="2" t="s">
        <v>14</v>
      </c>
      <c r="E271" s="2" t="s">
        <v>44</v>
      </c>
      <c r="F271" s="2" t="s">
        <v>73</v>
      </c>
      <c r="G271" s="2" t="s">
        <v>42</v>
      </c>
      <c r="H271" s="3">
        <v>1995</v>
      </c>
      <c r="I271" s="3">
        <v>64531</v>
      </c>
      <c r="J271" s="3">
        <f t="shared" si="4"/>
        <v>128739345</v>
      </c>
      <c r="K271" s="3">
        <v>58996033</v>
      </c>
      <c r="L271" s="3">
        <v>31945151</v>
      </c>
    </row>
    <row r="272" spans="1:12" x14ac:dyDescent="0.3">
      <c r="A272" s="2" t="s">
        <v>335</v>
      </c>
      <c r="B272" s="2" t="str">
        <f>LEFT(Table1[[#This Row],[تاریخ]],4)</f>
        <v>1400</v>
      </c>
      <c r="C272" s="2" t="s">
        <v>15</v>
      </c>
      <c r="D272" s="2" t="s">
        <v>14</v>
      </c>
      <c r="E272" s="2" t="s">
        <v>79</v>
      </c>
      <c r="F272" s="2" t="s">
        <v>76</v>
      </c>
      <c r="G272" s="2" t="s">
        <v>46</v>
      </c>
      <c r="H272" s="3">
        <v>2135</v>
      </c>
      <c r="I272" s="3">
        <v>94016</v>
      </c>
      <c r="J272" s="3">
        <f t="shared" si="4"/>
        <v>200724160</v>
      </c>
      <c r="K272" s="3">
        <v>7636553</v>
      </c>
      <c r="L272" s="3">
        <v>36692608</v>
      </c>
    </row>
    <row r="273" spans="1:12" x14ac:dyDescent="0.3">
      <c r="A273" s="2" t="s">
        <v>336</v>
      </c>
      <c r="B273" s="2" t="str">
        <f>LEFT(Table1[[#This Row],[تاریخ]],4)</f>
        <v>1400</v>
      </c>
      <c r="C273" s="2" t="s">
        <v>15</v>
      </c>
      <c r="D273" s="2" t="s">
        <v>14</v>
      </c>
      <c r="E273" s="2" t="s">
        <v>81</v>
      </c>
      <c r="F273" s="2" t="s">
        <v>30</v>
      </c>
      <c r="G273" s="2" t="s">
        <v>46</v>
      </c>
      <c r="H273" s="3">
        <v>2240</v>
      </c>
      <c r="I273" s="3">
        <v>112920</v>
      </c>
      <c r="J273" s="3">
        <f t="shared" si="4"/>
        <v>252940800</v>
      </c>
      <c r="K273" s="3">
        <v>234642630</v>
      </c>
      <c r="L273" s="3">
        <v>47887894</v>
      </c>
    </row>
    <row r="274" spans="1:12" x14ac:dyDescent="0.3">
      <c r="A274" s="2" t="s">
        <v>337</v>
      </c>
      <c r="B274" s="2" t="str">
        <f>LEFT(Table1[[#This Row],[تاریخ]],4)</f>
        <v>1400</v>
      </c>
      <c r="C274" s="2" t="s">
        <v>15</v>
      </c>
      <c r="D274" s="2" t="s">
        <v>14</v>
      </c>
      <c r="E274" s="2" t="s">
        <v>83</v>
      </c>
      <c r="F274" s="2" t="s">
        <v>33</v>
      </c>
      <c r="G274" s="2" t="s">
        <v>50</v>
      </c>
      <c r="H274" s="3">
        <v>2030</v>
      </c>
      <c r="I274" s="3">
        <v>60392</v>
      </c>
      <c r="J274" s="3">
        <f t="shared" si="4"/>
        <v>122595760</v>
      </c>
      <c r="K274" s="3">
        <v>42237333</v>
      </c>
      <c r="L274" s="3">
        <v>4478701</v>
      </c>
    </row>
    <row r="275" spans="1:12" x14ac:dyDescent="0.3">
      <c r="A275" s="2" t="s">
        <v>338</v>
      </c>
      <c r="B275" s="2" t="str">
        <f>LEFT(Table1[[#This Row],[تاریخ]],4)</f>
        <v>1400</v>
      </c>
      <c r="C275" s="2" t="s">
        <v>15</v>
      </c>
      <c r="D275" s="2" t="s">
        <v>16</v>
      </c>
      <c r="E275" s="2" t="s">
        <v>85</v>
      </c>
      <c r="F275" s="2" t="s">
        <v>37</v>
      </c>
      <c r="G275" s="2" t="s">
        <v>31</v>
      </c>
      <c r="H275" s="3">
        <v>1925</v>
      </c>
      <c r="I275" s="3">
        <v>114484</v>
      </c>
      <c r="J275" s="3">
        <f t="shared" si="4"/>
        <v>220381700</v>
      </c>
      <c r="K275" s="3">
        <v>212533115</v>
      </c>
      <c r="L275" s="3">
        <v>60210569</v>
      </c>
    </row>
    <row r="276" spans="1:12" x14ac:dyDescent="0.3">
      <c r="A276" s="2" t="s">
        <v>339</v>
      </c>
      <c r="B276" s="2" t="str">
        <f>LEFT(Table1[[#This Row],[تاریخ]],4)</f>
        <v>1400</v>
      </c>
      <c r="C276" s="2" t="s">
        <v>15</v>
      </c>
      <c r="D276" s="2" t="s">
        <v>16</v>
      </c>
      <c r="E276" s="2" t="s">
        <v>61</v>
      </c>
      <c r="F276" s="2" t="s">
        <v>41</v>
      </c>
      <c r="G276" s="2" t="s">
        <v>34</v>
      </c>
      <c r="H276" s="3">
        <v>2660</v>
      </c>
      <c r="I276" s="3">
        <v>102363</v>
      </c>
      <c r="J276" s="3">
        <f t="shared" si="4"/>
        <v>272285580</v>
      </c>
      <c r="K276" s="3">
        <v>18457643</v>
      </c>
      <c r="L276" s="3">
        <v>20033642</v>
      </c>
    </row>
    <row r="277" spans="1:12" x14ac:dyDescent="0.3">
      <c r="A277" s="2" t="s">
        <v>340</v>
      </c>
      <c r="B277" s="2" t="str">
        <f>LEFT(Table1[[#This Row],[تاریخ]],4)</f>
        <v>1400</v>
      </c>
      <c r="C277" s="2" t="s">
        <v>15</v>
      </c>
      <c r="D277" s="2" t="s">
        <v>16</v>
      </c>
      <c r="E277" s="2" t="s">
        <v>64</v>
      </c>
      <c r="F277" s="2" t="s">
        <v>45</v>
      </c>
      <c r="G277" s="2" t="s">
        <v>38</v>
      </c>
      <c r="H277" s="3">
        <v>2555</v>
      </c>
      <c r="I277" s="3">
        <v>88898</v>
      </c>
      <c r="J277" s="3">
        <f t="shared" si="4"/>
        <v>227134390</v>
      </c>
      <c r="K277" s="3">
        <v>18968480</v>
      </c>
      <c r="L277" s="3">
        <v>46202481</v>
      </c>
    </row>
    <row r="278" spans="1:12" x14ac:dyDescent="0.3">
      <c r="A278" s="2" t="s">
        <v>341</v>
      </c>
      <c r="B278" s="2" t="str">
        <f>LEFT(Table1[[#This Row],[تاریخ]],4)</f>
        <v>1400</v>
      </c>
      <c r="C278" s="2" t="s">
        <v>15</v>
      </c>
      <c r="D278" s="2" t="s">
        <v>16</v>
      </c>
      <c r="E278" s="2" t="s">
        <v>29</v>
      </c>
      <c r="F278" s="2" t="s">
        <v>49</v>
      </c>
      <c r="G278" s="2" t="s">
        <v>42</v>
      </c>
      <c r="H278" s="3">
        <v>2030</v>
      </c>
      <c r="I278" s="3">
        <v>99303</v>
      </c>
      <c r="J278" s="3">
        <f t="shared" si="4"/>
        <v>201585090</v>
      </c>
      <c r="K278" s="3">
        <v>70805718</v>
      </c>
      <c r="L278" s="3">
        <v>5016739</v>
      </c>
    </row>
    <row r="279" spans="1:12" x14ac:dyDescent="0.3">
      <c r="A279" s="2" t="s">
        <v>342</v>
      </c>
      <c r="B279" s="2" t="str">
        <f>LEFT(Table1[[#This Row],[تاریخ]],4)</f>
        <v>1400</v>
      </c>
      <c r="C279" s="2" t="s">
        <v>15</v>
      </c>
      <c r="D279" s="2" t="s">
        <v>16</v>
      </c>
      <c r="E279" s="2" t="s">
        <v>69</v>
      </c>
      <c r="F279" s="2" t="s">
        <v>53</v>
      </c>
      <c r="G279" s="2" t="s">
        <v>46</v>
      </c>
      <c r="H279" s="3">
        <v>2765</v>
      </c>
      <c r="I279" s="3">
        <v>76476</v>
      </c>
      <c r="J279" s="3">
        <f t="shared" si="4"/>
        <v>211456140</v>
      </c>
      <c r="K279" s="3">
        <v>99756228</v>
      </c>
      <c r="L279" s="3">
        <v>19813066</v>
      </c>
    </row>
    <row r="280" spans="1:12" x14ac:dyDescent="0.3">
      <c r="A280" s="2" t="s">
        <v>343</v>
      </c>
      <c r="B280" s="2" t="str">
        <f>LEFT(Table1[[#This Row],[تاریخ]],4)</f>
        <v>1400</v>
      </c>
      <c r="C280" s="2" t="s">
        <v>15</v>
      </c>
      <c r="D280" s="2" t="s">
        <v>16</v>
      </c>
      <c r="E280" s="2" t="s">
        <v>72</v>
      </c>
      <c r="F280" s="2" t="s">
        <v>56</v>
      </c>
      <c r="G280" s="2" t="s">
        <v>46</v>
      </c>
      <c r="H280" s="3">
        <v>2170</v>
      </c>
      <c r="I280" s="3">
        <v>66762</v>
      </c>
      <c r="J280" s="3">
        <f t="shared" si="4"/>
        <v>144873540</v>
      </c>
      <c r="K280" s="3">
        <v>64107238</v>
      </c>
      <c r="L280" s="3">
        <v>1225304</v>
      </c>
    </row>
    <row r="281" spans="1:12" x14ac:dyDescent="0.3">
      <c r="A281" s="2" t="s">
        <v>344</v>
      </c>
      <c r="B281" s="2" t="str">
        <f>LEFT(Table1[[#This Row],[تاریخ]],4)</f>
        <v>1400</v>
      </c>
      <c r="C281" s="2" t="s">
        <v>15</v>
      </c>
      <c r="D281" s="2" t="s">
        <v>17</v>
      </c>
      <c r="E281" s="2" t="s">
        <v>75</v>
      </c>
      <c r="F281" s="2" t="s">
        <v>59</v>
      </c>
      <c r="G281" s="2" t="s">
        <v>50</v>
      </c>
      <c r="H281" s="3">
        <v>2940</v>
      </c>
      <c r="I281" s="3">
        <v>133633</v>
      </c>
      <c r="J281" s="3">
        <f t="shared" si="4"/>
        <v>392881020</v>
      </c>
      <c r="K281" s="3">
        <v>67395087</v>
      </c>
      <c r="L281" s="3">
        <v>65203831</v>
      </c>
    </row>
    <row r="282" spans="1:12" x14ac:dyDescent="0.3">
      <c r="A282" s="2" t="s">
        <v>345</v>
      </c>
      <c r="B282" s="2" t="str">
        <f>LEFT(Table1[[#This Row],[تاریخ]],4)</f>
        <v>1400</v>
      </c>
      <c r="C282" s="2" t="s">
        <v>15</v>
      </c>
      <c r="D282" s="2" t="s">
        <v>17</v>
      </c>
      <c r="E282" s="2" t="s">
        <v>44</v>
      </c>
      <c r="F282" s="2" t="s">
        <v>62</v>
      </c>
      <c r="G282" s="2" t="s">
        <v>31</v>
      </c>
      <c r="H282" s="3">
        <v>2590</v>
      </c>
      <c r="I282" s="3">
        <v>149634</v>
      </c>
      <c r="J282" s="3">
        <f t="shared" si="4"/>
        <v>387552060</v>
      </c>
      <c r="K282" s="3">
        <v>207738149</v>
      </c>
      <c r="L282" s="3">
        <v>9280161</v>
      </c>
    </row>
    <row r="283" spans="1:12" x14ac:dyDescent="0.3">
      <c r="A283" s="2" t="s">
        <v>346</v>
      </c>
      <c r="B283" s="2" t="str">
        <f>LEFT(Table1[[#This Row],[تاریخ]],4)</f>
        <v>1400</v>
      </c>
      <c r="C283" s="2" t="s">
        <v>15</v>
      </c>
      <c r="D283" s="2" t="s">
        <v>17</v>
      </c>
      <c r="E283" s="2" t="s">
        <v>79</v>
      </c>
      <c r="F283" s="2" t="s">
        <v>65</v>
      </c>
      <c r="G283" s="2" t="s">
        <v>34</v>
      </c>
      <c r="H283" s="3">
        <v>3115</v>
      </c>
      <c r="I283" s="3">
        <v>124390</v>
      </c>
      <c r="J283" s="3">
        <f t="shared" si="4"/>
        <v>387474850</v>
      </c>
      <c r="K283" s="3">
        <v>73933822</v>
      </c>
      <c r="L283" s="3">
        <v>41466999</v>
      </c>
    </row>
    <row r="284" spans="1:12" x14ac:dyDescent="0.3">
      <c r="A284" s="2" t="s">
        <v>347</v>
      </c>
      <c r="B284" s="2" t="str">
        <f>LEFT(Table1[[#This Row],[تاریخ]],4)</f>
        <v>1400</v>
      </c>
      <c r="C284" s="2" t="s">
        <v>15</v>
      </c>
      <c r="D284" s="2" t="s">
        <v>17</v>
      </c>
      <c r="E284" s="2" t="s">
        <v>81</v>
      </c>
      <c r="F284" s="2" t="s">
        <v>67</v>
      </c>
      <c r="G284" s="2" t="s">
        <v>38</v>
      </c>
      <c r="H284" s="3">
        <v>1855</v>
      </c>
      <c r="I284" s="3">
        <v>85465</v>
      </c>
      <c r="J284" s="3">
        <f t="shared" si="4"/>
        <v>158537575</v>
      </c>
      <c r="K284" s="3">
        <v>145288382</v>
      </c>
      <c r="L284" s="3">
        <v>6568154</v>
      </c>
    </row>
    <row r="285" spans="1:12" x14ac:dyDescent="0.3">
      <c r="A285" s="2" t="s">
        <v>348</v>
      </c>
      <c r="B285" s="2" t="str">
        <f>LEFT(Table1[[#This Row],[تاریخ]],4)</f>
        <v>1400</v>
      </c>
      <c r="C285" s="2" t="s">
        <v>15</v>
      </c>
      <c r="D285" s="2" t="s">
        <v>17</v>
      </c>
      <c r="E285" s="2" t="s">
        <v>83</v>
      </c>
      <c r="F285" s="2" t="s">
        <v>70</v>
      </c>
      <c r="G285" s="2" t="s">
        <v>42</v>
      </c>
      <c r="H285" s="3">
        <v>3465</v>
      </c>
      <c r="I285" s="3">
        <v>65587</v>
      </c>
      <c r="J285" s="3">
        <f t="shared" si="4"/>
        <v>227258955</v>
      </c>
      <c r="K285" s="3">
        <v>106780387</v>
      </c>
      <c r="L285" s="3">
        <v>8086609</v>
      </c>
    </row>
    <row r="286" spans="1:12" x14ac:dyDescent="0.3">
      <c r="A286" s="2" t="s">
        <v>349</v>
      </c>
      <c r="B286" s="2" t="str">
        <f>LEFT(Table1[[#This Row],[تاریخ]],4)</f>
        <v>1401</v>
      </c>
      <c r="C286" s="2" t="s">
        <v>3</v>
      </c>
      <c r="D286" s="2" t="s">
        <v>2</v>
      </c>
      <c r="E286" s="2" t="s">
        <v>85</v>
      </c>
      <c r="F286" s="2" t="s">
        <v>73</v>
      </c>
      <c r="G286" s="2" t="s">
        <v>46</v>
      </c>
      <c r="H286" s="3">
        <v>2555</v>
      </c>
      <c r="I286" s="3">
        <v>148043</v>
      </c>
      <c r="J286" s="3">
        <f t="shared" si="4"/>
        <v>378249865</v>
      </c>
      <c r="K286" s="3">
        <v>11488681</v>
      </c>
      <c r="L286" s="3">
        <v>99483752</v>
      </c>
    </row>
    <row r="287" spans="1:12" x14ac:dyDescent="0.3">
      <c r="A287" s="2" t="s">
        <v>350</v>
      </c>
      <c r="B287" s="2" t="str">
        <f>LEFT(Table1[[#This Row],[تاریخ]],4)</f>
        <v>1401</v>
      </c>
      <c r="C287" s="2" t="s">
        <v>3</v>
      </c>
      <c r="D287" s="2" t="s">
        <v>2</v>
      </c>
      <c r="E287" s="2" t="s">
        <v>61</v>
      </c>
      <c r="F287" s="2" t="s">
        <v>76</v>
      </c>
      <c r="G287" s="2" t="s">
        <v>46</v>
      </c>
      <c r="H287" s="3">
        <v>2135</v>
      </c>
      <c r="I287" s="3">
        <v>92951</v>
      </c>
      <c r="J287" s="3">
        <f t="shared" si="4"/>
        <v>198450385</v>
      </c>
      <c r="K287" s="3">
        <v>170641589</v>
      </c>
      <c r="L287" s="3">
        <v>47350246</v>
      </c>
    </row>
    <row r="288" spans="1:12" x14ac:dyDescent="0.3">
      <c r="A288" s="2" t="s">
        <v>351</v>
      </c>
      <c r="B288" s="2" t="str">
        <f>LEFT(Table1[[#This Row],[تاریخ]],4)</f>
        <v>1401</v>
      </c>
      <c r="C288" s="2" t="s">
        <v>3</v>
      </c>
      <c r="D288" s="2" t="s">
        <v>2</v>
      </c>
      <c r="E288" s="2" t="s">
        <v>64</v>
      </c>
      <c r="F288" s="2" t="s">
        <v>30</v>
      </c>
      <c r="G288" s="2" t="s">
        <v>50</v>
      </c>
      <c r="H288" s="3">
        <v>2310</v>
      </c>
      <c r="I288" s="3">
        <v>97888</v>
      </c>
      <c r="J288" s="3">
        <f t="shared" si="4"/>
        <v>226121280</v>
      </c>
      <c r="K288" s="3">
        <v>197438088</v>
      </c>
      <c r="L288" s="3">
        <v>3437120</v>
      </c>
    </row>
    <row r="289" spans="1:12" x14ac:dyDescent="0.3">
      <c r="A289" s="2" t="s">
        <v>352</v>
      </c>
      <c r="B289" s="2" t="str">
        <f>LEFT(Table1[[#This Row],[تاریخ]],4)</f>
        <v>1401</v>
      </c>
      <c r="C289" s="2" t="s">
        <v>3</v>
      </c>
      <c r="D289" s="2" t="s">
        <v>2</v>
      </c>
      <c r="E289" s="2" t="s">
        <v>29</v>
      </c>
      <c r="F289" s="2" t="s">
        <v>33</v>
      </c>
      <c r="G289" s="2" t="s">
        <v>31</v>
      </c>
      <c r="H289" s="3">
        <v>1925</v>
      </c>
      <c r="I289" s="3">
        <v>54093</v>
      </c>
      <c r="J289" s="3">
        <f t="shared" si="4"/>
        <v>104129025</v>
      </c>
      <c r="K289" s="3">
        <v>89944263</v>
      </c>
      <c r="L289" s="3">
        <v>2854511</v>
      </c>
    </row>
    <row r="290" spans="1:12" x14ac:dyDescent="0.3">
      <c r="A290" s="2" t="s">
        <v>353</v>
      </c>
      <c r="B290" s="2" t="str">
        <f>LEFT(Table1[[#This Row],[تاریخ]],4)</f>
        <v>1401</v>
      </c>
      <c r="C290" s="2" t="s">
        <v>3</v>
      </c>
      <c r="D290" s="2" t="s">
        <v>2</v>
      </c>
      <c r="E290" s="2" t="s">
        <v>69</v>
      </c>
      <c r="F290" s="2" t="s">
        <v>37</v>
      </c>
      <c r="G290" s="2" t="s">
        <v>34</v>
      </c>
      <c r="H290" s="3">
        <v>2625</v>
      </c>
      <c r="I290" s="3">
        <v>120937</v>
      </c>
      <c r="J290" s="3">
        <f t="shared" si="4"/>
        <v>317459625</v>
      </c>
      <c r="K290" s="3">
        <v>189871978</v>
      </c>
      <c r="L290" s="3">
        <v>71754693</v>
      </c>
    </row>
    <row r="291" spans="1:12" x14ac:dyDescent="0.3">
      <c r="A291" s="2" t="s">
        <v>354</v>
      </c>
      <c r="B291" s="2" t="str">
        <f>LEFT(Table1[[#This Row],[تاریخ]],4)</f>
        <v>1401</v>
      </c>
      <c r="C291" s="2" t="s">
        <v>3</v>
      </c>
      <c r="D291" s="2" t="s">
        <v>2</v>
      </c>
      <c r="E291" s="2" t="s">
        <v>72</v>
      </c>
      <c r="F291" s="2" t="s">
        <v>41</v>
      </c>
      <c r="G291" s="2" t="s">
        <v>38</v>
      </c>
      <c r="H291" s="3">
        <v>3465</v>
      </c>
      <c r="I291" s="3">
        <v>113005</v>
      </c>
      <c r="J291" s="3">
        <f t="shared" si="4"/>
        <v>391562325</v>
      </c>
      <c r="K291" s="3">
        <v>178391559</v>
      </c>
      <c r="L291" s="3">
        <v>7599061</v>
      </c>
    </row>
    <row r="292" spans="1:12" x14ac:dyDescent="0.3">
      <c r="A292" s="2" t="s">
        <v>355</v>
      </c>
      <c r="B292" s="2" t="str">
        <f>LEFT(Table1[[#This Row],[تاریخ]],4)</f>
        <v>1401</v>
      </c>
      <c r="C292" s="2" t="s">
        <v>3</v>
      </c>
      <c r="D292" s="2" t="s">
        <v>2</v>
      </c>
      <c r="E292" s="2" t="s">
        <v>75</v>
      </c>
      <c r="F292" s="2" t="s">
        <v>45</v>
      </c>
      <c r="G292" s="2" t="s">
        <v>42</v>
      </c>
      <c r="H292" s="3">
        <v>3640</v>
      </c>
      <c r="I292" s="3">
        <v>72460</v>
      </c>
      <c r="J292" s="3">
        <f t="shared" si="4"/>
        <v>263754400</v>
      </c>
      <c r="K292" s="3">
        <v>91274463</v>
      </c>
      <c r="L292" s="3">
        <v>25913553</v>
      </c>
    </row>
    <row r="293" spans="1:12" x14ac:dyDescent="0.3">
      <c r="A293" s="2" t="s">
        <v>356</v>
      </c>
      <c r="B293" s="2" t="str">
        <f>LEFT(Table1[[#This Row],[تاریخ]],4)</f>
        <v>1401</v>
      </c>
      <c r="C293" s="2" t="s">
        <v>3</v>
      </c>
      <c r="D293" s="2" t="s">
        <v>4</v>
      </c>
      <c r="E293" s="2" t="s">
        <v>44</v>
      </c>
      <c r="F293" s="2" t="s">
        <v>49</v>
      </c>
      <c r="G293" s="2" t="s">
        <v>46</v>
      </c>
      <c r="H293" s="3">
        <v>2310</v>
      </c>
      <c r="I293" s="3">
        <v>133221</v>
      </c>
      <c r="J293" s="3">
        <f t="shared" si="4"/>
        <v>307740510</v>
      </c>
      <c r="K293" s="3">
        <v>138691258</v>
      </c>
      <c r="L293" s="3">
        <v>41573067</v>
      </c>
    </row>
    <row r="294" spans="1:12" x14ac:dyDescent="0.3">
      <c r="A294" s="2" t="s">
        <v>357</v>
      </c>
      <c r="B294" s="2" t="str">
        <f>LEFT(Table1[[#This Row],[تاریخ]],4)</f>
        <v>1401</v>
      </c>
      <c r="C294" s="2" t="s">
        <v>3</v>
      </c>
      <c r="D294" s="2" t="s">
        <v>4</v>
      </c>
      <c r="E294" s="2" t="s">
        <v>79</v>
      </c>
      <c r="F294" s="2" t="s">
        <v>53</v>
      </c>
      <c r="G294" s="2" t="s">
        <v>46</v>
      </c>
      <c r="H294" s="3">
        <v>2275</v>
      </c>
      <c r="I294" s="3">
        <v>98753</v>
      </c>
      <c r="J294" s="3">
        <f t="shared" si="4"/>
        <v>224663075</v>
      </c>
      <c r="K294" s="3">
        <v>33062398</v>
      </c>
      <c r="L294" s="3">
        <v>60916018</v>
      </c>
    </row>
    <row r="295" spans="1:12" x14ac:dyDescent="0.3">
      <c r="A295" s="2" t="s">
        <v>358</v>
      </c>
      <c r="B295" s="2" t="str">
        <f>LEFT(Table1[[#This Row],[تاریخ]],4)</f>
        <v>1401</v>
      </c>
      <c r="C295" s="2" t="s">
        <v>3</v>
      </c>
      <c r="D295" s="2" t="s">
        <v>4</v>
      </c>
      <c r="E295" s="2" t="s">
        <v>81</v>
      </c>
      <c r="F295" s="2" t="s">
        <v>56</v>
      </c>
      <c r="G295" s="2" t="s">
        <v>50</v>
      </c>
      <c r="H295" s="3">
        <v>3290</v>
      </c>
      <c r="I295" s="3">
        <v>109503</v>
      </c>
      <c r="J295" s="3">
        <f t="shared" si="4"/>
        <v>360264870</v>
      </c>
      <c r="K295" s="3">
        <v>160535419</v>
      </c>
      <c r="L295" s="3">
        <v>40125163</v>
      </c>
    </row>
    <row r="296" spans="1:12" x14ac:dyDescent="0.3">
      <c r="A296" s="2" t="s">
        <v>359</v>
      </c>
      <c r="B296" s="2" t="str">
        <f>LEFT(Table1[[#This Row],[تاریخ]],4)</f>
        <v>1401</v>
      </c>
      <c r="C296" s="2" t="s">
        <v>3</v>
      </c>
      <c r="D296" s="2" t="s">
        <v>4</v>
      </c>
      <c r="E296" s="2" t="s">
        <v>83</v>
      </c>
      <c r="F296" s="2" t="s">
        <v>59</v>
      </c>
      <c r="G296" s="2" t="s">
        <v>31</v>
      </c>
      <c r="H296" s="3">
        <v>3465</v>
      </c>
      <c r="I296" s="3">
        <v>128417</v>
      </c>
      <c r="J296" s="3">
        <f t="shared" si="4"/>
        <v>444964905</v>
      </c>
      <c r="K296" s="3">
        <v>211480417</v>
      </c>
      <c r="L296" s="3">
        <v>48676361</v>
      </c>
    </row>
    <row r="297" spans="1:12" x14ac:dyDescent="0.3">
      <c r="A297" s="2" t="s">
        <v>360</v>
      </c>
      <c r="B297" s="2" t="str">
        <f>LEFT(Table1[[#This Row],[تاریخ]],4)</f>
        <v>1401</v>
      </c>
      <c r="C297" s="2" t="s">
        <v>3</v>
      </c>
      <c r="D297" s="2" t="s">
        <v>4</v>
      </c>
      <c r="E297" s="2" t="s">
        <v>85</v>
      </c>
      <c r="F297" s="2" t="s">
        <v>62</v>
      </c>
      <c r="G297" s="2" t="s">
        <v>34</v>
      </c>
      <c r="H297" s="3">
        <v>3430</v>
      </c>
      <c r="I297" s="3">
        <v>98081</v>
      </c>
      <c r="J297" s="3">
        <f t="shared" si="4"/>
        <v>336417830</v>
      </c>
      <c r="K297" s="3">
        <v>91104844</v>
      </c>
      <c r="L297" s="3">
        <v>11498590</v>
      </c>
    </row>
    <row r="298" spans="1:12" x14ac:dyDescent="0.3">
      <c r="A298" s="2" t="s">
        <v>361</v>
      </c>
      <c r="B298" s="2" t="str">
        <f>LEFT(Table1[[#This Row],[تاریخ]],4)</f>
        <v>1401</v>
      </c>
      <c r="C298" s="2" t="s">
        <v>3</v>
      </c>
      <c r="D298" s="2" t="s">
        <v>4</v>
      </c>
      <c r="E298" s="2" t="s">
        <v>61</v>
      </c>
      <c r="F298" s="2" t="s">
        <v>65</v>
      </c>
      <c r="G298" s="2" t="s">
        <v>38</v>
      </c>
      <c r="H298" s="3">
        <v>1960</v>
      </c>
      <c r="I298" s="3">
        <v>115452</v>
      </c>
      <c r="J298" s="3">
        <f t="shared" si="4"/>
        <v>226285920</v>
      </c>
      <c r="K298" s="3">
        <v>22122344</v>
      </c>
      <c r="L298" s="3">
        <v>11385337</v>
      </c>
    </row>
    <row r="299" spans="1:12" x14ac:dyDescent="0.3">
      <c r="A299" s="2" t="s">
        <v>362</v>
      </c>
      <c r="B299" s="2" t="str">
        <f>LEFT(Table1[[#This Row],[تاریخ]],4)</f>
        <v>1401</v>
      </c>
      <c r="C299" s="2" t="s">
        <v>3</v>
      </c>
      <c r="D299" s="2" t="s">
        <v>5</v>
      </c>
      <c r="E299" s="2" t="s">
        <v>64</v>
      </c>
      <c r="F299" s="2" t="s">
        <v>67</v>
      </c>
      <c r="G299" s="2" t="s">
        <v>42</v>
      </c>
      <c r="H299" s="3">
        <v>2975</v>
      </c>
      <c r="I299" s="3">
        <v>90374</v>
      </c>
      <c r="J299" s="3">
        <f t="shared" si="4"/>
        <v>268862650</v>
      </c>
      <c r="K299" s="3">
        <v>189672563</v>
      </c>
      <c r="L299" s="3">
        <v>63624733</v>
      </c>
    </row>
    <row r="300" spans="1:12" x14ac:dyDescent="0.3">
      <c r="A300" s="2" t="s">
        <v>363</v>
      </c>
      <c r="B300" s="2" t="str">
        <f>LEFT(Table1[[#This Row],[تاریخ]],4)</f>
        <v>1401</v>
      </c>
      <c r="C300" s="2" t="s">
        <v>3</v>
      </c>
      <c r="D300" s="2" t="s">
        <v>5</v>
      </c>
      <c r="E300" s="2" t="s">
        <v>29</v>
      </c>
      <c r="F300" s="2" t="s">
        <v>70</v>
      </c>
      <c r="G300" s="2" t="s">
        <v>46</v>
      </c>
      <c r="H300" s="3">
        <v>2660</v>
      </c>
      <c r="I300" s="3">
        <v>84645</v>
      </c>
      <c r="J300" s="3">
        <f t="shared" si="4"/>
        <v>225155700</v>
      </c>
      <c r="K300" s="3">
        <v>217812178</v>
      </c>
      <c r="L300" s="3">
        <v>47711119</v>
      </c>
    </row>
    <row r="301" spans="1:12" x14ac:dyDescent="0.3">
      <c r="A301" s="2" t="s">
        <v>364</v>
      </c>
      <c r="B301" s="2" t="str">
        <f>LEFT(Table1[[#This Row],[تاریخ]],4)</f>
        <v>1401</v>
      </c>
      <c r="C301" s="2" t="s">
        <v>3</v>
      </c>
      <c r="D301" s="2" t="s">
        <v>5</v>
      </c>
      <c r="E301" s="2" t="s">
        <v>69</v>
      </c>
      <c r="F301" s="2" t="s">
        <v>73</v>
      </c>
      <c r="G301" s="2" t="s">
        <v>46</v>
      </c>
      <c r="H301" s="3">
        <v>2100</v>
      </c>
      <c r="I301" s="3">
        <v>99366</v>
      </c>
      <c r="J301" s="3">
        <f t="shared" si="4"/>
        <v>208668600</v>
      </c>
      <c r="K301" s="3">
        <v>69586003</v>
      </c>
      <c r="L301" s="3">
        <v>20923564</v>
      </c>
    </row>
    <row r="302" spans="1:12" x14ac:dyDescent="0.3">
      <c r="A302" s="2" t="s">
        <v>365</v>
      </c>
      <c r="B302" s="2" t="str">
        <f>LEFT(Table1[[#This Row],[تاریخ]],4)</f>
        <v>1401</v>
      </c>
      <c r="C302" s="2" t="s">
        <v>3</v>
      </c>
      <c r="D302" s="2" t="s">
        <v>5</v>
      </c>
      <c r="E302" s="2" t="s">
        <v>72</v>
      </c>
      <c r="F302" s="2" t="s">
        <v>76</v>
      </c>
      <c r="G302" s="2" t="s">
        <v>50</v>
      </c>
      <c r="H302" s="3">
        <v>2800</v>
      </c>
      <c r="I302" s="3">
        <v>129282</v>
      </c>
      <c r="J302" s="3">
        <f t="shared" si="4"/>
        <v>361989600</v>
      </c>
      <c r="K302" s="3">
        <v>158625707</v>
      </c>
      <c r="L302" s="3">
        <v>11290457</v>
      </c>
    </row>
    <row r="303" spans="1:12" x14ac:dyDescent="0.3">
      <c r="A303" s="2" t="s">
        <v>366</v>
      </c>
      <c r="B303" s="2" t="str">
        <f>LEFT(Table1[[#This Row],[تاریخ]],4)</f>
        <v>1401</v>
      </c>
      <c r="C303" s="2" t="s">
        <v>3</v>
      </c>
      <c r="D303" s="2" t="s">
        <v>5</v>
      </c>
      <c r="E303" s="2" t="s">
        <v>75</v>
      </c>
      <c r="F303" s="2" t="s">
        <v>30</v>
      </c>
      <c r="G303" s="2" t="s">
        <v>31</v>
      </c>
      <c r="H303" s="3">
        <v>1995</v>
      </c>
      <c r="I303" s="3">
        <v>95604</v>
      </c>
      <c r="J303" s="3">
        <f t="shared" si="4"/>
        <v>190729980</v>
      </c>
      <c r="K303" s="3">
        <v>84998518</v>
      </c>
      <c r="L303" s="3">
        <v>12622172</v>
      </c>
    </row>
    <row r="304" spans="1:12" x14ac:dyDescent="0.3">
      <c r="A304" s="2" t="s">
        <v>367</v>
      </c>
      <c r="B304" s="2" t="str">
        <f>LEFT(Table1[[#This Row],[تاریخ]],4)</f>
        <v>1401</v>
      </c>
      <c r="C304" s="2" t="s">
        <v>3</v>
      </c>
      <c r="D304" s="2" t="s">
        <v>5</v>
      </c>
      <c r="E304" s="2" t="s">
        <v>44</v>
      </c>
      <c r="F304" s="2" t="s">
        <v>33</v>
      </c>
      <c r="G304" s="2" t="s">
        <v>34</v>
      </c>
      <c r="H304" s="3">
        <v>3290</v>
      </c>
      <c r="I304" s="3">
        <v>131704</v>
      </c>
      <c r="J304" s="3">
        <f t="shared" si="4"/>
        <v>433306160</v>
      </c>
      <c r="K304" s="3">
        <v>109946539</v>
      </c>
      <c r="L304" s="3">
        <v>61278926</v>
      </c>
    </row>
    <row r="305" spans="1:12" x14ac:dyDescent="0.3">
      <c r="A305" s="2" t="s">
        <v>368</v>
      </c>
      <c r="B305" s="2" t="str">
        <f>LEFT(Table1[[#This Row],[تاریخ]],4)</f>
        <v>1401</v>
      </c>
      <c r="C305" s="2" t="s">
        <v>7</v>
      </c>
      <c r="D305" s="2" t="s">
        <v>6</v>
      </c>
      <c r="E305" s="2" t="s">
        <v>79</v>
      </c>
      <c r="F305" s="2" t="s">
        <v>37</v>
      </c>
      <c r="G305" s="2" t="s">
        <v>38</v>
      </c>
      <c r="H305" s="3">
        <v>3325</v>
      </c>
      <c r="I305" s="3">
        <v>146155</v>
      </c>
      <c r="J305" s="3">
        <f t="shared" si="4"/>
        <v>485965375</v>
      </c>
      <c r="K305" s="3">
        <v>230912486</v>
      </c>
      <c r="L305" s="3">
        <v>99180979</v>
      </c>
    </row>
    <row r="306" spans="1:12" x14ac:dyDescent="0.3">
      <c r="A306" s="2" t="s">
        <v>369</v>
      </c>
      <c r="B306" s="2" t="str">
        <f>LEFT(Table1[[#This Row],[تاریخ]],4)</f>
        <v>1401</v>
      </c>
      <c r="C306" s="2" t="s">
        <v>7</v>
      </c>
      <c r="D306" s="2" t="s">
        <v>6</v>
      </c>
      <c r="E306" s="2" t="s">
        <v>81</v>
      </c>
      <c r="F306" s="2" t="s">
        <v>41</v>
      </c>
      <c r="G306" s="2" t="s">
        <v>42</v>
      </c>
      <c r="H306" s="3">
        <v>2730</v>
      </c>
      <c r="I306" s="3">
        <v>85072</v>
      </c>
      <c r="J306" s="3">
        <f t="shared" si="4"/>
        <v>232246560</v>
      </c>
      <c r="K306" s="3">
        <v>19389698</v>
      </c>
      <c r="L306" s="3">
        <v>9434626</v>
      </c>
    </row>
    <row r="307" spans="1:12" x14ac:dyDescent="0.3">
      <c r="A307" s="2" t="s">
        <v>370</v>
      </c>
      <c r="B307" s="2" t="str">
        <f>LEFT(Table1[[#This Row],[تاریخ]],4)</f>
        <v>1401</v>
      </c>
      <c r="C307" s="2" t="s">
        <v>7</v>
      </c>
      <c r="D307" s="2" t="s">
        <v>6</v>
      </c>
      <c r="E307" s="2" t="s">
        <v>83</v>
      </c>
      <c r="F307" s="2" t="s">
        <v>45</v>
      </c>
      <c r="G307" s="2" t="s">
        <v>46</v>
      </c>
      <c r="H307" s="3">
        <v>2940</v>
      </c>
      <c r="I307" s="3">
        <v>60117</v>
      </c>
      <c r="J307" s="3">
        <f t="shared" si="4"/>
        <v>176743980</v>
      </c>
      <c r="K307" s="3">
        <v>122097085</v>
      </c>
      <c r="L307" s="3">
        <v>24322626</v>
      </c>
    </row>
    <row r="308" spans="1:12" x14ac:dyDescent="0.3">
      <c r="A308" s="2" t="s">
        <v>371</v>
      </c>
      <c r="B308" s="2" t="str">
        <f>LEFT(Table1[[#This Row],[تاریخ]],4)</f>
        <v>1401</v>
      </c>
      <c r="C308" s="2" t="s">
        <v>7</v>
      </c>
      <c r="D308" s="2" t="s">
        <v>6</v>
      </c>
      <c r="E308" s="2" t="s">
        <v>85</v>
      </c>
      <c r="F308" s="2" t="s">
        <v>49</v>
      </c>
      <c r="G308" s="2" t="s">
        <v>46</v>
      </c>
      <c r="H308" s="3">
        <v>2870</v>
      </c>
      <c r="I308" s="3">
        <v>132101</v>
      </c>
      <c r="J308" s="3">
        <f t="shared" si="4"/>
        <v>379129870</v>
      </c>
      <c r="K308" s="3">
        <v>76330450</v>
      </c>
      <c r="L308" s="3">
        <v>13437199</v>
      </c>
    </row>
    <row r="309" spans="1:12" x14ac:dyDescent="0.3">
      <c r="A309" s="2" t="s">
        <v>372</v>
      </c>
      <c r="B309" s="2" t="str">
        <f>LEFT(Table1[[#This Row],[تاریخ]],4)</f>
        <v>1401</v>
      </c>
      <c r="C309" s="2" t="s">
        <v>7</v>
      </c>
      <c r="D309" s="2" t="s">
        <v>6</v>
      </c>
      <c r="E309" s="2" t="s">
        <v>61</v>
      </c>
      <c r="F309" s="2" t="s">
        <v>53</v>
      </c>
      <c r="G309" s="2" t="s">
        <v>50</v>
      </c>
      <c r="H309" s="3">
        <v>1890</v>
      </c>
      <c r="I309" s="3">
        <v>73109</v>
      </c>
      <c r="J309" s="3">
        <f t="shared" si="4"/>
        <v>138176010</v>
      </c>
      <c r="K309" s="3">
        <v>103448729</v>
      </c>
      <c r="L309" s="3">
        <v>18926763</v>
      </c>
    </row>
    <row r="310" spans="1:12" x14ac:dyDescent="0.3">
      <c r="A310" s="2" t="s">
        <v>373</v>
      </c>
      <c r="B310" s="2" t="str">
        <f>LEFT(Table1[[#This Row],[تاریخ]],4)</f>
        <v>1401</v>
      </c>
      <c r="C310" s="2" t="s">
        <v>7</v>
      </c>
      <c r="D310" s="2" t="s">
        <v>6</v>
      </c>
      <c r="E310" s="2" t="s">
        <v>64</v>
      </c>
      <c r="F310" s="2" t="s">
        <v>56</v>
      </c>
      <c r="G310" s="2" t="s">
        <v>31</v>
      </c>
      <c r="H310" s="3">
        <v>1855</v>
      </c>
      <c r="I310" s="3">
        <v>51868</v>
      </c>
      <c r="J310" s="3">
        <f t="shared" si="4"/>
        <v>96215140</v>
      </c>
      <c r="K310" s="3">
        <v>5424116</v>
      </c>
      <c r="L310" s="3">
        <v>9370840</v>
      </c>
    </row>
    <row r="311" spans="1:12" x14ac:dyDescent="0.3">
      <c r="A311" s="2" t="s">
        <v>374</v>
      </c>
      <c r="B311" s="2" t="str">
        <f>LEFT(Table1[[#This Row],[تاریخ]],4)</f>
        <v>1401</v>
      </c>
      <c r="C311" s="2" t="s">
        <v>7</v>
      </c>
      <c r="D311" s="2" t="s">
        <v>8</v>
      </c>
      <c r="E311" s="2" t="s">
        <v>29</v>
      </c>
      <c r="F311" s="2" t="s">
        <v>59</v>
      </c>
      <c r="G311" s="2" t="s">
        <v>34</v>
      </c>
      <c r="H311" s="3">
        <v>3220</v>
      </c>
      <c r="I311" s="3">
        <v>105848</v>
      </c>
      <c r="J311" s="3">
        <f t="shared" si="4"/>
        <v>340830560</v>
      </c>
      <c r="K311" s="3">
        <v>141048580</v>
      </c>
      <c r="L311" s="3">
        <v>72207980</v>
      </c>
    </row>
    <row r="312" spans="1:12" x14ac:dyDescent="0.3">
      <c r="A312" s="2" t="s">
        <v>375</v>
      </c>
      <c r="B312" s="2" t="str">
        <f>LEFT(Table1[[#This Row],[تاریخ]],4)</f>
        <v>1401</v>
      </c>
      <c r="C312" s="2" t="s">
        <v>7</v>
      </c>
      <c r="D312" s="2" t="s">
        <v>8</v>
      </c>
      <c r="E312" s="2" t="s">
        <v>69</v>
      </c>
      <c r="F312" s="2" t="s">
        <v>62</v>
      </c>
      <c r="G312" s="2" t="s">
        <v>38</v>
      </c>
      <c r="H312" s="3">
        <v>1785</v>
      </c>
      <c r="I312" s="3">
        <v>59121</v>
      </c>
      <c r="J312" s="3">
        <f t="shared" si="4"/>
        <v>105530985</v>
      </c>
      <c r="K312" s="3">
        <v>94035533</v>
      </c>
      <c r="L312" s="3">
        <v>13822359</v>
      </c>
    </row>
    <row r="313" spans="1:12" x14ac:dyDescent="0.3">
      <c r="A313" s="2" t="s">
        <v>376</v>
      </c>
      <c r="B313" s="2" t="str">
        <f>LEFT(Table1[[#This Row],[تاریخ]],4)</f>
        <v>1401</v>
      </c>
      <c r="C313" s="2" t="s">
        <v>7</v>
      </c>
      <c r="D313" s="2" t="s">
        <v>8</v>
      </c>
      <c r="E313" s="2" t="s">
        <v>72</v>
      </c>
      <c r="F313" s="2" t="s">
        <v>65</v>
      </c>
      <c r="G313" s="2" t="s">
        <v>42</v>
      </c>
      <c r="H313" s="3">
        <v>1820</v>
      </c>
      <c r="I313" s="3">
        <v>131583</v>
      </c>
      <c r="J313" s="3">
        <f t="shared" si="4"/>
        <v>239481060</v>
      </c>
      <c r="K313" s="3">
        <v>134251512</v>
      </c>
      <c r="L313" s="3">
        <v>15554335</v>
      </c>
    </row>
    <row r="314" spans="1:12" x14ac:dyDescent="0.3">
      <c r="A314" s="2" t="s">
        <v>377</v>
      </c>
      <c r="B314" s="2" t="str">
        <f>LEFT(Table1[[#This Row],[تاریخ]],4)</f>
        <v>1401</v>
      </c>
      <c r="C314" s="2" t="s">
        <v>7</v>
      </c>
      <c r="D314" s="2" t="s">
        <v>8</v>
      </c>
      <c r="E314" s="2" t="s">
        <v>75</v>
      </c>
      <c r="F314" s="2" t="s">
        <v>67</v>
      </c>
      <c r="G314" s="2" t="s">
        <v>46</v>
      </c>
      <c r="H314" s="3">
        <v>2555</v>
      </c>
      <c r="I314" s="3">
        <v>130569</v>
      </c>
      <c r="J314" s="3">
        <f t="shared" si="4"/>
        <v>333603795</v>
      </c>
      <c r="K314" s="3">
        <v>331945081</v>
      </c>
      <c r="L314" s="3">
        <v>77322643</v>
      </c>
    </row>
    <row r="315" spans="1:12" x14ac:dyDescent="0.3">
      <c r="A315" s="2" t="s">
        <v>378</v>
      </c>
      <c r="B315" s="2" t="str">
        <f>LEFT(Table1[[#This Row],[تاریخ]],4)</f>
        <v>1401</v>
      </c>
      <c r="C315" s="2" t="s">
        <v>7</v>
      </c>
      <c r="D315" s="2" t="s">
        <v>8</v>
      </c>
      <c r="E315" s="2" t="s">
        <v>44</v>
      </c>
      <c r="F315" s="2" t="s">
        <v>70</v>
      </c>
      <c r="G315" s="2" t="s">
        <v>46</v>
      </c>
      <c r="H315" s="3">
        <v>3570</v>
      </c>
      <c r="I315" s="3">
        <v>96190</v>
      </c>
      <c r="J315" s="3">
        <f t="shared" si="4"/>
        <v>343398300</v>
      </c>
      <c r="K315" s="3">
        <v>99934001</v>
      </c>
      <c r="L315" s="3">
        <v>64140599</v>
      </c>
    </row>
    <row r="316" spans="1:12" x14ac:dyDescent="0.3">
      <c r="A316" s="2" t="s">
        <v>379</v>
      </c>
      <c r="B316" s="2" t="str">
        <f>LEFT(Table1[[#This Row],[تاریخ]],4)</f>
        <v>1401</v>
      </c>
      <c r="C316" s="2" t="s">
        <v>7</v>
      </c>
      <c r="D316" s="2" t="s">
        <v>8</v>
      </c>
      <c r="E316" s="2" t="s">
        <v>79</v>
      </c>
      <c r="F316" s="2" t="s">
        <v>73</v>
      </c>
      <c r="G316" s="2" t="s">
        <v>50</v>
      </c>
      <c r="H316" s="3">
        <v>2870</v>
      </c>
      <c r="I316" s="3">
        <v>149605</v>
      </c>
      <c r="J316" s="3">
        <f t="shared" si="4"/>
        <v>429366350</v>
      </c>
      <c r="K316" s="3">
        <v>169428543</v>
      </c>
      <c r="L316" s="3">
        <v>4240125</v>
      </c>
    </row>
    <row r="317" spans="1:12" x14ac:dyDescent="0.3">
      <c r="A317" s="2" t="s">
        <v>380</v>
      </c>
      <c r="B317" s="2" t="str">
        <f>LEFT(Table1[[#This Row],[تاریخ]],4)</f>
        <v>1401</v>
      </c>
      <c r="C317" s="2" t="s">
        <v>7</v>
      </c>
      <c r="D317" s="2" t="s">
        <v>9</v>
      </c>
      <c r="E317" s="2" t="s">
        <v>81</v>
      </c>
      <c r="F317" s="2" t="s">
        <v>76</v>
      </c>
      <c r="G317" s="2" t="s">
        <v>31</v>
      </c>
      <c r="H317" s="3">
        <v>2065</v>
      </c>
      <c r="I317" s="3">
        <v>72400</v>
      </c>
      <c r="J317" s="3">
        <f t="shared" si="4"/>
        <v>149506000</v>
      </c>
      <c r="K317" s="3">
        <v>140850048</v>
      </c>
      <c r="L317" s="3">
        <v>27435267</v>
      </c>
    </row>
    <row r="318" spans="1:12" x14ac:dyDescent="0.3">
      <c r="A318" s="2" t="s">
        <v>381</v>
      </c>
      <c r="B318" s="2" t="str">
        <f>LEFT(Table1[[#This Row],[تاریخ]],4)</f>
        <v>1401</v>
      </c>
      <c r="C318" s="2" t="s">
        <v>7</v>
      </c>
      <c r="D318" s="2" t="s">
        <v>9</v>
      </c>
      <c r="E318" s="2" t="s">
        <v>83</v>
      </c>
      <c r="F318" s="2" t="s">
        <v>30</v>
      </c>
      <c r="G318" s="2" t="s">
        <v>34</v>
      </c>
      <c r="H318" s="3">
        <v>1925</v>
      </c>
      <c r="I318" s="3">
        <v>128939</v>
      </c>
      <c r="J318" s="3">
        <f t="shared" si="4"/>
        <v>248207575</v>
      </c>
      <c r="K318" s="3">
        <v>67080140</v>
      </c>
      <c r="L318" s="3">
        <v>23476790</v>
      </c>
    </row>
    <row r="319" spans="1:12" x14ac:dyDescent="0.3">
      <c r="A319" s="2" t="s">
        <v>382</v>
      </c>
      <c r="B319" s="2" t="str">
        <f>LEFT(Table1[[#This Row],[تاریخ]],4)</f>
        <v>1401</v>
      </c>
      <c r="C319" s="2" t="s">
        <v>7</v>
      </c>
      <c r="D319" s="2" t="s">
        <v>9</v>
      </c>
      <c r="E319" s="2" t="s">
        <v>85</v>
      </c>
      <c r="F319" s="2" t="s">
        <v>33</v>
      </c>
      <c r="G319" s="2" t="s">
        <v>38</v>
      </c>
      <c r="H319" s="3">
        <v>2975</v>
      </c>
      <c r="I319" s="3">
        <v>52821</v>
      </c>
      <c r="J319" s="3">
        <f t="shared" si="4"/>
        <v>157142475</v>
      </c>
      <c r="K319" s="3">
        <v>83775874</v>
      </c>
      <c r="L319" s="3">
        <v>21051191</v>
      </c>
    </row>
    <row r="320" spans="1:12" x14ac:dyDescent="0.3">
      <c r="A320" s="2" t="s">
        <v>383</v>
      </c>
      <c r="B320" s="2" t="str">
        <f>LEFT(Table1[[#This Row],[تاریخ]],4)</f>
        <v>1401</v>
      </c>
      <c r="C320" s="2" t="s">
        <v>7</v>
      </c>
      <c r="D320" s="2" t="s">
        <v>9</v>
      </c>
      <c r="E320" s="2" t="s">
        <v>61</v>
      </c>
      <c r="F320" s="2" t="s">
        <v>37</v>
      </c>
      <c r="G320" s="2" t="s">
        <v>42</v>
      </c>
      <c r="H320" s="3">
        <v>2870</v>
      </c>
      <c r="I320" s="3">
        <v>112061</v>
      </c>
      <c r="J320" s="3">
        <f t="shared" si="4"/>
        <v>321615070</v>
      </c>
      <c r="K320" s="3">
        <v>313843744</v>
      </c>
      <c r="L320" s="3">
        <v>83542064</v>
      </c>
    </row>
    <row r="321" spans="1:12" x14ac:dyDescent="0.3">
      <c r="A321" s="2" t="s">
        <v>384</v>
      </c>
      <c r="B321" s="2" t="str">
        <f>LEFT(Table1[[#This Row],[تاریخ]],4)</f>
        <v>1401</v>
      </c>
      <c r="C321" s="2" t="s">
        <v>7</v>
      </c>
      <c r="D321" s="2" t="s">
        <v>9</v>
      </c>
      <c r="E321" s="2" t="s">
        <v>64</v>
      </c>
      <c r="F321" s="2" t="s">
        <v>41</v>
      </c>
      <c r="G321" s="2" t="s">
        <v>46</v>
      </c>
      <c r="H321" s="3">
        <v>2660</v>
      </c>
      <c r="I321" s="3">
        <v>72128</v>
      </c>
      <c r="J321" s="3">
        <f t="shared" si="4"/>
        <v>191860480</v>
      </c>
      <c r="K321" s="3">
        <v>186658571</v>
      </c>
      <c r="L321" s="3">
        <v>11008518</v>
      </c>
    </row>
    <row r="322" spans="1:12" x14ac:dyDescent="0.3">
      <c r="A322" s="2" t="s">
        <v>385</v>
      </c>
      <c r="B322" s="2" t="str">
        <f>LEFT(Table1[[#This Row],[تاریخ]],4)</f>
        <v>1401</v>
      </c>
      <c r="C322" s="2" t="s">
        <v>7</v>
      </c>
      <c r="D322" s="2" t="s">
        <v>9</v>
      </c>
      <c r="E322" s="2" t="s">
        <v>29</v>
      </c>
      <c r="F322" s="2" t="s">
        <v>45</v>
      </c>
      <c r="G322" s="2" t="s">
        <v>46</v>
      </c>
      <c r="H322" s="3">
        <v>3150</v>
      </c>
      <c r="I322" s="3">
        <v>97968</v>
      </c>
      <c r="J322" s="3">
        <f t="shared" si="4"/>
        <v>308599200</v>
      </c>
      <c r="K322" s="3">
        <v>29318966</v>
      </c>
      <c r="L322" s="3">
        <v>24380223</v>
      </c>
    </row>
    <row r="323" spans="1:12" x14ac:dyDescent="0.3">
      <c r="A323" s="2" t="s">
        <v>386</v>
      </c>
      <c r="B323" s="2" t="str">
        <f>LEFT(Table1[[#This Row],[تاریخ]],4)</f>
        <v>1401</v>
      </c>
      <c r="C323" s="2" t="s">
        <v>7</v>
      </c>
      <c r="D323" s="2" t="s">
        <v>9</v>
      </c>
      <c r="E323" s="2" t="s">
        <v>69</v>
      </c>
      <c r="F323" s="2" t="s">
        <v>49</v>
      </c>
      <c r="G323" s="2" t="s">
        <v>50</v>
      </c>
      <c r="H323" s="3">
        <v>3220</v>
      </c>
      <c r="I323" s="3">
        <v>146921</v>
      </c>
      <c r="J323" s="3">
        <f t="shared" si="4"/>
        <v>473085620</v>
      </c>
      <c r="K323" s="3">
        <v>393009358</v>
      </c>
      <c r="L323" s="3">
        <v>72308950</v>
      </c>
    </row>
    <row r="324" spans="1:12" x14ac:dyDescent="0.3">
      <c r="A324" s="2" t="s">
        <v>387</v>
      </c>
      <c r="B324" s="2" t="str">
        <f>LEFT(Table1[[#This Row],[تاریخ]],4)</f>
        <v>1401</v>
      </c>
      <c r="C324" s="2" t="s">
        <v>11</v>
      </c>
      <c r="D324" s="2" t="s">
        <v>10</v>
      </c>
      <c r="E324" s="2" t="s">
        <v>72</v>
      </c>
      <c r="F324" s="2" t="s">
        <v>53</v>
      </c>
      <c r="G324" s="2" t="s">
        <v>31</v>
      </c>
      <c r="H324" s="3">
        <v>2380</v>
      </c>
      <c r="I324" s="3">
        <v>83001</v>
      </c>
      <c r="J324" s="3">
        <f t="shared" ref="J324:J387" si="5">I324*H324</f>
        <v>197542380</v>
      </c>
      <c r="K324" s="3">
        <v>155059170</v>
      </c>
      <c r="L324" s="3">
        <v>11116562</v>
      </c>
    </row>
    <row r="325" spans="1:12" x14ac:dyDescent="0.3">
      <c r="A325" s="2" t="s">
        <v>388</v>
      </c>
      <c r="B325" s="2" t="str">
        <f>LEFT(Table1[[#This Row],[تاریخ]],4)</f>
        <v>1401</v>
      </c>
      <c r="C325" s="2" t="s">
        <v>11</v>
      </c>
      <c r="D325" s="2" t="s">
        <v>10</v>
      </c>
      <c r="E325" s="2" t="s">
        <v>75</v>
      </c>
      <c r="F325" s="2" t="s">
        <v>56</v>
      </c>
      <c r="G325" s="2" t="s">
        <v>34</v>
      </c>
      <c r="H325" s="3">
        <v>2485</v>
      </c>
      <c r="I325" s="3">
        <v>117670</v>
      </c>
      <c r="J325" s="3">
        <f t="shared" si="5"/>
        <v>292409950</v>
      </c>
      <c r="K325" s="3">
        <v>65043265</v>
      </c>
      <c r="L325" s="3">
        <v>75784167</v>
      </c>
    </row>
    <row r="326" spans="1:12" x14ac:dyDescent="0.3">
      <c r="A326" s="2" t="s">
        <v>389</v>
      </c>
      <c r="B326" s="2" t="str">
        <f>LEFT(Table1[[#This Row],[تاریخ]],4)</f>
        <v>1401</v>
      </c>
      <c r="C326" s="2" t="s">
        <v>11</v>
      </c>
      <c r="D326" s="2" t="s">
        <v>10</v>
      </c>
      <c r="E326" s="2" t="s">
        <v>44</v>
      </c>
      <c r="F326" s="2" t="s">
        <v>59</v>
      </c>
      <c r="G326" s="2" t="s">
        <v>38</v>
      </c>
      <c r="H326" s="3">
        <v>3360</v>
      </c>
      <c r="I326" s="3">
        <v>62675</v>
      </c>
      <c r="J326" s="3">
        <f t="shared" si="5"/>
        <v>210588000</v>
      </c>
      <c r="K326" s="3">
        <v>77480827</v>
      </c>
      <c r="L326" s="3">
        <v>47737603</v>
      </c>
    </row>
    <row r="327" spans="1:12" x14ac:dyDescent="0.3">
      <c r="A327" s="2" t="s">
        <v>390</v>
      </c>
      <c r="B327" s="2" t="str">
        <f>LEFT(Table1[[#This Row],[تاریخ]],4)</f>
        <v>1401</v>
      </c>
      <c r="C327" s="2" t="s">
        <v>11</v>
      </c>
      <c r="D327" s="2" t="s">
        <v>10</v>
      </c>
      <c r="E327" s="2" t="s">
        <v>79</v>
      </c>
      <c r="F327" s="2" t="s">
        <v>62</v>
      </c>
      <c r="G327" s="2" t="s">
        <v>42</v>
      </c>
      <c r="H327" s="3">
        <v>2275</v>
      </c>
      <c r="I327" s="3">
        <v>145778</v>
      </c>
      <c r="J327" s="3">
        <f t="shared" si="5"/>
        <v>331644950</v>
      </c>
      <c r="K327" s="3">
        <v>257351971</v>
      </c>
      <c r="L327" s="3">
        <v>15743743</v>
      </c>
    </row>
    <row r="328" spans="1:12" x14ac:dyDescent="0.3">
      <c r="A328" s="2" t="s">
        <v>391</v>
      </c>
      <c r="B328" s="2" t="str">
        <f>LEFT(Table1[[#This Row],[تاریخ]],4)</f>
        <v>1401</v>
      </c>
      <c r="C328" s="2" t="s">
        <v>11</v>
      </c>
      <c r="D328" s="2" t="s">
        <v>10</v>
      </c>
      <c r="E328" s="2" t="s">
        <v>81</v>
      </c>
      <c r="F328" s="2" t="s">
        <v>65</v>
      </c>
      <c r="G328" s="2" t="s">
        <v>46</v>
      </c>
      <c r="H328" s="3">
        <v>1925</v>
      </c>
      <c r="I328" s="3">
        <v>77717</v>
      </c>
      <c r="J328" s="3">
        <f t="shared" si="5"/>
        <v>149605225</v>
      </c>
      <c r="K328" s="3">
        <v>28545658</v>
      </c>
      <c r="L328" s="3">
        <v>11142530</v>
      </c>
    </row>
    <row r="329" spans="1:12" x14ac:dyDescent="0.3">
      <c r="A329" s="2" t="s">
        <v>392</v>
      </c>
      <c r="B329" s="2" t="str">
        <f>LEFT(Table1[[#This Row],[تاریخ]],4)</f>
        <v>1401</v>
      </c>
      <c r="C329" s="2" t="s">
        <v>11</v>
      </c>
      <c r="D329" s="2" t="s">
        <v>10</v>
      </c>
      <c r="E329" s="2" t="s">
        <v>83</v>
      </c>
      <c r="F329" s="2" t="s">
        <v>67</v>
      </c>
      <c r="G329" s="2" t="s">
        <v>46</v>
      </c>
      <c r="H329" s="3">
        <v>3570</v>
      </c>
      <c r="I329" s="3">
        <v>145324</v>
      </c>
      <c r="J329" s="3">
        <f t="shared" si="5"/>
        <v>518806680</v>
      </c>
      <c r="K329" s="3">
        <v>83997177</v>
      </c>
      <c r="L329" s="3">
        <v>123534210</v>
      </c>
    </row>
    <row r="330" spans="1:12" x14ac:dyDescent="0.3">
      <c r="A330" s="2" t="s">
        <v>393</v>
      </c>
      <c r="B330" s="2" t="str">
        <f>LEFT(Table1[[#This Row],[تاریخ]],4)</f>
        <v>1401</v>
      </c>
      <c r="C330" s="2" t="s">
        <v>11</v>
      </c>
      <c r="D330" s="2" t="s">
        <v>12</v>
      </c>
      <c r="E330" s="2" t="s">
        <v>85</v>
      </c>
      <c r="F330" s="2" t="s">
        <v>70</v>
      </c>
      <c r="G330" s="2" t="s">
        <v>50</v>
      </c>
      <c r="H330" s="3">
        <v>1855</v>
      </c>
      <c r="I330" s="3">
        <v>131974</v>
      </c>
      <c r="J330" s="3">
        <f t="shared" si="5"/>
        <v>244811770</v>
      </c>
      <c r="K330" s="3">
        <v>148864532</v>
      </c>
      <c r="L330" s="3">
        <v>57209923</v>
      </c>
    </row>
    <row r="331" spans="1:12" x14ac:dyDescent="0.3">
      <c r="A331" s="2" t="s">
        <v>394</v>
      </c>
      <c r="B331" s="2" t="str">
        <f>LEFT(Table1[[#This Row],[تاریخ]],4)</f>
        <v>1401</v>
      </c>
      <c r="C331" s="2" t="s">
        <v>11</v>
      </c>
      <c r="D331" s="2" t="s">
        <v>12</v>
      </c>
      <c r="E331" s="2" t="s">
        <v>61</v>
      </c>
      <c r="F331" s="2" t="s">
        <v>73</v>
      </c>
      <c r="G331" s="2" t="s">
        <v>31</v>
      </c>
      <c r="H331" s="3">
        <v>2345</v>
      </c>
      <c r="I331" s="3">
        <v>126480</v>
      </c>
      <c r="J331" s="3">
        <f t="shared" si="5"/>
        <v>296595600</v>
      </c>
      <c r="K331" s="3">
        <v>99348601</v>
      </c>
      <c r="L331" s="3">
        <v>524151</v>
      </c>
    </row>
    <row r="332" spans="1:12" x14ac:dyDescent="0.3">
      <c r="A332" s="2" t="s">
        <v>395</v>
      </c>
      <c r="B332" s="2" t="str">
        <f>LEFT(Table1[[#This Row],[تاریخ]],4)</f>
        <v>1401</v>
      </c>
      <c r="C332" s="2" t="s">
        <v>11</v>
      </c>
      <c r="D332" s="2" t="s">
        <v>12</v>
      </c>
      <c r="E332" s="2" t="s">
        <v>64</v>
      </c>
      <c r="F332" s="2" t="s">
        <v>76</v>
      </c>
      <c r="G332" s="2" t="s">
        <v>34</v>
      </c>
      <c r="H332" s="3">
        <v>3325</v>
      </c>
      <c r="I332" s="3">
        <v>104705</v>
      </c>
      <c r="J332" s="3">
        <f t="shared" si="5"/>
        <v>348144125</v>
      </c>
      <c r="K332" s="3">
        <v>62291786</v>
      </c>
      <c r="L332" s="3">
        <v>13062663</v>
      </c>
    </row>
    <row r="333" spans="1:12" x14ac:dyDescent="0.3">
      <c r="A333" s="2" t="s">
        <v>396</v>
      </c>
      <c r="B333" s="2" t="str">
        <f>LEFT(Table1[[#This Row],[تاریخ]],4)</f>
        <v>1401</v>
      </c>
      <c r="C333" s="2" t="s">
        <v>11</v>
      </c>
      <c r="D333" s="2" t="s">
        <v>12</v>
      </c>
      <c r="E333" s="2" t="s">
        <v>29</v>
      </c>
      <c r="F333" s="2" t="s">
        <v>30</v>
      </c>
      <c r="G333" s="2" t="s">
        <v>38</v>
      </c>
      <c r="H333" s="3">
        <v>3220</v>
      </c>
      <c r="I333" s="3">
        <v>79538</v>
      </c>
      <c r="J333" s="3">
        <f t="shared" si="5"/>
        <v>256112360</v>
      </c>
      <c r="K333" s="3">
        <v>16819805</v>
      </c>
      <c r="L333" s="3">
        <v>22982376</v>
      </c>
    </row>
    <row r="334" spans="1:12" x14ac:dyDescent="0.3">
      <c r="A334" s="2" t="s">
        <v>397</v>
      </c>
      <c r="B334" s="2" t="str">
        <f>LEFT(Table1[[#This Row],[تاریخ]],4)</f>
        <v>1401</v>
      </c>
      <c r="C334" s="2" t="s">
        <v>11</v>
      </c>
      <c r="D334" s="2" t="s">
        <v>12</v>
      </c>
      <c r="E334" s="2" t="s">
        <v>69</v>
      </c>
      <c r="F334" s="2" t="s">
        <v>33</v>
      </c>
      <c r="G334" s="2" t="s">
        <v>42</v>
      </c>
      <c r="H334" s="3">
        <v>3640</v>
      </c>
      <c r="I334" s="3">
        <v>90043</v>
      </c>
      <c r="J334" s="3">
        <f t="shared" si="5"/>
        <v>327756520</v>
      </c>
      <c r="K334" s="3">
        <v>249795702</v>
      </c>
      <c r="L334" s="3">
        <v>85318816</v>
      </c>
    </row>
    <row r="335" spans="1:12" x14ac:dyDescent="0.3">
      <c r="A335" s="2" t="s">
        <v>398</v>
      </c>
      <c r="B335" s="2" t="str">
        <f>LEFT(Table1[[#This Row],[تاریخ]],4)</f>
        <v>1401</v>
      </c>
      <c r="C335" s="2" t="s">
        <v>11</v>
      </c>
      <c r="D335" s="2" t="s">
        <v>12</v>
      </c>
      <c r="E335" s="2" t="s">
        <v>72</v>
      </c>
      <c r="F335" s="2" t="s">
        <v>37</v>
      </c>
      <c r="G335" s="2" t="s">
        <v>46</v>
      </c>
      <c r="H335" s="3">
        <v>3150</v>
      </c>
      <c r="I335" s="3">
        <v>98158</v>
      </c>
      <c r="J335" s="3">
        <f t="shared" si="5"/>
        <v>309197700</v>
      </c>
      <c r="K335" s="3">
        <v>70411359</v>
      </c>
      <c r="L335" s="3">
        <v>11712523</v>
      </c>
    </row>
    <row r="336" spans="1:12" x14ac:dyDescent="0.3">
      <c r="A336" s="2" t="s">
        <v>399</v>
      </c>
      <c r="B336" s="2" t="str">
        <f>LEFT(Table1[[#This Row],[تاریخ]],4)</f>
        <v>1401</v>
      </c>
      <c r="C336" s="2" t="s">
        <v>11</v>
      </c>
      <c r="D336" s="2" t="s">
        <v>13</v>
      </c>
      <c r="E336" s="2" t="s">
        <v>75</v>
      </c>
      <c r="F336" s="2" t="s">
        <v>41</v>
      </c>
      <c r="G336" s="2" t="s">
        <v>46</v>
      </c>
      <c r="H336" s="3">
        <v>3850</v>
      </c>
      <c r="I336" s="3">
        <v>97013</v>
      </c>
      <c r="J336" s="3">
        <f t="shared" si="5"/>
        <v>373500050</v>
      </c>
      <c r="K336" s="3">
        <v>265801683</v>
      </c>
      <c r="L336" s="3">
        <v>61934841</v>
      </c>
    </row>
    <row r="337" spans="1:12" x14ac:dyDescent="0.3">
      <c r="A337" s="2" t="s">
        <v>400</v>
      </c>
      <c r="B337" s="2" t="str">
        <f>LEFT(Table1[[#This Row],[تاریخ]],4)</f>
        <v>1401</v>
      </c>
      <c r="C337" s="2" t="s">
        <v>11</v>
      </c>
      <c r="D337" s="2" t="s">
        <v>13</v>
      </c>
      <c r="E337" s="2" t="s">
        <v>44</v>
      </c>
      <c r="F337" s="2" t="s">
        <v>45</v>
      </c>
      <c r="G337" s="2" t="s">
        <v>50</v>
      </c>
      <c r="H337" s="3">
        <v>2555</v>
      </c>
      <c r="I337" s="3">
        <v>70647</v>
      </c>
      <c r="J337" s="3">
        <f t="shared" si="5"/>
        <v>180503085</v>
      </c>
      <c r="K337" s="3">
        <v>101070135</v>
      </c>
      <c r="L337" s="3">
        <v>25244047</v>
      </c>
    </row>
    <row r="338" spans="1:12" x14ac:dyDescent="0.3">
      <c r="A338" s="2" t="s">
        <v>401</v>
      </c>
      <c r="B338" s="2" t="str">
        <f>LEFT(Table1[[#This Row],[تاریخ]],4)</f>
        <v>1401</v>
      </c>
      <c r="C338" s="2" t="s">
        <v>11</v>
      </c>
      <c r="D338" s="2" t="s">
        <v>13</v>
      </c>
      <c r="E338" s="2" t="s">
        <v>79</v>
      </c>
      <c r="F338" s="2" t="s">
        <v>49</v>
      </c>
      <c r="G338" s="2" t="s">
        <v>31</v>
      </c>
      <c r="H338" s="3">
        <v>1855</v>
      </c>
      <c r="I338" s="3">
        <v>97578</v>
      </c>
      <c r="J338" s="3">
        <f t="shared" si="5"/>
        <v>181007190</v>
      </c>
      <c r="K338" s="3">
        <v>29444483</v>
      </c>
      <c r="L338" s="3">
        <v>15182130</v>
      </c>
    </row>
    <row r="339" spans="1:12" x14ac:dyDescent="0.3">
      <c r="A339" s="2" t="s">
        <v>402</v>
      </c>
      <c r="B339" s="2" t="str">
        <f>LEFT(Table1[[#This Row],[تاریخ]],4)</f>
        <v>1401</v>
      </c>
      <c r="C339" s="2" t="s">
        <v>11</v>
      </c>
      <c r="D339" s="2" t="s">
        <v>13</v>
      </c>
      <c r="E339" s="2" t="s">
        <v>81</v>
      </c>
      <c r="F339" s="2" t="s">
        <v>53</v>
      </c>
      <c r="G339" s="2" t="s">
        <v>34</v>
      </c>
      <c r="H339" s="3">
        <v>2555</v>
      </c>
      <c r="I339" s="3">
        <v>103567</v>
      </c>
      <c r="J339" s="3">
        <f t="shared" si="5"/>
        <v>264613685</v>
      </c>
      <c r="K339" s="3">
        <v>36898798</v>
      </c>
      <c r="L339" s="3">
        <v>78297131</v>
      </c>
    </row>
    <row r="340" spans="1:12" x14ac:dyDescent="0.3">
      <c r="A340" s="2" t="s">
        <v>403</v>
      </c>
      <c r="B340" s="2" t="str">
        <f>LEFT(Table1[[#This Row],[تاریخ]],4)</f>
        <v>1401</v>
      </c>
      <c r="C340" s="2" t="s">
        <v>11</v>
      </c>
      <c r="D340" s="2" t="s">
        <v>13</v>
      </c>
      <c r="E340" s="2" t="s">
        <v>83</v>
      </c>
      <c r="F340" s="2" t="s">
        <v>56</v>
      </c>
      <c r="G340" s="2" t="s">
        <v>38</v>
      </c>
      <c r="H340" s="3">
        <v>2520</v>
      </c>
      <c r="I340" s="3">
        <v>107231</v>
      </c>
      <c r="J340" s="3">
        <f t="shared" si="5"/>
        <v>270222120</v>
      </c>
      <c r="K340" s="3">
        <v>141072859</v>
      </c>
      <c r="L340" s="3">
        <v>67063621</v>
      </c>
    </row>
    <row r="341" spans="1:12" x14ac:dyDescent="0.3">
      <c r="A341" s="2" t="s">
        <v>404</v>
      </c>
      <c r="B341" s="2" t="str">
        <f>LEFT(Table1[[#This Row],[تاریخ]],4)</f>
        <v>1401</v>
      </c>
      <c r="C341" s="2" t="s">
        <v>11</v>
      </c>
      <c r="D341" s="2" t="s">
        <v>13</v>
      </c>
      <c r="E341" s="2" t="s">
        <v>85</v>
      </c>
      <c r="F341" s="2" t="s">
        <v>59</v>
      </c>
      <c r="G341" s="2" t="s">
        <v>42</v>
      </c>
      <c r="H341" s="3">
        <v>2835</v>
      </c>
      <c r="I341" s="3">
        <v>115512</v>
      </c>
      <c r="J341" s="3">
        <f t="shared" si="5"/>
        <v>327476520</v>
      </c>
      <c r="K341" s="3">
        <v>163335512</v>
      </c>
      <c r="L341" s="3">
        <v>55165701</v>
      </c>
    </row>
    <row r="342" spans="1:12" x14ac:dyDescent="0.3">
      <c r="A342" s="2" t="s">
        <v>405</v>
      </c>
      <c r="B342" s="2" t="str">
        <f>LEFT(Table1[[#This Row],[تاریخ]],4)</f>
        <v>1401</v>
      </c>
      <c r="C342" s="2" t="s">
        <v>15</v>
      </c>
      <c r="D342" s="2" t="s">
        <v>14</v>
      </c>
      <c r="E342" s="2" t="s">
        <v>61</v>
      </c>
      <c r="F342" s="2" t="s">
        <v>62</v>
      </c>
      <c r="G342" s="2" t="s">
        <v>46</v>
      </c>
      <c r="H342" s="3">
        <v>2800</v>
      </c>
      <c r="I342" s="3">
        <v>142125</v>
      </c>
      <c r="J342" s="3">
        <f t="shared" si="5"/>
        <v>397950000</v>
      </c>
      <c r="K342" s="3">
        <v>133613505</v>
      </c>
      <c r="L342" s="3">
        <v>34393248</v>
      </c>
    </row>
    <row r="343" spans="1:12" x14ac:dyDescent="0.3">
      <c r="A343" s="2" t="s">
        <v>406</v>
      </c>
      <c r="B343" s="2" t="str">
        <f>LEFT(Table1[[#This Row],[تاریخ]],4)</f>
        <v>1401</v>
      </c>
      <c r="C343" s="2" t="s">
        <v>15</v>
      </c>
      <c r="D343" s="2" t="s">
        <v>14</v>
      </c>
      <c r="E343" s="2" t="s">
        <v>64</v>
      </c>
      <c r="F343" s="2" t="s">
        <v>65</v>
      </c>
      <c r="G343" s="2" t="s">
        <v>46</v>
      </c>
      <c r="H343" s="3">
        <v>3500</v>
      </c>
      <c r="I343" s="3">
        <v>64162</v>
      </c>
      <c r="J343" s="3">
        <f t="shared" si="5"/>
        <v>224567000</v>
      </c>
      <c r="K343" s="3">
        <v>107449851</v>
      </c>
      <c r="L343" s="3">
        <v>5824653</v>
      </c>
    </row>
    <row r="344" spans="1:12" x14ac:dyDescent="0.3">
      <c r="A344" s="2" t="s">
        <v>407</v>
      </c>
      <c r="B344" s="2" t="str">
        <f>LEFT(Table1[[#This Row],[تاریخ]],4)</f>
        <v>1401</v>
      </c>
      <c r="C344" s="2" t="s">
        <v>15</v>
      </c>
      <c r="D344" s="2" t="s">
        <v>14</v>
      </c>
      <c r="E344" s="2" t="s">
        <v>29</v>
      </c>
      <c r="F344" s="2" t="s">
        <v>67</v>
      </c>
      <c r="G344" s="2" t="s">
        <v>50</v>
      </c>
      <c r="H344" s="3">
        <v>2450</v>
      </c>
      <c r="I344" s="3">
        <v>85713</v>
      </c>
      <c r="J344" s="3">
        <f t="shared" si="5"/>
        <v>209996850</v>
      </c>
      <c r="K344" s="3">
        <v>88243643</v>
      </c>
      <c r="L344" s="3">
        <v>40426662</v>
      </c>
    </row>
    <row r="345" spans="1:12" x14ac:dyDescent="0.3">
      <c r="A345" s="2" t="s">
        <v>408</v>
      </c>
      <c r="B345" s="2" t="str">
        <f>LEFT(Table1[[#This Row],[تاریخ]],4)</f>
        <v>1401</v>
      </c>
      <c r="C345" s="2" t="s">
        <v>15</v>
      </c>
      <c r="D345" s="2" t="s">
        <v>14</v>
      </c>
      <c r="E345" s="2" t="s">
        <v>69</v>
      </c>
      <c r="F345" s="2" t="s">
        <v>70</v>
      </c>
      <c r="G345" s="2" t="s">
        <v>31</v>
      </c>
      <c r="H345" s="3">
        <v>3745</v>
      </c>
      <c r="I345" s="3">
        <v>74959</v>
      </c>
      <c r="J345" s="3">
        <f t="shared" si="5"/>
        <v>280721455</v>
      </c>
      <c r="K345" s="3">
        <v>280084779</v>
      </c>
      <c r="L345" s="3">
        <v>33172047</v>
      </c>
    </row>
    <row r="346" spans="1:12" x14ac:dyDescent="0.3">
      <c r="A346" s="2" t="s">
        <v>409</v>
      </c>
      <c r="B346" s="2" t="str">
        <f>LEFT(Table1[[#This Row],[تاریخ]],4)</f>
        <v>1401</v>
      </c>
      <c r="C346" s="2" t="s">
        <v>15</v>
      </c>
      <c r="D346" s="2" t="s">
        <v>14</v>
      </c>
      <c r="E346" s="2" t="s">
        <v>72</v>
      </c>
      <c r="F346" s="2" t="s">
        <v>73</v>
      </c>
      <c r="G346" s="2" t="s">
        <v>34</v>
      </c>
      <c r="H346" s="3">
        <v>3325</v>
      </c>
      <c r="I346" s="3">
        <v>117590</v>
      </c>
      <c r="J346" s="3">
        <f t="shared" si="5"/>
        <v>390986750</v>
      </c>
      <c r="K346" s="3">
        <v>127226545</v>
      </c>
      <c r="L346" s="3">
        <v>103817632</v>
      </c>
    </row>
    <row r="347" spans="1:12" x14ac:dyDescent="0.3">
      <c r="A347" s="2" t="s">
        <v>410</v>
      </c>
      <c r="B347" s="2" t="str">
        <f>LEFT(Table1[[#This Row],[تاریخ]],4)</f>
        <v>1401</v>
      </c>
      <c r="C347" s="2" t="s">
        <v>15</v>
      </c>
      <c r="D347" s="2" t="s">
        <v>14</v>
      </c>
      <c r="E347" s="2" t="s">
        <v>75</v>
      </c>
      <c r="F347" s="2" t="s">
        <v>76</v>
      </c>
      <c r="G347" s="2" t="s">
        <v>38</v>
      </c>
      <c r="H347" s="3">
        <v>2870</v>
      </c>
      <c r="I347" s="3">
        <v>138853</v>
      </c>
      <c r="J347" s="3">
        <f t="shared" si="5"/>
        <v>398508110</v>
      </c>
      <c r="K347" s="3">
        <v>110987860</v>
      </c>
      <c r="L347" s="3">
        <v>93966081</v>
      </c>
    </row>
    <row r="348" spans="1:12" x14ac:dyDescent="0.3">
      <c r="A348" s="2" t="s">
        <v>411</v>
      </c>
      <c r="B348" s="2" t="str">
        <f>LEFT(Table1[[#This Row],[تاریخ]],4)</f>
        <v>1401</v>
      </c>
      <c r="C348" s="2" t="s">
        <v>15</v>
      </c>
      <c r="D348" s="2" t="s">
        <v>16</v>
      </c>
      <c r="E348" s="2" t="s">
        <v>44</v>
      </c>
      <c r="F348" s="2" t="s">
        <v>30</v>
      </c>
      <c r="G348" s="2" t="s">
        <v>42</v>
      </c>
      <c r="H348" s="3">
        <v>3815</v>
      </c>
      <c r="I348" s="3">
        <v>142114</v>
      </c>
      <c r="J348" s="3">
        <f t="shared" si="5"/>
        <v>542164910</v>
      </c>
      <c r="K348" s="3">
        <v>205498408</v>
      </c>
      <c r="L348" s="3">
        <v>108665891</v>
      </c>
    </row>
    <row r="349" spans="1:12" x14ac:dyDescent="0.3">
      <c r="A349" s="2" t="s">
        <v>412</v>
      </c>
      <c r="B349" s="2" t="str">
        <f>LEFT(Table1[[#This Row],[تاریخ]],4)</f>
        <v>1401</v>
      </c>
      <c r="C349" s="2" t="s">
        <v>15</v>
      </c>
      <c r="D349" s="2" t="s">
        <v>16</v>
      </c>
      <c r="E349" s="2" t="s">
        <v>79</v>
      </c>
      <c r="F349" s="2" t="s">
        <v>33</v>
      </c>
      <c r="G349" s="2" t="s">
        <v>46</v>
      </c>
      <c r="H349" s="3">
        <v>2520</v>
      </c>
      <c r="I349" s="3">
        <v>117008</v>
      </c>
      <c r="J349" s="3">
        <f t="shared" si="5"/>
        <v>294860160</v>
      </c>
      <c r="K349" s="3">
        <v>203469679</v>
      </c>
      <c r="L349" s="3">
        <v>7527203</v>
      </c>
    </row>
    <row r="350" spans="1:12" x14ac:dyDescent="0.3">
      <c r="A350" s="2" t="s">
        <v>413</v>
      </c>
      <c r="B350" s="2" t="str">
        <f>LEFT(Table1[[#This Row],[تاریخ]],4)</f>
        <v>1401</v>
      </c>
      <c r="C350" s="2" t="s">
        <v>15</v>
      </c>
      <c r="D350" s="2" t="s">
        <v>16</v>
      </c>
      <c r="E350" s="2" t="s">
        <v>81</v>
      </c>
      <c r="F350" s="2" t="s">
        <v>37</v>
      </c>
      <c r="G350" s="2" t="s">
        <v>46</v>
      </c>
      <c r="H350" s="3">
        <v>3080</v>
      </c>
      <c r="I350" s="3">
        <v>132939</v>
      </c>
      <c r="J350" s="3">
        <f t="shared" si="5"/>
        <v>409452120</v>
      </c>
      <c r="K350" s="3">
        <v>12271164</v>
      </c>
      <c r="L350" s="3">
        <v>91405937</v>
      </c>
    </row>
    <row r="351" spans="1:12" x14ac:dyDescent="0.3">
      <c r="A351" s="2" t="s">
        <v>414</v>
      </c>
      <c r="B351" s="2" t="str">
        <f>LEFT(Table1[[#This Row],[تاریخ]],4)</f>
        <v>1401</v>
      </c>
      <c r="C351" s="2" t="s">
        <v>15</v>
      </c>
      <c r="D351" s="2" t="s">
        <v>16</v>
      </c>
      <c r="E351" s="2" t="s">
        <v>83</v>
      </c>
      <c r="F351" s="2" t="s">
        <v>41</v>
      </c>
      <c r="G351" s="2" t="s">
        <v>50</v>
      </c>
      <c r="H351" s="3">
        <v>3115</v>
      </c>
      <c r="I351" s="3">
        <v>118220</v>
      </c>
      <c r="J351" s="3">
        <f t="shared" si="5"/>
        <v>368255300</v>
      </c>
      <c r="K351" s="3">
        <v>131069376</v>
      </c>
      <c r="L351" s="3">
        <v>105811518</v>
      </c>
    </row>
    <row r="352" spans="1:12" x14ac:dyDescent="0.3">
      <c r="A352" s="2" t="s">
        <v>415</v>
      </c>
      <c r="B352" s="2" t="str">
        <f>LEFT(Table1[[#This Row],[تاریخ]],4)</f>
        <v>1401</v>
      </c>
      <c r="C352" s="2" t="s">
        <v>15</v>
      </c>
      <c r="D352" s="2" t="s">
        <v>16</v>
      </c>
      <c r="E352" s="2" t="s">
        <v>85</v>
      </c>
      <c r="F352" s="2" t="s">
        <v>45</v>
      </c>
      <c r="G352" s="2" t="s">
        <v>31</v>
      </c>
      <c r="H352" s="3">
        <v>3570</v>
      </c>
      <c r="I352" s="3">
        <v>59374</v>
      </c>
      <c r="J352" s="3">
        <f t="shared" si="5"/>
        <v>211965180</v>
      </c>
      <c r="K352" s="3">
        <v>67558547</v>
      </c>
      <c r="L352" s="3">
        <v>1785391</v>
      </c>
    </row>
    <row r="353" spans="1:12" x14ac:dyDescent="0.3">
      <c r="A353" s="2" t="s">
        <v>416</v>
      </c>
      <c r="B353" s="2" t="str">
        <f>LEFT(Table1[[#This Row],[تاریخ]],4)</f>
        <v>1401</v>
      </c>
      <c r="C353" s="2" t="s">
        <v>15</v>
      </c>
      <c r="D353" s="2" t="s">
        <v>16</v>
      </c>
      <c r="E353" s="2" t="s">
        <v>61</v>
      </c>
      <c r="F353" s="2" t="s">
        <v>49</v>
      </c>
      <c r="G353" s="2" t="s">
        <v>34</v>
      </c>
      <c r="H353" s="3">
        <v>2870</v>
      </c>
      <c r="I353" s="3">
        <v>70863</v>
      </c>
      <c r="J353" s="3">
        <f t="shared" si="5"/>
        <v>203376810</v>
      </c>
      <c r="K353" s="3">
        <v>184425073</v>
      </c>
      <c r="L353" s="3">
        <v>60180293</v>
      </c>
    </row>
    <row r="354" spans="1:12" x14ac:dyDescent="0.3">
      <c r="A354" s="2" t="s">
        <v>417</v>
      </c>
      <c r="B354" s="2" t="str">
        <f>LEFT(Table1[[#This Row],[تاریخ]],4)</f>
        <v>1401</v>
      </c>
      <c r="C354" s="2" t="s">
        <v>15</v>
      </c>
      <c r="D354" s="2" t="s">
        <v>17</v>
      </c>
      <c r="E354" s="2" t="s">
        <v>64</v>
      </c>
      <c r="F354" s="2" t="s">
        <v>53</v>
      </c>
      <c r="G354" s="2" t="s">
        <v>38</v>
      </c>
      <c r="H354" s="3">
        <v>3080</v>
      </c>
      <c r="I354" s="3">
        <v>93222</v>
      </c>
      <c r="J354" s="3">
        <f t="shared" si="5"/>
        <v>287123760</v>
      </c>
      <c r="K354" s="3">
        <v>127810256</v>
      </c>
      <c r="L354" s="3">
        <v>49516211</v>
      </c>
    </row>
    <row r="355" spans="1:12" x14ac:dyDescent="0.3">
      <c r="A355" s="2" t="s">
        <v>418</v>
      </c>
      <c r="B355" s="2" t="str">
        <f>LEFT(Table1[[#This Row],[تاریخ]],4)</f>
        <v>1401</v>
      </c>
      <c r="C355" s="2" t="s">
        <v>15</v>
      </c>
      <c r="D355" s="2" t="s">
        <v>17</v>
      </c>
      <c r="E355" s="2" t="s">
        <v>29</v>
      </c>
      <c r="F355" s="2" t="s">
        <v>56</v>
      </c>
      <c r="G355" s="2" t="s">
        <v>42</v>
      </c>
      <c r="H355" s="3">
        <v>2485</v>
      </c>
      <c r="I355" s="3">
        <v>91911</v>
      </c>
      <c r="J355" s="3">
        <f t="shared" si="5"/>
        <v>228398835</v>
      </c>
      <c r="K355" s="3">
        <v>85261548</v>
      </c>
      <c r="L355" s="3">
        <v>42295718</v>
      </c>
    </row>
    <row r="356" spans="1:12" x14ac:dyDescent="0.3">
      <c r="A356" s="2" t="s">
        <v>419</v>
      </c>
      <c r="B356" s="2" t="str">
        <f>LEFT(Table1[[#This Row],[تاریخ]],4)</f>
        <v>1401</v>
      </c>
      <c r="C356" s="2" t="s">
        <v>15</v>
      </c>
      <c r="D356" s="2" t="s">
        <v>17</v>
      </c>
      <c r="E356" s="2" t="s">
        <v>69</v>
      </c>
      <c r="F356" s="2" t="s">
        <v>59</v>
      </c>
      <c r="G356" s="2" t="s">
        <v>46</v>
      </c>
      <c r="H356" s="3">
        <v>2275</v>
      </c>
      <c r="I356" s="3">
        <v>87280</v>
      </c>
      <c r="J356" s="3">
        <f t="shared" si="5"/>
        <v>198562000</v>
      </c>
      <c r="K356" s="3">
        <v>146152549</v>
      </c>
      <c r="L356" s="3">
        <v>45422503</v>
      </c>
    </row>
    <row r="357" spans="1:12" x14ac:dyDescent="0.3">
      <c r="A357" s="2" t="s">
        <v>420</v>
      </c>
      <c r="B357" s="2" t="str">
        <f>LEFT(Table1[[#This Row],[تاریخ]],4)</f>
        <v>1401</v>
      </c>
      <c r="C357" s="2" t="s">
        <v>15</v>
      </c>
      <c r="D357" s="2" t="s">
        <v>17</v>
      </c>
      <c r="E357" s="2" t="s">
        <v>72</v>
      </c>
      <c r="F357" s="2" t="s">
        <v>62</v>
      </c>
      <c r="G357" s="2" t="s">
        <v>46</v>
      </c>
      <c r="H357" s="3">
        <v>3850</v>
      </c>
      <c r="I357" s="3">
        <v>50783</v>
      </c>
      <c r="J357" s="3">
        <f t="shared" si="5"/>
        <v>195514550</v>
      </c>
      <c r="K357" s="3">
        <v>180840129</v>
      </c>
      <c r="L357" s="3">
        <v>50796240</v>
      </c>
    </row>
    <row r="358" spans="1:12" x14ac:dyDescent="0.3">
      <c r="A358" s="2" t="s">
        <v>421</v>
      </c>
      <c r="B358" s="2" t="str">
        <f>LEFT(Table1[[#This Row],[تاریخ]],4)</f>
        <v>1401</v>
      </c>
      <c r="C358" s="2" t="s">
        <v>15</v>
      </c>
      <c r="D358" s="2" t="s">
        <v>17</v>
      </c>
      <c r="E358" s="2" t="s">
        <v>75</v>
      </c>
      <c r="F358" s="2" t="s">
        <v>65</v>
      </c>
      <c r="G358" s="2" t="s">
        <v>50</v>
      </c>
      <c r="H358" s="3">
        <v>3710</v>
      </c>
      <c r="I358" s="3">
        <v>76993</v>
      </c>
      <c r="J358" s="3">
        <f t="shared" si="5"/>
        <v>285644030</v>
      </c>
      <c r="K358" s="3">
        <v>9530500</v>
      </c>
      <c r="L358" s="3">
        <v>50165465</v>
      </c>
    </row>
    <row r="359" spans="1:12" x14ac:dyDescent="0.3">
      <c r="A359" s="2" t="s">
        <v>422</v>
      </c>
      <c r="B359" s="2" t="str">
        <f>LEFT(Table1[[#This Row],[تاریخ]],4)</f>
        <v>1402</v>
      </c>
      <c r="C359" s="2" t="s">
        <v>3</v>
      </c>
      <c r="D359" s="2" t="s">
        <v>2</v>
      </c>
      <c r="E359" s="2" t="s">
        <v>44</v>
      </c>
      <c r="F359" s="2" t="s">
        <v>67</v>
      </c>
      <c r="G359" s="2" t="s">
        <v>31</v>
      </c>
      <c r="H359" s="3">
        <v>3465</v>
      </c>
      <c r="I359" s="3">
        <v>106222</v>
      </c>
      <c r="J359" s="3">
        <f t="shared" si="5"/>
        <v>368059230</v>
      </c>
      <c r="K359" s="3">
        <v>199352336</v>
      </c>
      <c r="L359" s="3">
        <v>90325762</v>
      </c>
    </row>
    <row r="360" spans="1:12" x14ac:dyDescent="0.3">
      <c r="A360" s="2" t="s">
        <v>423</v>
      </c>
      <c r="B360" s="2" t="str">
        <f>LEFT(Table1[[#This Row],[تاریخ]],4)</f>
        <v>1402</v>
      </c>
      <c r="C360" s="2" t="s">
        <v>3</v>
      </c>
      <c r="D360" s="2" t="s">
        <v>2</v>
      </c>
      <c r="E360" s="2" t="s">
        <v>79</v>
      </c>
      <c r="F360" s="2" t="s">
        <v>70</v>
      </c>
      <c r="G360" s="2" t="s">
        <v>34</v>
      </c>
      <c r="H360" s="3">
        <v>1925</v>
      </c>
      <c r="I360" s="3">
        <v>129938</v>
      </c>
      <c r="J360" s="3">
        <f t="shared" si="5"/>
        <v>250130650</v>
      </c>
      <c r="K360" s="3">
        <v>119111634</v>
      </c>
      <c r="L360" s="3">
        <v>26142218</v>
      </c>
    </row>
    <row r="361" spans="1:12" x14ac:dyDescent="0.3">
      <c r="A361" s="2" t="s">
        <v>424</v>
      </c>
      <c r="B361" s="2" t="str">
        <f>LEFT(Table1[[#This Row],[تاریخ]],4)</f>
        <v>1402</v>
      </c>
      <c r="C361" s="2" t="s">
        <v>3</v>
      </c>
      <c r="D361" s="2" t="s">
        <v>2</v>
      </c>
      <c r="E361" s="2" t="s">
        <v>81</v>
      </c>
      <c r="F361" s="2" t="s">
        <v>73</v>
      </c>
      <c r="G361" s="2" t="s">
        <v>38</v>
      </c>
      <c r="H361" s="3">
        <v>2380</v>
      </c>
      <c r="I361" s="3">
        <v>117238</v>
      </c>
      <c r="J361" s="3">
        <f t="shared" si="5"/>
        <v>279026440</v>
      </c>
      <c r="K361" s="3">
        <v>256507634</v>
      </c>
      <c r="L361" s="3">
        <v>77312223</v>
      </c>
    </row>
    <row r="362" spans="1:12" x14ac:dyDescent="0.3">
      <c r="A362" s="2" t="s">
        <v>425</v>
      </c>
      <c r="B362" s="2" t="str">
        <f>LEFT(Table1[[#This Row],[تاریخ]],4)</f>
        <v>1402</v>
      </c>
      <c r="C362" s="2" t="s">
        <v>3</v>
      </c>
      <c r="D362" s="2" t="s">
        <v>2</v>
      </c>
      <c r="E362" s="2" t="s">
        <v>83</v>
      </c>
      <c r="F362" s="2" t="s">
        <v>76</v>
      </c>
      <c r="G362" s="2" t="s">
        <v>42</v>
      </c>
      <c r="H362" s="3">
        <v>2975</v>
      </c>
      <c r="I362" s="3">
        <v>107375</v>
      </c>
      <c r="J362" s="3">
        <f t="shared" si="5"/>
        <v>319440625</v>
      </c>
      <c r="K362" s="3">
        <v>79649270</v>
      </c>
      <c r="L362" s="3">
        <v>43351243</v>
      </c>
    </row>
    <row r="363" spans="1:12" x14ac:dyDescent="0.3">
      <c r="A363" s="2" t="s">
        <v>426</v>
      </c>
      <c r="B363" s="2" t="str">
        <f>LEFT(Table1[[#This Row],[تاریخ]],4)</f>
        <v>1402</v>
      </c>
      <c r="C363" s="2" t="s">
        <v>3</v>
      </c>
      <c r="D363" s="2" t="s">
        <v>2</v>
      </c>
      <c r="E363" s="2" t="s">
        <v>85</v>
      </c>
      <c r="F363" s="2" t="s">
        <v>30</v>
      </c>
      <c r="G363" s="2" t="s">
        <v>46</v>
      </c>
      <c r="H363" s="3">
        <v>2415</v>
      </c>
      <c r="I363" s="3">
        <v>56337</v>
      </c>
      <c r="J363" s="3">
        <f t="shared" si="5"/>
        <v>136053855</v>
      </c>
      <c r="K363" s="3">
        <v>83627308</v>
      </c>
      <c r="L363" s="3">
        <v>21875116</v>
      </c>
    </row>
    <row r="364" spans="1:12" x14ac:dyDescent="0.3">
      <c r="A364" s="2" t="s">
        <v>427</v>
      </c>
      <c r="B364" s="2" t="str">
        <f>LEFT(Table1[[#This Row],[تاریخ]],4)</f>
        <v>1402</v>
      </c>
      <c r="C364" s="2" t="s">
        <v>3</v>
      </c>
      <c r="D364" s="2" t="s">
        <v>2</v>
      </c>
      <c r="E364" s="2" t="s">
        <v>61</v>
      </c>
      <c r="F364" s="2" t="s">
        <v>33</v>
      </c>
      <c r="G364" s="2" t="s">
        <v>46</v>
      </c>
      <c r="H364" s="3">
        <v>3150</v>
      </c>
      <c r="I364" s="3">
        <v>134169</v>
      </c>
      <c r="J364" s="3">
        <f t="shared" si="5"/>
        <v>422632350</v>
      </c>
      <c r="K364" s="3">
        <v>140172622</v>
      </c>
      <c r="L364" s="3">
        <v>238562</v>
      </c>
    </row>
    <row r="365" spans="1:12" x14ac:dyDescent="0.3">
      <c r="A365" s="2" t="s">
        <v>428</v>
      </c>
      <c r="B365" s="2" t="str">
        <f>LEFT(Table1[[#This Row],[تاریخ]],4)</f>
        <v>1402</v>
      </c>
      <c r="C365" s="2" t="s">
        <v>3</v>
      </c>
      <c r="D365" s="2" t="s">
        <v>2</v>
      </c>
      <c r="E365" s="2" t="s">
        <v>64</v>
      </c>
      <c r="F365" s="2" t="s">
        <v>37</v>
      </c>
      <c r="G365" s="2" t="s">
        <v>50</v>
      </c>
      <c r="H365" s="3">
        <v>2975</v>
      </c>
      <c r="I365" s="3">
        <v>50523</v>
      </c>
      <c r="J365" s="3">
        <f t="shared" si="5"/>
        <v>150305925</v>
      </c>
      <c r="K365" s="3">
        <v>146861292</v>
      </c>
      <c r="L365" s="3">
        <v>7513618</v>
      </c>
    </row>
    <row r="366" spans="1:12" x14ac:dyDescent="0.3">
      <c r="A366" s="2" t="s">
        <v>429</v>
      </c>
      <c r="B366" s="2" t="str">
        <f>LEFT(Table1[[#This Row],[تاریخ]],4)</f>
        <v>1402</v>
      </c>
      <c r="C366" s="2" t="s">
        <v>3</v>
      </c>
      <c r="D366" s="2" t="s">
        <v>4</v>
      </c>
      <c r="E366" s="2" t="s">
        <v>29</v>
      </c>
      <c r="F366" s="2" t="s">
        <v>41</v>
      </c>
      <c r="G366" s="2" t="s">
        <v>31</v>
      </c>
      <c r="H366" s="3">
        <v>2310</v>
      </c>
      <c r="I366" s="3">
        <v>83494</v>
      </c>
      <c r="J366" s="3">
        <f t="shared" si="5"/>
        <v>192871140</v>
      </c>
      <c r="K366" s="3">
        <v>182530908</v>
      </c>
      <c r="L366" s="3">
        <v>13939550</v>
      </c>
    </row>
    <row r="367" spans="1:12" x14ac:dyDescent="0.3">
      <c r="A367" s="2" t="s">
        <v>430</v>
      </c>
      <c r="B367" s="2" t="str">
        <f>LEFT(Table1[[#This Row],[تاریخ]],4)</f>
        <v>1402</v>
      </c>
      <c r="C367" s="2" t="s">
        <v>3</v>
      </c>
      <c r="D367" s="2" t="s">
        <v>4</v>
      </c>
      <c r="E367" s="2" t="s">
        <v>69</v>
      </c>
      <c r="F367" s="2" t="s">
        <v>45</v>
      </c>
      <c r="G367" s="2" t="s">
        <v>34</v>
      </c>
      <c r="H367" s="3">
        <v>2065</v>
      </c>
      <c r="I367" s="3">
        <v>113599</v>
      </c>
      <c r="J367" s="3">
        <f t="shared" si="5"/>
        <v>234581935</v>
      </c>
      <c r="K367" s="3">
        <v>50218266</v>
      </c>
      <c r="L367" s="3">
        <v>3128125</v>
      </c>
    </row>
    <row r="368" spans="1:12" x14ac:dyDescent="0.3">
      <c r="A368" s="2" t="s">
        <v>431</v>
      </c>
      <c r="B368" s="2" t="str">
        <f>LEFT(Table1[[#This Row],[تاریخ]],4)</f>
        <v>1402</v>
      </c>
      <c r="C368" s="2" t="s">
        <v>3</v>
      </c>
      <c r="D368" s="2" t="s">
        <v>4</v>
      </c>
      <c r="E368" s="2" t="s">
        <v>72</v>
      </c>
      <c r="F368" s="2" t="s">
        <v>49</v>
      </c>
      <c r="G368" s="2" t="s">
        <v>38</v>
      </c>
      <c r="H368" s="3">
        <v>3710</v>
      </c>
      <c r="I368" s="3">
        <v>89395</v>
      </c>
      <c r="J368" s="3">
        <f t="shared" si="5"/>
        <v>331655450</v>
      </c>
      <c r="K368" s="3">
        <v>22406386</v>
      </c>
      <c r="L368" s="3">
        <v>76293876</v>
      </c>
    </row>
    <row r="369" spans="1:12" x14ac:dyDescent="0.3">
      <c r="A369" s="2" t="s">
        <v>432</v>
      </c>
      <c r="B369" s="2" t="str">
        <f>LEFT(Table1[[#This Row],[تاریخ]],4)</f>
        <v>1402</v>
      </c>
      <c r="C369" s="2" t="s">
        <v>3</v>
      </c>
      <c r="D369" s="2" t="s">
        <v>4</v>
      </c>
      <c r="E369" s="2" t="s">
        <v>75</v>
      </c>
      <c r="F369" s="2" t="s">
        <v>53</v>
      </c>
      <c r="G369" s="2" t="s">
        <v>42</v>
      </c>
      <c r="H369" s="3">
        <v>2940</v>
      </c>
      <c r="I369" s="3">
        <v>115110</v>
      </c>
      <c r="J369" s="3">
        <f t="shared" si="5"/>
        <v>338423400</v>
      </c>
      <c r="K369" s="3">
        <v>1805995</v>
      </c>
      <c r="L369" s="3">
        <v>81942797</v>
      </c>
    </row>
    <row r="370" spans="1:12" x14ac:dyDescent="0.3">
      <c r="A370" s="2" t="s">
        <v>433</v>
      </c>
      <c r="B370" s="2" t="str">
        <f>LEFT(Table1[[#This Row],[تاریخ]],4)</f>
        <v>1402</v>
      </c>
      <c r="C370" s="2" t="s">
        <v>3</v>
      </c>
      <c r="D370" s="2" t="s">
        <v>4</v>
      </c>
      <c r="E370" s="2" t="s">
        <v>44</v>
      </c>
      <c r="F370" s="2" t="s">
        <v>56</v>
      </c>
      <c r="G370" s="2" t="s">
        <v>46</v>
      </c>
      <c r="H370" s="3">
        <v>3045</v>
      </c>
      <c r="I370" s="3">
        <v>88527</v>
      </c>
      <c r="J370" s="3">
        <f t="shared" si="5"/>
        <v>269564715</v>
      </c>
      <c r="K370" s="3">
        <v>262281781</v>
      </c>
      <c r="L370" s="3">
        <v>67445748</v>
      </c>
    </row>
    <row r="371" spans="1:12" x14ac:dyDescent="0.3">
      <c r="A371" s="2" t="s">
        <v>434</v>
      </c>
      <c r="B371" s="2" t="str">
        <f>LEFT(Table1[[#This Row],[تاریخ]],4)</f>
        <v>1402</v>
      </c>
      <c r="C371" s="2" t="s">
        <v>3</v>
      </c>
      <c r="D371" s="2" t="s">
        <v>4</v>
      </c>
      <c r="E371" s="2" t="s">
        <v>79</v>
      </c>
      <c r="F371" s="2" t="s">
        <v>59</v>
      </c>
      <c r="G371" s="2" t="s">
        <v>46</v>
      </c>
      <c r="H371" s="3">
        <v>2485</v>
      </c>
      <c r="I371" s="3">
        <v>112314</v>
      </c>
      <c r="J371" s="3">
        <f t="shared" si="5"/>
        <v>279100290</v>
      </c>
      <c r="K371" s="3">
        <v>33819230</v>
      </c>
      <c r="L371" s="3">
        <v>58109797</v>
      </c>
    </row>
    <row r="372" spans="1:12" x14ac:dyDescent="0.3">
      <c r="A372" s="2" t="s">
        <v>435</v>
      </c>
      <c r="B372" s="2" t="str">
        <f>LEFT(Table1[[#This Row],[تاریخ]],4)</f>
        <v>1402</v>
      </c>
      <c r="C372" s="2" t="s">
        <v>3</v>
      </c>
      <c r="D372" s="2" t="s">
        <v>5</v>
      </c>
      <c r="E372" s="2" t="s">
        <v>81</v>
      </c>
      <c r="F372" s="2" t="s">
        <v>62</v>
      </c>
      <c r="G372" s="2" t="s">
        <v>50</v>
      </c>
      <c r="H372" s="3">
        <v>2765</v>
      </c>
      <c r="I372" s="3">
        <v>124835</v>
      </c>
      <c r="J372" s="3">
        <f t="shared" si="5"/>
        <v>345168775</v>
      </c>
      <c r="K372" s="3">
        <v>62372273</v>
      </c>
      <c r="L372" s="3">
        <v>20384678</v>
      </c>
    </row>
    <row r="373" spans="1:12" x14ac:dyDescent="0.3">
      <c r="A373" s="2" t="s">
        <v>436</v>
      </c>
      <c r="B373" s="2" t="str">
        <f>LEFT(Table1[[#This Row],[تاریخ]],4)</f>
        <v>1402</v>
      </c>
      <c r="C373" s="2" t="s">
        <v>3</v>
      </c>
      <c r="D373" s="2" t="s">
        <v>5</v>
      </c>
      <c r="E373" s="2" t="s">
        <v>83</v>
      </c>
      <c r="F373" s="2" t="s">
        <v>65</v>
      </c>
      <c r="G373" s="2" t="s">
        <v>31</v>
      </c>
      <c r="H373" s="3">
        <v>3045</v>
      </c>
      <c r="I373" s="3">
        <v>125603</v>
      </c>
      <c r="J373" s="3">
        <f t="shared" si="5"/>
        <v>382461135</v>
      </c>
      <c r="K373" s="3">
        <v>274727953</v>
      </c>
      <c r="L373" s="3">
        <v>29185362</v>
      </c>
    </row>
    <row r="374" spans="1:12" x14ac:dyDescent="0.3">
      <c r="A374" s="2" t="s">
        <v>437</v>
      </c>
      <c r="B374" s="2" t="str">
        <f>LEFT(Table1[[#This Row],[تاریخ]],4)</f>
        <v>1402</v>
      </c>
      <c r="C374" s="2" t="s">
        <v>3</v>
      </c>
      <c r="D374" s="2" t="s">
        <v>5</v>
      </c>
      <c r="E374" s="2" t="s">
        <v>85</v>
      </c>
      <c r="F374" s="2" t="s">
        <v>67</v>
      </c>
      <c r="G374" s="2" t="s">
        <v>34</v>
      </c>
      <c r="H374" s="3">
        <v>3465</v>
      </c>
      <c r="I374" s="3">
        <v>71446</v>
      </c>
      <c r="J374" s="3">
        <f t="shared" si="5"/>
        <v>247560390</v>
      </c>
      <c r="K374" s="3">
        <v>95452607</v>
      </c>
      <c r="L374" s="3">
        <v>43901091</v>
      </c>
    </row>
    <row r="375" spans="1:12" x14ac:dyDescent="0.3">
      <c r="A375" s="2" t="s">
        <v>438</v>
      </c>
      <c r="B375" s="2" t="str">
        <f>LEFT(Table1[[#This Row],[تاریخ]],4)</f>
        <v>1402</v>
      </c>
      <c r="C375" s="2" t="s">
        <v>3</v>
      </c>
      <c r="D375" s="2" t="s">
        <v>5</v>
      </c>
      <c r="E375" s="2" t="s">
        <v>61</v>
      </c>
      <c r="F375" s="2" t="s">
        <v>70</v>
      </c>
      <c r="G375" s="2" t="s">
        <v>38</v>
      </c>
      <c r="H375" s="3">
        <v>3290</v>
      </c>
      <c r="I375" s="3">
        <v>73025</v>
      </c>
      <c r="J375" s="3">
        <f t="shared" si="5"/>
        <v>240252250</v>
      </c>
      <c r="K375" s="3">
        <v>199076336</v>
      </c>
      <c r="L375" s="3">
        <v>41075659</v>
      </c>
    </row>
    <row r="376" spans="1:12" x14ac:dyDescent="0.3">
      <c r="A376" s="2" t="s">
        <v>439</v>
      </c>
      <c r="B376" s="2" t="str">
        <f>LEFT(Table1[[#This Row],[تاریخ]],4)</f>
        <v>1402</v>
      </c>
      <c r="C376" s="2" t="s">
        <v>3</v>
      </c>
      <c r="D376" s="2" t="s">
        <v>5</v>
      </c>
      <c r="E376" s="2" t="s">
        <v>64</v>
      </c>
      <c r="F376" s="2" t="s">
        <v>73</v>
      </c>
      <c r="G376" s="2" t="s">
        <v>42</v>
      </c>
      <c r="H376" s="3">
        <v>2065</v>
      </c>
      <c r="I376" s="3">
        <v>102780</v>
      </c>
      <c r="J376" s="3">
        <f t="shared" si="5"/>
        <v>212240700</v>
      </c>
      <c r="K376" s="3">
        <v>56447566</v>
      </c>
      <c r="L376" s="3">
        <v>46427619</v>
      </c>
    </row>
    <row r="377" spans="1:12" x14ac:dyDescent="0.3">
      <c r="A377" s="2" t="s">
        <v>440</v>
      </c>
      <c r="B377" s="2" t="str">
        <f>LEFT(Table1[[#This Row],[تاریخ]],4)</f>
        <v>1402</v>
      </c>
      <c r="C377" s="2" t="s">
        <v>3</v>
      </c>
      <c r="D377" s="2" t="s">
        <v>5</v>
      </c>
      <c r="E377" s="2" t="s">
        <v>29</v>
      </c>
      <c r="F377" s="2" t="s">
        <v>76</v>
      </c>
      <c r="G377" s="2" t="s">
        <v>46</v>
      </c>
      <c r="H377" s="3">
        <v>2170</v>
      </c>
      <c r="I377" s="3">
        <v>74770</v>
      </c>
      <c r="J377" s="3">
        <f t="shared" si="5"/>
        <v>162250900</v>
      </c>
      <c r="K377" s="3">
        <v>128094155</v>
      </c>
      <c r="L377" s="3">
        <v>40876099</v>
      </c>
    </row>
    <row r="378" spans="1:12" x14ac:dyDescent="0.3">
      <c r="A378" s="2" t="s">
        <v>441</v>
      </c>
      <c r="B378" s="2" t="str">
        <f>LEFT(Table1[[#This Row],[تاریخ]],4)</f>
        <v>1402</v>
      </c>
      <c r="C378" s="2" t="s">
        <v>7</v>
      </c>
      <c r="D378" s="2" t="s">
        <v>6</v>
      </c>
      <c r="E378" s="2" t="s">
        <v>69</v>
      </c>
      <c r="F378" s="2" t="s">
        <v>30</v>
      </c>
      <c r="G378" s="2" t="s">
        <v>46</v>
      </c>
      <c r="H378" s="3">
        <v>2135</v>
      </c>
      <c r="I378" s="3">
        <v>135905</v>
      </c>
      <c r="J378" s="3">
        <f t="shared" si="5"/>
        <v>290157175</v>
      </c>
      <c r="K378" s="3">
        <v>164680025</v>
      </c>
      <c r="L378" s="3">
        <v>77207998</v>
      </c>
    </row>
    <row r="379" spans="1:12" x14ac:dyDescent="0.3">
      <c r="A379" s="2" t="s">
        <v>442</v>
      </c>
      <c r="B379" s="2" t="str">
        <f>LEFT(Table1[[#This Row],[تاریخ]],4)</f>
        <v>1402</v>
      </c>
      <c r="C379" s="2" t="s">
        <v>7</v>
      </c>
      <c r="D379" s="2" t="s">
        <v>6</v>
      </c>
      <c r="E379" s="2" t="s">
        <v>72</v>
      </c>
      <c r="F379" s="2" t="s">
        <v>33</v>
      </c>
      <c r="G379" s="2" t="s">
        <v>50</v>
      </c>
      <c r="H379" s="3">
        <v>3535</v>
      </c>
      <c r="I379" s="3">
        <v>65351</v>
      </c>
      <c r="J379" s="3">
        <f t="shared" si="5"/>
        <v>231015785</v>
      </c>
      <c r="K379" s="3">
        <v>43789869</v>
      </c>
      <c r="L379" s="3">
        <v>10926234</v>
      </c>
    </row>
    <row r="380" spans="1:12" x14ac:dyDescent="0.3">
      <c r="A380" s="2" t="s">
        <v>443</v>
      </c>
      <c r="B380" s="2" t="str">
        <f>LEFT(Table1[[#This Row],[تاریخ]],4)</f>
        <v>1402</v>
      </c>
      <c r="C380" s="2" t="s">
        <v>7</v>
      </c>
      <c r="D380" s="2" t="s">
        <v>6</v>
      </c>
      <c r="E380" s="2" t="s">
        <v>75</v>
      </c>
      <c r="F380" s="2" t="s">
        <v>37</v>
      </c>
      <c r="G380" s="2" t="s">
        <v>31</v>
      </c>
      <c r="H380" s="3">
        <v>2555</v>
      </c>
      <c r="I380" s="3">
        <v>126920</v>
      </c>
      <c r="J380" s="3">
        <f t="shared" si="5"/>
        <v>324280600</v>
      </c>
      <c r="K380" s="3">
        <v>14461584</v>
      </c>
      <c r="L380" s="3">
        <v>62053382</v>
      </c>
    </row>
    <row r="381" spans="1:12" x14ac:dyDescent="0.3">
      <c r="A381" s="2" t="s">
        <v>444</v>
      </c>
      <c r="B381" s="2" t="str">
        <f>LEFT(Table1[[#This Row],[تاریخ]],4)</f>
        <v>1402</v>
      </c>
      <c r="C381" s="2" t="s">
        <v>7</v>
      </c>
      <c r="D381" s="2" t="s">
        <v>6</v>
      </c>
      <c r="E381" s="2" t="s">
        <v>44</v>
      </c>
      <c r="F381" s="2" t="s">
        <v>41</v>
      </c>
      <c r="G381" s="2" t="s">
        <v>34</v>
      </c>
      <c r="H381" s="3">
        <v>3815</v>
      </c>
      <c r="I381" s="3">
        <v>54133</v>
      </c>
      <c r="J381" s="3">
        <f t="shared" si="5"/>
        <v>206517395</v>
      </c>
      <c r="K381" s="3">
        <v>86367516</v>
      </c>
      <c r="L381" s="3">
        <v>58485996</v>
      </c>
    </row>
    <row r="382" spans="1:12" x14ac:dyDescent="0.3">
      <c r="A382" s="2" t="s">
        <v>445</v>
      </c>
      <c r="B382" s="2" t="str">
        <f>LEFT(Table1[[#This Row],[تاریخ]],4)</f>
        <v>1402</v>
      </c>
      <c r="C382" s="2" t="s">
        <v>7</v>
      </c>
      <c r="D382" s="2" t="s">
        <v>6</v>
      </c>
      <c r="E382" s="2" t="s">
        <v>79</v>
      </c>
      <c r="F382" s="2" t="s">
        <v>45</v>
      </c>
      <c r="G382" s="2" t="s">
        <v>38</v>
      </c>
      <c r="H382" s="3">
        <v>2870</v>
      </c>
      <c r="I382" s="3">
        <v>83641</v>
      </c>
      <c r="J382" s="3">
        <f t="shared" si="5"/>
        <v>240049670</v>
      </c>
      <c r="K382" s="3">
        <v>153783505</v>
      </c>
      <c r="L382" s="3">
        <v>10946521</v>
      </c>
    </row>
    <row r="383" spans="1:12" x14ac:dyDescent="0.3">
      <c r="A383" s="2" t="s">
        <v>446</v>
      </c>
      <c r="B383" s="2" t="str">
        <f>LEFT(Table1[[#This Row],[تاریخ]],4)</f>
        <v>1402</v>
      </c>
      <c r="C383" s="2" t="s">
        <v>7</v>
      </c>
      <c r="D383" s="2" t="s">
        <v>6</v>
      </c>
      <c r="E383" s="2" t="s">
        <v>81</v>
      </c>
      <c r="F383" s="2" t="s">
        <v>49</v>
      </c>
      <c r="G383" s="2" t="s">
        <v>42</v>
      </c>
      <c r="H383" s="3">
        <v>2660</v>
      </c>
      <c r="I383" s="3">
        <v>55003</v>
      </c>
      <c r="J383" s="3">
        <f t="shared" si="5"/>
        <v>146307980</v>
      </c>
      <c r="K383" s="3">
        <v>96584337</v>
      </c>
      <c r="L383" s="3">
        <v>26256845</v>
      </c>
    </row>
    <row r="384" spans="1:12" x14ac:dyDescent="0.3">
      <c r="A384" s="2" t="s">
        <v>447</v>
      </c>
      <c r="B384" s="2" t="str">
        <f>LEFT(Table1[[#This Row],[تاریخ]],4)</f>
        <v>1402</v>
      </c>
      <c r="C384" s="2" t="s">
        <v>7</v>
      </c>
      <c r="D384" s="2" t="s">
        <v>8</v>
      </c>
      <c r="E384" s="2" t="s">
        <v>83</v>
      </c>
      <c r="F384" s="2" t="s">
        <v>53</v>
      </c>
      <c r="G384" s="2" t="s">
        <v>46</v>
      </c>
      <c r="H384" s="3">
        <v>3570</v>
      </c>
      <c r="I384" s="3">
        <v>97235</v>
      </c>
      <c r="J384" s="3">
        <f t="shared" si="5"/>
        <v>347128950</v>
      </c>
      <c r="K384" s="3">
        <v>6827596</v>
      </c>
      <c r="L384" s="3">
        <v>47734551</v>
      </c>
    </row>
    <row r="385" spans="1:12" x14ac:dyDescent="0.3">
      <c r="A385" s="2" t="s">
        <v>448</v>
      </c>
      <c r="B385" s="2" t="str">
        <f>LEFT(Table1[[#This Row],[تاریخ]],4)</f>
        <v>1402</v>
      </c>
      <c r="C385" s="2" t="s">
        <v>7</v>
      </c>
      <c r="D385" s="2" t="s">
        <v>8</v>
      </c>
      <c r="E385" s="2" t="s">
        <v>85</v>
      </c>
      <c r="F385" s="2" t="s">
        <v>56</v>
      </c>
      <c r="G385" s="2" t="s">
        <v>46</v>
      </c>
      <c r="H385" s="3">
        <v>3360</v>
      </c>
      <c r="I385" s="3">
        <v>103804</v>
      </c>
      <c r="J385" s="3">
        <f t="shared" si="5"/>
        <v>348781440</v>
      </c>
      <c r="K385" s="3">
        <v>100358976</v>
      </c>
      <c r="L385" s="3">
        <v>71088090</v>
      </c>
    </row>
    <row r="386" spans="1:12" x14ac:dyDescent="0.3">
      <c r="A386" s="2" t="s">
        <v>449</v>
      </c>
      <c r="B386" s="2" t="str">
        <f>LEFT(Table1[[#This Row],[تاریخ]],4)</f>
        <v>1402</v>
      </c>
      <c r="C386" s="2" t="s">
        <v>7</v>
      </c>
      <c r="D386" s="2" t="s">
        <v>8</v>
      </c>
      <c r="E386" s="2" t="s">
        <v>61</v>
      </c>
      <c r="F386" s="2" t="s">
        <v>59</v>
      </c>
      <c r="G386" s="2" t="s">
        <v>50</v>
      </c>
      <c r="H386" s="3">
        <v>3115</v>
      </c>
      <c r="I386" s="3">
        <v>144686</v>
      </c>
      <c r="J386" s="3">
        <f t="shared" si="5"/>
        <v>450696890</v>
      </c>
      <c r="K386" s="3">
        <v>139018970</v>
      </c>
      <c r="L386" s="3">
        <v>76865833</v>
      </c>
    </row>
    <row r="387" spans="1:12" x14ac:dyDescent="0.3">
      <c r="A387" s="2" t="s">
        <v>450</v>
      </c>
      <c r="B387" s="2" t="str">
        <f>LEFT(Table1[[#This Row],[تاریخ]],4)</f>
        <v>1402</v>
      </c>
      <c r="C387" s="2" t="s">
        <v>7</v>
      </c>
      <c r="D387" s="2" t="s">
        <v>8</v>
      </c>
      <c r="E387" s="2" t="s">
        <v>64</v>
      </c>
      <c r="F387" s="2" t="s">
        <v>62</v>
      </c>
      <c r="G387" s="2" t="s">
        <v>31</v>
      </c>
      <c r="H387" s="3">
        <v>2730</v>
      </c>
      <c r="I387" s="3">
        <v>68124</v>
      </c>
      <c r="J387" s="3">
        <f t="shared" si="5"/>
        <v>185978520</v>
      </c>
      <c r="K387" s="3">
        <v>23799021</v>
      </c>
      <c r="L387" s="3">
        <v>52329645</v>
      </c>
    </row>
    <row r="388" spans="1:12" x14ac:dyDescent="0.3">
      <c r="A388" s="2" t="s">
        <v>451</v>
      </c>
      <c r="B388" s="2" t="str">
        <f>LEFT(Table1[[#This Row],[تاریخ]],4)</f>
        <v>1402</v>
      </c>
      <c r="C388" s="2" t="s">
        <v>7</v>
      </c>
      <c r="D388" s="2" t="s">
        <v>8</v>
      </c>
      <c r="E388" s="2" t="s">
        <v>29</v>
      </c>
      <c r="F388" s="2" t="s">
        <v>65</v>
      </c>
      <c r="G388" s="2" t="s">
        <v>34</v>
      </c>
      <c r="H388" s="3">
        <v>3255</v>
      </c>
      <c r="I388" s="3">
        <v>50699</v>
      </c>
      <c r="J388" s="3">
        <f t="shared" ref="J388:J432" si="6">I388*H388</f>
        <v>165025245</v>
      </c>
      <c r="K388" s="3">
        <v>103502722</v>
      </c>
      <c r="L388" s="3">
        <v>41622167</v>
      </c>
    </row>
    <row r="389" spans="1:12" x14ac:dyDescent="0.3">
      <c r="A389" s="2" t="s">
        <v>452</v>
      </c>
      <c r="B389" s="2" t="str">
        <f>LEFT(Table1[[#This Row],[تاریخ]],4)</f>
        <v>1402</v>
      </c>
      <c r="C389" s="2" t="s">
        <v>7</v>
      </c>
      <c r="D389" s="2" t="s">
        <v>8</v>
      </c>
      <c r="E389" s="2" t="s">
        <v>69</v>
      </c>
      <c r="F389" s="2" t="s">
        <v>67</v>
      </c>
      <c r="G389" s="2" t="s">
        <v>38</v>
      </c>
      <c r="H389" s="3">
        <v>2555</v>
      </c>
      <c r="I389" s="3">
        <v>62680</v>
      </c>
      <c r="J389" s="3">
        <f t="shared" si="6"/>
        <v>160147400</v>
      </c>
      <c r="K389" s="3">
        <v>143268625</v>
      </c>
      <c r="L389" s="3">
        <v>33287104</v>
      </c>
    </row>
    <row r="390" spans="1:12" x14ac:dyDescent="0.3">
      <c r="A390" s="2" t="s">
        <v>453</v>
      </c>
      <c r="B390" s="2" t="str">
        <f>LEFT(Table1[[#This Row],[تاریخ]],4)</f>
        <v>1402</v>
      </c>
      <c r="C390" s="2" t="s">
        <v>7</v>
      </c>
      <c r="D390" s="2" t="s">
        <v>9</v>
      </c>
      <c r="E390" s="2" t="s">
        <v>72</v>
      </c>
      <c r="F390" s="2" t="s">
        <v>70</v>
      </c>
      <c r="G390" s="2" t="s">
        <v>42</v>
      </c>
      <c r="H390" s="3">
        <v>3745</v>
      </c>
      <c r="I390" s="3">
        <v>140571</v>
      </c>
      <c r="J390" s="3">
        <f t="shared" si="6"/>
        <v>526438395</v>
      </c>
      <c r="K390" s="3">
        <v>439183869</v>
      </c>
      <c r="L390" s="3">
        <v>61010679</v>
      </c>
    </row>
    <row r="391" spans="1:12" x14ac:dyDescent="0.3">
      <c r="A391" s="2" t="s">
        <v>454</v>
      </c>
      <c r="B391" s="2" t="str">
        <f>LEFT(Table1[[#This Row],[تاریخ]],4)</f>
        <v>1402</v>
      </c>
      <c r="C391" s="2" t="s">
        <v>7</v>
      </c>
      <c r="D391" s="2" t="s">
        <v>9</v>
      </c>
      <c r="E391" s="2" t="s">
        <v>75</v>
      </c>
      <c r="F391" s="2" t="s">
        <v>73</v>
      </c>
      <c r="G391" s="2" t="s">
        <v>46</v>
      </c>
      <c r="H391" s="3">
        <v>2660</v>
      </c>
      <c r="I391" s="3">
        <v>132739</v>
      </c>
      <c r="J391" s="3">
        <f t="shared" si="6"/>
        <v>353085740</v>
      </c>
      <c r="K391" s="3">
        <v>330449837</v>
      </c>
      <c r="L391" s="3">
        <v>7412857</v>
      </c>
    </row>
    <row r="392" spans="1:12" x14ac:dyDescent="0.3">
      <c r="A392" s="2" t="s">
        <v>455</v>
      </c>
      <c r="B392" s="2" t="str">
        <f>LEFT(Table1[[#This Row],[تاریخ]],4)</f>
        <v>1402</v>
      </c>
      <c r="C392" s="2" t="s">
        <v>7</v>
      </c>
      <c r="D392" s="2" t="s">
        <v>9</v>
      </c>
      <c r="E392" s="2" t="s">
        <v>44</v>
      </c>
      <c r="F392" s="2" t="s">
        <v>76</v>
      </c>
      <c r="G392" s="2" t="s">
        <v>46</v>
      </c>
      <c r="H392" s="3">
        <v>2625</v>
      </c>
      <c r="I392" s="3">
        <v>135639</v>
      </c>
      <c r="J392" s="3">
        <f t="shared" si="6"/>
        <v>356052375</v>
      </c>
      <c r="K392" s="3">
        <v>72398398</v>
      </c>
      <c r="L392" s="3">
        <v>87182016</v>
      </c>
    </row>
    <row r="393" spans="1:12" x14ac:dyDescent="0.3">
      <c r="A393" s="2" t="s">
        <v>456</v>
      </c>
      <c r="B393" s="2" t="str">
        <f>LEFT(Table1[[#This Row],[تاریخ]],4)</f>
        <v>1402</v>
      </c>
      <c r="C393" s="2" t="s">
        <v>7</v>
      </c>
      <c r="D393" s="2" t="s">
        <v>9</v>
      </c>
      <c r="E393" s="2" t="s">
        <v>79</v>
      </c>
      <c r="F393" s="2" t="s">
        <v>30</v>
      </c>
      <c r="G393" s="2" t="s">
        <v>50</v>
      </c>
      <c r="H393" s="3">
        <v>2590</v>
      </c>
      <c r="I393" s="3">
        <v>80960</v>
      </c>
      <c r="J393" s="3">
        <f t="shared" si="6"/>
        <v>209686400</v>
      </c>
      <c r="K393" s="3">
        <v>103936288</v>
      </c>
      <c r="L393" s="3">
        <v>17117348</v>
      </c>
    </row>
    <row r="394" spans="1:12" x14ac:dyDescent="0.3">
      <c r="A394" s="2" t="s">
        <v>457</v>
      </c>
      <c r="B394" s="2" t="str">
        <f>LEFT(Table1[[#This Row],[تاریخ]],4)</f>
        <v>1402</v>
      </c>
      <c r="C394" s="2" t="s">
        <v>7</v>
      </c>
      <c r="D394" s="2" t="s">
        <v>9</v>
      </c>
      <c r="E394" s="2" t="s">
        <v>81</v>
      </c>
      <c r="F394" s="2" t="s">
        <v>33</v>
      </c>
      <c r="G394" s="2" t="s">
        <v>31</v>
      </c>
      <c r="H394" s="3">
        <v>2345</v>
      </c>
      <c r="I394" s="3">
        <v>61835</v>
      </c>
      <c r="J394" s="3">
        <f t="shared" si="6"/>
        <v>145003075</v>
      </c>
      <c r="K394" s="3">
        <v>1349782</v>
      </c>
      <c r="L394" s="3">
        <v>11550731</v>
      </c>
    </row>
    <row r="395" spans="1:12" x14ac:dyDescent="0.3">
      <c r="A395" s="2" t="s">
        <v>458</v>
      </c>
      <c r="B395" s="2" t="str">
        <f>LEFT(Table1[[#This Row],[تاریخ]],4)</f>
        <v>1402</v>
      </c>
      <c r="C395" s="2" t="s">
        <v>7</v>
      </c>
      <c r="D395" s="2" t="s">
        <v>9</v>
      </c>
      <c r="E395" s="2" t="s">
        <v>83</v>
      </c>
      <c r="F395" s="2" t="s">
        <v>37</v>
      </c>
      <c r="G395" s="2" t="s">
        <v>34</v>
      </c>
      <c r="H395" s="3">
        <v>1785</v>
      </c>
      <c r="I395" s="3">
        <v>77429</v>
      </c>
      <c r="J395" s="3">
        <f t="shared" si="6"/>
        <v>138210765</v>
      </c>
      <c r="K395" s="3">
        <v>23700318</v>
      </c>
      <c r="L395" s="3">
        <v>1900787</v>
      </c>
    </row>
    <row r="396" spans="1:12" x14ac:dyDescent="0.3">
      <c r="A396" s="2" t="s">
        <v>459</v>
      </c>
      <c r="B396" s="2" t="str">
        <f>LEFT(Table1[[#This Row],[تاریخ]],4)</f>
        <v>1402</v>
      </c>
      <c r="C396" s="2" t="s">
        <v>7</v>
      </c>
      <c r="D396" s="2" t="s">
        <v>9</v>
      </c>
      <c r="E396" s="2" t="s">
        <v>85</v>
      </c>
      <c r="F396" s="2" t="s">
        <v>41</v>
      </c>
      <c r="G396" s="2" t="s">
        <v>38</v>
      </c>
      <c r="H396" s="3">
        <v>2450</v>
      </c>
      <c r="I396" s="3">
        <v>95774</v>
      </c>
      <c r="J396" s="3">
        <f t="shared" si="6"/>
        <v>234646300</v>
      </c>
      <c r="K396" s="3">
        <v>62506749</v>
      </c>
      <c r="L396" s="3">
        <v>23809178</v>
      </c>
    </row>
    <row r="397" spans="1:12" x14ac:dyDescent="0.3">
      <c r="A397" s="2" t="s">
        <v>460</v>
      </c>
      <c r="B397" s="2" t="str">
        <f>LEFT(Table1[[#This Row],[تاریخ]],4)</f>
        <v>1402</v>
      </c>
      <c r="C397" s="2" t="s">
        <v>11</v>
      </c>
      <c r="D397" s="2" t="s">
        <v>10</v>
      </c>
      <c r="E397" s="2" t="s">
        <v>61</v>
      </c>
      <c r="F397" s="2" t="s">
        <v>45</v>
      </c>
      <c r="G397" s="2" t="s">
        <v>42</v>
      </c>
      <c r="H397" s="3">
        <v>1890</v>
      </c>
      <c r="I397" s="3">
        <v>116182</v>
      </c>
      <c r="J397" s="3">
        <f t="shared" si="6"/>
        <v>219583980</v>
      </c>
      <c r="K397" s="3">
        <v>60704909</v>
      </c>
      <c r="L397" s="3">
        <v>28570483</v>
      </c>
    </row>
    <row r="398" spans="1:12" x14ac:dyDescent="0.3">
      <c r="A398" s="2" t="s">
        <v>461</v>
      </c>
      <c r="B398" s="2" t="str">
        <f>LEFT(Table1[[#This Row],[تاریخ]],4)</f>
        <v>1402</v>
      </c>
      <c r="C398" s="2" t="s">
        <v>11</v>
      </c>
      <c r="D398" s="2" t="s">
        <v>10</v>
      </c>
      <c r="E398" s="2" t="s">
        <v>64</v>
      </c>
      <c r="F398" s="2" t="s">
        <v>49</v>
      </c>
      <c r="G398" s="2" t="s">
        <v>46</v>
      </c>
      <c r="H398" s="3">
        <v>3675</v>
      </c>
      <c r="I398" s="3">
        <v>95550</v>
      </c>
      <c r="J398" s="3">
        <f t="shared" si="6"/>
        <v>351146250</v>
      </c>
      <c r="K398" s="3">
        <v>192759198</v>
      </c>
      <c r="L398" s="3">
        <v>92284382</v>
      </c>
    </row>
    <row r="399" spans="1:12" x14ac:dyDescent="0.3">
      <c r="A399" s="2" t="s">
        <v>462</v>
      </c>
      <c r="B399" s="2" t="str">
        <f>LEFT(Table1[[#This Row],[تاریخ]],4)</f>
        <v>1402</v>
      </c>
      <c r="C399" s="2" t="s">
        <v>11</v>
      </c>
      <c r="D399" s="2" t="s">
        <v>10</v>
      </c>
      <c r="E399" s="2" t="s">
        <v>29</v>
      </c>
      <c r="F399" s="2" t="s">
        <v>53</v>
      </c>
      <c r="G399" s="2" t="s">
        <v>46</v>
      </c>
      <c r="H399" s="3">
        <v>1750</v>
      </c>
      <c r="I399" s="3">
        <v>115769</v>
      </c>
      <c r="J399" s="3">
        <f t="shared" si="6"/>
        <v>202595750</v>
      </c>
      <c r="K399" s="3">
        <v>54995700</v>
      </c>
      <c r="L399" s="3">
        <v>58880087</v>
      </c>
    </row>
    <row r="400" spans="1:12" x14ac:dyDescent="0.3">
      <c r="A400" s="2" t="s">
        <v>463</v>
      </c>
      <c r="B400" s="2" t="str">
        <f>LEFT(Table1[[#This Row],[تاریخ]],4)</f>
        <v>1402</v>
      </c>
      <c r="C400" s="2" t="s">
        <v>11</v>
      </c>
      <c r="D400" s="2" t="s">
        <v>10</v>
      </c>
      <c r="E400" s="2" t="s">
        <v>69</v>
      </c>
      <c r="F400" s="2" t="s">
        <v>56</v>
      </c>
      <c r="G400" s="2" t="s">
        <v>50</v>
      </c>
      <c r="H400" s="3">
        <v>2905</v>
      </c>
      <c r="I400" s="3">
        <v>106946</v>
      </c>
      <c r="J400" s="3">
        <f t="shared" si="6"/>
        <v>310678130</v>
      </c>
      <c r="K400" s="3">
        <v>165410086</v>
      </c>
      <c r="L400" s="3">
        <v>28901212</v>
      </c>
    </row>
    <row r="401" spans="1:12" x14ac:dyDescent="0.3">
      <c r="A401" s="2" t="s">
        <v>464</v>
      </c>
      <c r="B401" s="2" t="str">
        <f>LEFT(Table1[[#This Row],[تاریخ]],4)</f>
        <v>1402</v>
      </c>
      <c r="C401" s="2" t="s">
        <v>11</v>
      </c>
      <c r="D401" s="2" t="s">
        <v>10</v>
      </c>
      <c r="E401" s="2" t="s">
        <v>72</v>
      </c>
      <c r="F401" s="2" t="s">
        <v>59</v>
      </c>
      <c r="G401" s="2" t="s">
        <v>31</v>
      </c>
      <c r="H401" s="3">
        <v>2485</v>
      </c>
      <c r="I401" s="3">
        <v>60911</v>
      </c>
      <c r="J401" s="3">
        <f t="shared" si="6"/>
        <v>151363835</v>
      </c>
      <c r="K401" s="3">
        <v>75812990</v>
      </c>
      <c r="L401" s="3">
        <v>11528688</v>
      </c>
    </row>
    <row r="402" spans="1:12" x14ac:dyDescent="0.3">
      <c r="A402" s="2" t="s">
        <v>465</v>
      </c>
      <c r="B402" s="2" t="str">
        <f>LEFT(Table1[[#This Row],[تاریخ]],4)</f>
        <v>1402</v>
      </c>
      <c r="C402" s="2" t="s">
        <v>11</v>
      </c>
      <c r="D402" s="2" t="s">
        <v>10</v>
      </c>
      <c r="E402" s="2" t="s">
        <v>75</v>
      </c>
      <c r="F402" s="2" t="s">
        <v>62</v>
      </c>
      <c r="G402" s="2" t="s">
        <v>34</v>
      </c>
      <c r="H402" s="3">
        <v>2625</v>
      </c>
      <c r="I402" s="3">
        <v>145141</v>
      </c>
      <c r="J402" s="3">
        <f t="shared" si="6"/>
        <v>380995125</v>
      </c>
      <c r="K402" s="3">
        <v>17169850</v>
      </c>
      <c r="L402" s="3">
        <v>49836003</v>
      </c>
    </row>
    <row r="403" spans="1:12" x14ac:dyDescent="0.3">
      <c r="A403" s="2" t="s">
        <v>466</v>
      </c>
      <c r="B403" s="2" t="str">
        <f>LEFT(Table1[[#This Row],[تاریخ]],4)</f>
        <v>1402</v>
      </c>
      <c r="C403" s="2" t="s">
        <v>11</v>
      </c>
      <c r="D403" s="2" t="s">
        <v>12</v>
      </c>
      <c r="E403" s="2" t="s">
        <v>44</v>
      </c>
      <c r="F403" s="2" t="s">
        <v>30</v>
      </c>
      <c r="G403" s="2" t="s">
        <v>50</v>
      </c>
      <c r="H403" s="3">
        <v>2753</v>
      </c>
      <c r="I403" s="3">
        <v>85908</v>
      </c>
      <c r="J403" s="3">
        <f t="shared" si="6"/>
        <v>236504724</v>
      </c>
      <c r="K403" s="3">
        <v>233420394</v>
      </c>
      <c r="L403" s="3">
        <v>59894902</v>
      </c>
    </row>
    <row r="404" spans="1:12" x14ac:dyDescent="0.3">
      <c r="A404" s="2" t="s">
        <v>467</v>
      </c>
      <c r="B404" s="2" t="str">
        <f>LEFT(Table1[[#This Row],[تاریخ]],4)</f>
        <v>1402</v>
      </c>
      <c r="C404" s="2" t="s">
        <v>11</v>
      </c>
      <c r="D404" s="2" t="s">
        <v>12</v>
      </c>
      <c r="E404" s="2" t="s">
        <v>79</v>
      </c>
      <c r="F404" s="2" t="s">
        <v>33</v>
      </c>
      <c r="G404" s="2" t="s">
        <v>31</v>
      </c>
      <c r="H404" s="3">
        <v>4340</v>
      </c>
      <c r="I404" s="3">
        <v>161405.33333333334</v>
      </c>
      <c r="J404" s="3">
        <f t="shared" si="6"/>
        <v>700499146.66666675</v>
      </c>
      <c r="K404" s="3">
        <v>772637034</v>
      </c>
      <c r="L404" s="3">
        <v>222489774</v>
      </c>
    </row>
    <row r="405" spans="1:12" x14ac:dyDescent="0.3">
      <c r="A405" s="2" t="s">
        <v>468</v>
      </c>
      <c r="B405" s="2" t="str">
        <f>LEFT(Table1[[#This Row],[تاریخ]],4)</f>
        <v>1402</v>
      </c>
      <c r="C405" s="2" t="s">
        <v>11</v>
      </c>
      <c r="D405" s="2" t="s">
        <v>12</v>
      </c>
      <c r="E405" s="2" t="s">
        <v>81</v>
      </c>
      <c r="F405" s="2" t="s">
        <v>37</v>
      </c>
      <c r="G405" s="2" t="s">
        <v>34</v>
      </c>
      <c r="H405" s="3">
        <v>3827</v>
      </c>
      <c r="I405" s="3">
        <v>188129.33333333334</v>
      </c>
      <c r="J405" s="3">
        <f t="shared" si="6"/>
        <v>719970958.66666675</v>
      </c>
      <c r="K405" s="3">
        <v>286771784</v>
      </c>
      <c r="L405" s="3">
        <v>164388900</v>
      </c>
    </row>
    <row r="406" spans="1:12" x14ac:dyDescent="0.3">
      <c r="A406" s="2" t="s">
        <v>469</v>
      </c>
      <c r="B406" s="2" t="str">
        <f>LEFT(Table1[[#This Row],[تاریخ]],4)</f>
        <v>1402</v>
      </c>
      <c r="C406" s="2" t="s">
        <v>11</v>
      </c>
      <c r="D406" s="2" t="s">
        <v>12</v>
      </c>
      <c r="E406" s="2" t="s">
        <v>83</v>
      </c>
      <c r="F406" s="2" t="s">
        <v>41</v>
      </c>
      <c r="G406" s="2" t="s">
        <v>38</v>
      </c>
      <c r="H406" s="3">
        <v>4293</v>
      </c>
      <c r="I406" s="3">
        <v>102274.66666666667</v>
      </c>
      <c r="J406" s="3">
        <f t="shared" si="6"/>
        <v>439065144</v>
      </c>
      <c r="K406" s="3">
        <v>101935694</v>
      </c>
      <c r="L406" s="3">
        <v>110044472</v>
      </c>
    </row>
    <row r="407" spans="1:12" x14ac:dyDescent="0.3">
      <c r="A407" s="2" t="s">
        <v>470</v>
      </c>
      <c r="B407" s="2" t="str">
        <f>LEFT(Table1[[#This Row],[تاریخ]],4)</f>
        <v>1402</v>
      </c>
      <c r="C407" s="2" t="s">
        <v>11</v>
      </c>
      <c r="D407" s="2" t="s">
        <v>12</v>
      </c>
      <c r="E407" s="2" t="s">
        <v>85</v>
      </c>
      <c r="F407" s="2" t="s">
        <v>45</v>
      </c>
      <c r="G407" s="2" t="s">
        <v>42</v>
      </c>
      <c r="H407" s="3">
        <v>3127</v>
      </c>
      <c r="I407" s="3">
        <v>67273.333333333328</v>
      </c>
      <c r="J407" s="3">
        <f t="shared" si="6"/>
        <v>210363713.33333331</v>
      </c>
      <c r="K407" s="3">
        <v>65371894</v>
      </c>
      <c r="L407" s="3">
        <v>11088396</v>
      </c>
    </row>
    <row r="408" spans="1:12" x14ac:dyDescent="0.3">
      <c r="A408" s="2" t="s">
        <v>471</v>
      </c>
      <c r="B408" s="2" t="str">
        <f>LEFT(Table1[[#This Row],[تاریخ]],4)</f>
        <v>1402</v>
      </c>
      <c r="C408" s="2" t="s">
        <v>11</v>
      </c>
      <c r="D408" s="2" t="s">
        <v>12</v>
      </c>
      <c r="E408" s="2" t="s">
        <v>61</v>
      </c>
      <c r="F408" s="2" t="s">
        <v>49</v>
      </c>
      <c r="G408" s="2" t="s">
        <v>46</v>
      </c>
      <c r="H408" s="3">
        <v>4713</v>
      </c>
      <c r="I408" s="3">
        <v>69558.666666666672</v>
      </c>
      <c r="J408" s="3">
        <f t="shared" si="6"/>
        <v>327829996</v>
      </c>
      <c r="K408" s="3">
        <v>124517406</v>
      </c>
      <c r="L408" s="3">
        <v>104884712</v>
      </c>
    </row>
    <row r="409" spans="1:12" x14ac:dyDescent="0.3">
      <c r="A409" s="2" t="s">
        <v>472</v>
      </c>
      <c r="B409" s="2" t="str">
        <f>LEFT(Table1[[#This Row],[تاریخ]],4)</f>
        <v>1402</v>
      </c>
      <c r="C409" s="2" t="s">
        <v>11</v>
      </c>
      <c r="D409" s="2" t="s">
        <v>13</v>
      </c>
      <c r="E409" s="2" t="s">
        <v>64</v>
      </c>
      <c r="F409" s="2" t="s">
        <v>53</v>
      </c>
      <c r="G409" s="2" t="s">
        <v>46</v>
      </c>
      <c r="H409" s="3">
        <v>2567</v>
      </c>
      <c r="I409" s="3">
        <v>111176</v>
      </c>
      <c r="J409" s="3">
        <f t="shared" si="6"/>
        <v>285388792</v>
      </c>
      <c r="K409" s="3">
        <v>67276338</v>
      </c>
      <c r="L409" s="3">
        <v>52785920</v>
      </c>
    </row>
    <row r="410" spans="1:12" x14ac:dyDescent="0.3">
      <c r="A410" s="2" t="s">
        <v>473</v>
      </c>
      <c r="B410" s="2" t="str">
        <f>LEFT(Table1[[#This Row],[تاریخ]],4)</f>
        <v>1402</v>
      </c>
      <c r="C410" s="2" t="s">
        <v>11</v>
      </c>
      <c r="D410" s="2" t="s">
        <v>13</v>
      </c>
      <c r="E410" s="2" t="s">
        <v>29</v>
      </c>
      <c r="F410" s="2" t="s">
        <v>56</v>
      </c>
      <c r="G410" s="2" t="s">
        <v>50</v>
      </c>
      <c r="H410" s="3">
        <v>3313</v>
      </c>
      <c r="I410" s="3">
        <v>181878.66666666666</v>
      </c>
      <c r="J410" s="3">
        <f t="shared" si="6"/>
        <v>602564022.66666663</v>
      </c>
      <c r="K410" s="3">
        <v>660211494</v>
      </c>
      <c r="L410" s="3">
        <v>112347556</v>
      </c>
    </row>
    <row r="411" spans="1:12" x14ac:dyDescent="0.3">
      <c r="A411" s="2" t="s">
        <v>474</v>
      </c>
      <c r="B411" s="2" t="str">
        <f>LEFT(Table1[[#This Row],[تاریخ]],4)</f>
        <v>1402</v>
      </c>
      <c r="C411" s="2" t="s">
        <v>11</v>
      </c>
      <c r="D411" s="2" t="s">
        <v>13</v>
      </c>
      <c r="E411" s="2" t="s">
        <v>69</v>
      </c>
      <c r="F411" s="2" t="s">
        <v>59</v>
      </c>
      <c r="G411" s="2" t="s">
        <v>31</v>
      </c>
      <c r="H411" s="3">
        <v>2473</v>
      </c>
      <c r="I411" s="3">
        <v>190173.33333333334</v>
      </c>
      <c r="J411" s="3">
        <f t="shared" si="6"/>
        <v>470298653.33333337</v>
      </c>
      <c r="K411" s="3">
        <v>7061920</v>
      </c>
      <c r="L411" s="3">
        <v>55575760</v>
      </c>
    </row>
    <row r="412" spans="1:12" x14ac:dyDescent="0.3">
      <c r="A412" s="2" t="s">
        <v>475</v>
      </c>
      <c r="B412" s="2" t="str">
        <f>LEFT(Table1[[#This Row],[تاریخ]],4)</f>
        <v>1402</v>
      </c>
      <c r="C412" s="2" t="s">
        <v>11</v>
      </c>
      <c r="D412" s="2" t="s">
        <v>13</v>
      </c>
      <c r="E412" s="2" t="s">
        <v>72</v>
      </c>
      <c r="F412" s="2" t="s">
        <v>62</v>
      </c>
      <c r="G412" s="2" t="s">
        <v>34</v>
      </c>
      <c r="H412" s="3">
        <v>4900</v>
      </c>
      <c r="I412" s="3">
        <v>73328</v>
      </c>
      <c r="J412" s="3">
        <f t="shared" si="6"/>
        <v>359307200</v>
      </c>
      <c r="K412" s="3">
        <v>355614856</v>
      </c>
      <c r="L412" s="3">
        <v>83354070</v>
      </c>
    </row>
    <row r="413" spans="1:12" x14ac:dyDescent="0.3">
      <c r="A413" s="2" t="s">
        <v>476</v>
      </c>
      <c r="B413" s="2" t="str">
        <f>LEFT(Table1[[#This Row],[تاریخ]],4)</f>
        <v>1402</v>
      </c>
      <c r="C413" s="2" t="s">
        <v>11</v>
      </c>
      <c r="D413" s="2" t="s">
        <v>13</v>
      </c>
      <c r="E413" s="2" t="s">
        <v>75</v>
      </c>
      <c r="F413" s="2" t="s">
        <v>65</v>
      </c>
      <c r="G413" s="2" t="s">
        <v>38</v>
      </c>
      <c r="H413" s="3">
        <v>2567</v>
      </c>
      <c r="I413" s="3">
        <v>197484</v>
      </c>
      <c r="J413" s="3">
        <f t="shared" si="6"/>
        <v>506941428</v>
      </c>
      <c r="K413" s="3">
        <v>111024054</v>
      </c>
      <c r="L413" s="3">
        <v>50443668</v>
      </c>
    </row>
    <row r="414" spans="1:12" x14ac:dyDescent="0.3">
      <c r="A414" s="2" t="s">
        <v>477</v>
      </c>
      <c r="B414" s="2" t="str">
        <f>LEFT(Table1[[#This Row],[تاریخ]],4)</f>
        <v>1402</v>
      </c>
      <c r="C414" s="2" t="s">
        <v>11</v>
      </c>
      <c r="D414" s="2" t="s">
        <v>13</v>
      </c>
      <c r="E414" s="2" t="s">
        <v>44</v>
      </c>
      <c r="F414" s="2" t="s">
        <v>67</v>
      </c>
      <c r="G414" s="2" t="s">
        <v>42</v>
      </c>
      <c r="H414" s="3">
        <v>4247</v>
      </c>
      <c r="I414" s="3">
        <v>126881.33333333333</v>
      </c>
      <c r="J414" s="3">
        <f t="shared" si="6"/>
        <v>538865022.66666663</v>
      </c>
      <c r="K414" s="3">
        <v>103840828</v>
      </c>
      <c r="L414" s="3">
        <v>143459038</v>
      </c>
    </row>
    <row r="415" spans="1:12" x14ac:dyDescent="0.3">
      <c r="A415" s="2" t="s">
        <v>478</v>
      </c>
      <c r="B415" s="2" t="str">
        <f>LEFT(Table1[[#This Row],[تاریخ]],4)</f>
        <v>1402</v>
      </c>
      <c r="C415" s="2" t="s">
        <v>15</v>
      </c>
      <c r="D415" s="2" t="s">
        <v>14</v>
      </c>
      <c r="E415" s="2" t="s">
        <v>79</v>
      </c>
      <c r="F415" s="2" t="s">
        <v>70</v>
      </c>
      <c r="G415" s="2" t="s">
        <v>46</v>
      </c>
      <c r="H415" s="3">
        <v>4433</v>
      </c>
      <c r="I415" s="3">
        <v>189958.66666666666</v>
      </c>
      <c r="J415" s="3">
        <f t="shared" si="6"/>
        <v>842086769.33333325</v>
      </c>
      <c r="K415" s="3">
        <v>754147120</v>
      </c>
      <c r="L415" s="3">
        <v>53123664</v>
      </c>
    </row>
    <row r="416" spans="1:12" x14ac:dyDescent="0.3">
      <c r="A416" s="2" t="s">
        <v>479</v>
      </c>
      <c r="B416" s="2" t="str">
        <f>LEFT(Table1[[#This Row],[تاریخ]],4)</f>
        <v>1402</v>
      </c>
      <c r="C416" s="2" t="s">
        <v>15</v>
      </c>
      <c r="D416" s="2" t="s">
        <v>14</v>
      </c>
      <c r="E416" s="2" t="s">
        <v>81</v>
      </c>
      <c r="F416" s="2" t="s">
        <v>73</v>
      </c>
      <c r="G416" s="2" t="s">
        <v>46</v>
      </c>
      <c r="H416" s="3">
        <v>4340</v>
      </c>
      <c r="I416" s="3">
        <v>134440</v>
      </c>
      <c r="J416" s="3">
        <f t="shared" si="6"/>
        <v>583469600</v>
      </c>
      <c r="K416" s="3">
        <v>35312776</v>
      </c>
      <c r="L416" s="3">
        <v>72521296</v>
      </c>
    </row>
    <row r="417" spans="1:12" x14ac:dyDescent="0.3">
      <c r="A417" s="2" t="s">
        <v>480</v>
      </c>
      <c r="B417" s="2" t="str">
        <f>LEFT(Table1[[#This Row],[تاریخ]],4)</f>
        <v>1402</v>
      </c>
      <c r="C417" s="2" t="s">
        <v>15</v>
      </c>
      <c r="D417" s="2" t="s">
        <v>14</v>
      </c>
      <c r="E417" s="2" t="s">
        <v>83</v>
      </c>
      <c r="F417" s="2" t="s">
        <v>76</v>
      </c>
      <c r="G417" s="2" t="s">
        <v>50</v>
      </c>
      <c r="H417" s="3">
        <v>2520</v>
      </c>
      <c r="I417" s="3">
        <v>99290.666666666672</v>
      </c>
      <c r="J417" s="3">
        <f t="shared" si="6"/>
        <v>250212480</v>
      </c>
      <c r="K417" s="3">
        <v>240414572</v>
      </c>
      <c r="L417" s="3">
        <v>28598798</v>
      </c>
    </row>
    <row r="418" spans="1:12" x14ac:dyDescent="0.3">
      <c r="A418" s="2" t="s">
        <v>481</v>
      </c>
      <c r="B418" s="2" t="str">
        <f>LEFT(Table1[[#This Row],[تاریخ]],4)</f>
        <v>1402</v>
      </c>
      <c r="C418" s="2" t="s">
        <v>15</v>
      </c>
      <c r="D418" s="2" t="s">
        <v>14</v>
      </c>
      <c r="E418" s="2" t="s">
        <v>85</v>
      </c>
      <c r="F418" s="2" t="s">
        <v>30</v>
      </c>
      <c r="G418" s="2" t="s">
        <v>31</v>
      </c>
      <c r="H418" s="3">
        <v>2613</v>
      </c>
      <c r="I418" s="3">
        <v>135489.33333333334</v>
      </c>
      <c r="J418" s="3">
        <f t="shared" si="6"/>
        <v>354033628</v>
      </c>
      <c r="K418" s="3">
        <v>292912166</v>
      </c>
      <c r="L418" s="3">
        <v>59689674</v>
      </c>
    </row>
    <row r="419" spans="1:12" x14ac:dyDescent="0.3">
      <c r="A419" s="2" t="s">
        <v>482</v>
      </c>
      <c r="B419" s="2" t="str">
        <f>LEFT(Table1[[#This Row],[تاریخ]],4)</f>
        <v>1402</v>
      </c>
      <c r="C419" s="2" t="s">
        <v>15</v>
      </c>
      <c r="D419" s="2" t="s">
        <v>14</v>
      </c>
      <c r="E419" s="2" t="s">
        <v>61</v>
      </c>
      <c r="F419" s="2" t="s">
        <v>33</v>
      </c>
      <c r="G419" s="2" t="s">
        <v>34</v>
      </c>
      <c r="H419" s="3">
        <v>3033</v>
      </c>
      <c r="I419" s="3">
        <v>132573.33333333334</v>
      </c>
      <c r="J419" s="3">
        <f t="shared" si="6"/>
        <v>402094920</v>
      </c>
      <c r="K419" s="3">
        <v>72809478</v>
      </c>
      <c r="L419" s="3">
        <v>56204354</v>
      </c>
    </row>
    <row r="420" spans="1:12" x14ac:dyDescent="0.3">
      <c r="A420" s="2" t="s">
        <v>483</v>
      </c>
      <c r="B420" s="2" t="str">
        <f>LEFT(Table1[[#This Row],[تاریخ]],4)</f>
        <v>1402</v>
      </c>
      <c r="C420" s="2" t="s">
        <v>15</v>
      </c>
      <c r="D420" s="2" t="s">
        <v>14</v>
      </c>
      <c r="E420" s="2" t="s">
        <v>64</v>
      </c>
      <c r="F420" s="2" t="s">
        <v>37</v>
      </c>
      <c r="G420" s="2" t="s">
        <v>38</v>
      </c>
      <c r="H420" s="3">
        <v>3313</v>
      </c>
      <c r="I420" s="3">
        <v>152881.33333333334</v>
      </c>
      <c r="J420" s="3">
        <f t="shared" si="6"/>
        <v>506495857.33333337</v>
      </c>
      <c r="K420" s="3">
        <v>35956054</v>
      </c>
      <c r="L420" s="3">
        <v>167439770</v>
      </c>
    </row>
    <row r="421" spans="1:12" x14ac:dyDescent="0.3">
      <c r="A421" s="2" t="s">
        <v>484</v>
      </c>
      <c r="B421" s="2" t="str">
        <f>LEFT(Table1[[#This Row],[تاریخ]],4)</f>
        <v>1402</v>
      </c>
      <c r="C421" s="2" t="s">
        <v>15</v>
      </c>
      <c r="D421" s="2" t="s">
        <v>16</v>
      </c>
      <c r="E421" s="2" t="s">
        <v>29</v>
      </c>
      <c r="F421" s="2" t="s">
        <v>41</v>
      </c>
      <c r="G421" s="2" t="s">
        <v>42</v>
      </c>
      <c r="H421" s="3">
        <v>4247</v>
      </c>
      <c r="I421" s="3">
        <v>157845.33333333334</v>
      </c>
      <c r="J421" s="3">
        <f t="shared" si="6"/>
        <v>670369130.66666675</v>
      </c>
      <c r="K421" s="3">
        <v>426548384</v>
      </c>
      <c r="L421" s="3">
        <v>49009000</v>
      </c>
    </row>
    <row r="422" spans="1:12" x14ac:dyDescent="0.3">
      <c r="A422" s="2" t="s">
        <v>485</v>
      </c>
      <c r="B422" s="2" t="str">
        <f>LEFT(Table1[[#This Row],[تاریخ]],4)</f>
        <v>1402</v>
      </c>
      <c r="C422" s="2" t="s">
        <v>15</v>
      </c>
      <c r="D422" s="2" t="s">
        <v>16</v>
      </c>
      <c r="E422" s="2" t="s">
        <v>69</v>
      </c>
      <c r="F422" s="2" t="s">
        <v>45</v>
      </c>
      <c r="G422" s="2" t="s">
        <v>46</v>
      </c>
      <c r="H422" s="3">
        <v>3920</v>
      </c>
      <c r="I422" s="3">
        <v>156042.66666666666</v>
      </c>
      <c r="J422" s="3">
        <f t="shared" si="6"/>
        <v>611687253.33333325</v>
      </c>
      <c r="K422" s="3">
        <v>256101484</v>
      </c>
      <c r="L422" s="3">
        <v>2112248</v>
      </c>
    </row>
    <row r="423" spans="1:12" x14ac:dyDescent="0.3">
      <c r="A423" s="2" t="s">
        <v>486</v>
      </c>
      <c r="B423" s="2" t="str">
        <f>LEFT(Table1[[#This Row],[تاریخ]],4)</f>
        <v>1402</v>
      </c>
      <c r="C423" s="2" t="s">
        <v>15</v>
      </c>
      <c r="D423" s="2" t="s">
        <v>16</v>
      </c>
      <c r="E423" s="2" t="s">
        <v>72</v>
      </c>
      <c r="F423" s="2" t="s">
        <v>49</v>
      </c>
      <c r="G423" s="2" t="s">
        <v>46</v>
      </c>
      <c r="H423" s="3">
        <v>2427</v>
      </c>
      <c r="I423" s="3">
        <v>120241.33333333333</v>
      </c>
      <c r="J423" s="3">
        <f t="shared" si="6"/>
        <v>291825716</v>
      </c>
      <c r="K423" s="3">
        <v>241740462</v>
      </c>
      <c r="L423" s="3">
        <v>96511284</v>
      </c>
    </row>
    <row r="424" spans="1:12" x14ac:dyDescent="0.3">
      <c r="A424" s="2" t="s">
        <v>487</v>
      </c>
      <c r="B424" s="2" t="str">
        <f>LEFT(Table1[[#This Row],[تاریخ]],4)</f>
        <v>1402</v>
      </c>
      <c r="C424" s="2" t="s">
        <v>15</v>
      </c>
      <c r="D424" s="2" t="s">
        <v>16</v>
      </c>
      <c r="E424" s="2" t="s">
        <v>75</v>
      </c>
      <c r="F424" s="2" t="s">
        <v>53</v>
      </c>
      <c r="G424" s="2" t="s">
        <v>50</v>
      </c>
      <c r="H424" s="3">
        <v>3360</v>
      </c>
      <c r="I424" s="3">
        <v>100021.33333333333</v>
      </c>
      <c r="J424" s="3">
        <f t="shared" si="6"/>
        <v>336071680</v>
      </c>
      <c r="K424" s="3">
        <v>259711886</v>
      </c>
      <c r="L424" s="3">
        <v>109774680</v>
      </c>
    </row>
    <row r="425" spans="1:12" x14ac:dyDescent="0.3">
      <c r="A425" s="2" t="s">
        <v>488</v>
      </c>
      <c r="B425" s="2" t="str">
        <f>LEFT(Table1[[#This Row],[تاریخ]],4)</f>
        <v>1402</v>
      </c>
      <c r="C425" s="2" t="s">
        <v>15</v>
      </c>
      <c r="D425" s="2" t="s">
        <v>16</v>
      </c>
      <c r="E425" s="2" t="s">
        <v>44</v>
      </c>
      <c r="F425" s="2" t="s">
        <v>56</v>
      </c>
      <c r="G425" s="2" t="s">
        <v>31</v>
      </c>
      <c r="H425" s="3">
        <v>4200</v>
      </c>
      <c r="I425" s="3">
        <v>135281.33333333334</v>
      </c>
      <c r="J425" s="3">
        <f t="shared" si="6"/>
        <v>568181600</v>
      </c>
      <c r="K425" s="3">
        <v>334281386</v>
      </c>
      <c r="L425" s="3">
        <v>181545078</v>
      </c>
    </row>
    <row r="426" spans="1:12" x14ac:dyDescent="0.3">
      <c r="A426" s="2" t="s">
        <v>489</v>
      </c>
      <c r="B426" s="2" t="str">
        <f>LEFT(Table1[[#This Row],[تاریخ]],4)</f>
        <v>1402</v>
      </c>
      <c r="C426" s="2" t="s">
        <v>15</v>
      </c>
      <c r="D426" s="2" t="s">
        <v>16</v>
      </c>
      <c r="E426" s="2" t="s">
        <v>79</v>
      </c>
      <c r="F426" s="2" t="s">
        <v>59</v>
      </c>
      <c r="G426" s="2" t="s">
        <v>34</v>
      </c>
      <c r="H426" s="3">
        <v>2613</v>
      </c>
      <c r="I426" s="3">
        <v>75810.666666666672</v>
      </c>
      <c r="J426" s="3">
        <f t="shared" si="6"/>
        <v>198093272</v>
      </c>
      <c r="K426" s="3">
        <v>99748152</v>
      </c>
      <c r="L426" s="3">
        <v>41649496</v>
      </c>
    </row>
    <row r="427" spans="1:12" x14ac:dyDescent="0.3">
      <c r="A427" s="2" t="s">
        <v>490</v>
      </c>
      <c r="B427" s="2" t="str">
        <f>LEFT(Table1[[#This Row],[تاریخ]],4)</f>
        <v>1402</v>
      </c>
      <c r="C427" s="2" t="s">
        <v>15</v>
      </c>
      <c r="D427" s="2" t="s">
        <v>17</v>
      </c>
      <c r="E427" s="2" t="s">
        <v>81</v>
      </c>
      <c r="F427" s="2" t="s">
        <v>62</v>
      </c>
      <c r="G427" s="2" t="s">
        <v>38</v>
      </c>
      <c r="H427" s="3">
        <v>2707</v>
      </c>
      <c r="I427" s="3">
        <v>191606.66666666666</v>
      </c>
      <c r="J427" s="3">
        <f t="shared" si="6"/>
        <v>518679246.66666663</v>
      </c>
      <c r="K427" s="3">
        <v>332343718</v>
      </c>
      <c r="L427" s="3">
        <v>85246338</v>
      </c>
    </row>
    <row r="428" spans="1:12" x14ac:dyDescent="0.3">
      <c r="A428" s="2" t="s">
        <v>491</v>
      </c>
      <c r="B428" s="2" t="str">
        <f>LEFT(Table1[[#This Row],[تاریخ]],4)</f>
        <v>1402</v>
      </c>
      <c r="C428" s="2" t="s">
        <v>15</v>
      </c>
      <c r="D428" s="2" t="s">
        <v>17</v>
      </c>
      <c r="E428" s="2" t="s">
        <v>83</v>
      </c>
      <c r="F428" s="2" t="s">
        <v>65</v>
      </c>
      <c r="G428" s="2" t="s">
        <v>42</v>
      </c>
      <c r="H428" s="3">
        <v>2987</v>
      </c>
      <c r="I428" s="3">
        <v>162168</v>
      </c>
      <c r="J428" s="3">
        <f t="shared" si="6"/>
        <v>484395816</v>
      </c>
      <c r="K428" s="3">
        <v>506653998</v>
      </c>
      <c r="L428" s="3">
        <v>66147572</v>
      </c>
    </row>
    <row r="429" spans="1:12" x14ac:dyDescent="0.3">
      <c r="A429" s="2" t="s">
        <v>492</v>
      </c>
      <c r="B429" s="2" t="str">
        <f>LEFT(Table1[[#This Row],[تاریخ]],4)</f>
        <v>1402</v>
      </c>
      <c r="C429" s="2" t="s">
        <v>15</v>
      </c>
      <c r="D429" s="2" t="s">
        <v>17</v>
      </c>
      <c r="E429" s="2" t="s">
        <v>85</v>
      </c>
      <c r="F429" s="2" t="s">
        <v>67</v>
      </c>
      <c r="G429" s="2" t="s">
        <v>46</v>
      </c>
      <c r="H429" s="3">
        <v>2427</v>
      </c>
      <c r="I429" s="3">
        <v>191965.33333333334</v>
      </c>
      <c r="J429" s="3">
        <f t="shared" si="6"/>
        <v>465899864</v>
      </c>
      <c r="K429" s="3">
        <v>147193540</v>
      </c>
      <c r="L429" s="3">
        <v>26503024</v>
      </c>
    </row>
    <row r="430" spans="1:12" x14ac:dyDescent="0.3">
      <c r="A430" s="2" t="s">
        <v>493</v>
      </c>
      <c r="B430" s="2" t="str">
        <f>LEFT(Table1[[#This Row],[تاریخ]],4)</f>
        <v>1402</v>
      </c>
      <c r="C430" s="2" t="s">
        <v>15</v>
      </c>
      <c r="D430" s="2" t="s">
        <v>17</v>
      </c>
      <c r="E430" s="2" t="s">
        <v>61</v>
      </c>
      <c r="F430" s="2" t="s">
        <v>70</v>
      </c>
      <c r="G430" s="2" t="s">
        <v>46</v>
      </c>
      <c r="H430" s="3">
        <v>4527</v>
      </c>
      <c r="I430" s="3">
        <v>132173.33333333334</v>
      </c>
      <c r="J430" s="3">
        <f t="shared" si="6"/>
        <v>598348680</v>
      </c>
      <c r="K430" s="3">
        <v>400237268</v>
      </c>
      <c r="L430" s="3">
        <v>157439310</v>
      </c>
    </row>
    <row r="431" spans="1:12" x14ac:dyDescent="0.3">
      <c r="A431" s="2" t="s">
        <v>494</v>
      </c>
      <c r="B431" s="2" t="str">
        <f>LEFT(Table1[[#This Row],[تاریخ]],4)</f>
        <v>1402</v>
      </c>
      <c r="C431" s="2" t="s">
        <v>15</v>
      </c>
      <c r="D431" s="2" t="s">
        <v>17</v>
      </c>
      <c r="E431" s="2" t="s">
        <v>64</v>
      </c>
      <c r="F431" s="2" t="s">
        <v>73</v>
      </c>
      <c r="G431" s="2" t="s">
        <v>50</v>
      </c>
      <c r="H431" s="3">
        <v>3547</v>
      </c>
      <c r="I431" s="3">
        <v>94621.333333333328</v>
      </c>
      <c r="J431" s="3">
        <f t="shared" si="6"/>
        <v>335621869.33333331</v>
      </c>
      <c r="K431" s="3">
        <v>374807578</v>
      </c>
      <c r="L431" s="3">
        <v>84605342</v>
      </c>
    </row>
    <row r="432" spans="1:12" x14ac:dyDescent="0.3">
      <c r="A432" s="2" t="s">
        <v>495</v>
      </c>
      <c r="B432" s="2" t="str">
        <f>LEFT(Table1[[#This Row],[تاریخ]],4)</f>
        <v>1402</v>
      </c>
      <c r="C432" s="2" t="s">
        <v>15</v>
      </c>
      <c r="D432" s="2" t="s">
        <v>17</v>
      </c>
      <c r="E432" s="2" t="s">
        <v>29</v>
      </c>
      <c r="F432" s="2" t="s">
        <v>76</v>
      </c>
      <c r="G432" s="2" t="s">
        <v>31</v>
      </c>
      <c r="H432" s="3">
        <v>3220</v>
      </c>
      <c r="I432" s="3">
        <v>172389.33333333334</v>
      </c>
      <c r="J432" s="3">
        <f t="shared" si="6"/>
        <v>555093653.33333337</v>
      </c>
      <c r="K432" s="3">
        <v>58374764</v>
      </c>
      <c r="L432" s="3">
        <v>105929252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AB94B7-0EF7-4503-B6E9-FDAFFDE7E3CD}">
  <dimension ref="A3:I74"/>
  <sheetViews>
    <sheetView rightToLeft="1" topLeftCell="A51" workbookViewId="0">
      <selection activeCell="F71" sqref="F71"/>
    </sheetView>
  </sheetViews>
  <sheetFormatPr defaultRowHeight="14.4" x14ac:dyDescent="0.3"/>
  <cols>
    <col min="1" max="1" width="12.5546875" bestFit="1" customWidth="1"/>
    <col min="2" max="2" width="16.88671875" bestFit="1" customWidth="1"/>
    <col min="3" max="3" width="18" bestFit="1" customWidth="1"/>
    <col min="4" max="4" width="15.5546875" bestFit="1" customWidth="1"/>
    <col min="5" max="5" width="16.88671875" bestFit="1" customWidth="1"/>
    <col min="6" max="6" width="15.5546875" bestFit="1" customWidth="1"/>
    <col min="7" max="7" width="16.88671875" bestFit="1" customWidth="1"/>
    <col min="8" max="8" width="17.44140625" bestFit="1" customWidth="1"/>
    <col min="9" max="9" width="16.33203125" bestFit="1" customWidth="1"/>
    <col min="10" max="10" width="13.77734375" bestFit="1" customWidth="1"/>
    <col min="11" max="11" width="10.77734375" bestFit="1" customWidth="1"/>
    <col min="12" max="16" width="15.5546875" bestFit="1" customWidth="1"/>
    <col min="17" max="17" width="10.77734375" bestFit="1" customWidth="1"/>
    <col min="18" max="40" width="17.44140625" bestFit="1" customWidth="1"/>
    <col min="41" max="41" width="14.44140625" bestFit="1" customWidth="1"/>
    <col min="42" max="42" width="21.77734375" bestFit="1" customWidth="1"/>
    <col min="43" max="43" width="22.21875" bestFit="1" customWidth="1"/>
    <col min="44" max="221" width="6.5546875" bestFit="1" customWidth="1"/>
    <col min="222" max="435" width="7.5546875" bestFit="1" customWidth="1"/>
    <col min="436" max="436" width="10.77734375" bestFit="1" customWidth="1"/>
  </cols>
  <sheetData>
    <row r="3" spans="1:7" x14ac:dyDescent="0.3">
      <c r="A3" s="6" t="s">
        <v>497</v>
      </c>
      <c r="B3" t="s">
        <v>505</v>
      </c>
      <c r="C3" t="s">
        <v>506</v>
      </c>
      <c r="D3" s="10">
        <f>B5-B4</f>
        <v>4979546322.3333321</v>
      </c>
      <c r="G3" s="9" t="s">
        <v>507</v>
      </c>
    </row>
    <row r="4" spans="1:7" x14ac:dyDescent="0.3">
      <c r="A4" s="7" t="s">
        <v>502</v>
      </c>
      <c r="B4" s="8">
        <v>20828066840</v>
      </c>
    </row>
    <row r="5" spans="1:7" x14ac:dyDescent="0.3">
      <c r="A5" s="7" t="s">
        <v>503</v>
      </c>
      <c r="B5" s="8">
        <v>25807613162.333332</v>
      </c>
    </row>
    <row r="6" spans="1:7" x14ac:dyDescent="0.3">
      <c r="A6" s="7" t="s">
        <v>504</v>
      </c>
      <c r="B6" s="8">
        <v>46635680002.333328</v>
      </c>
    </row>
    <row r="9" spans="1:7" x14ac:dyDescent="0.3">
      <c r="A9" s="6" t="s">
        <v>497</v>
      </c>
      <c r="B9" t="s">
        <v>508</v>
      </c>
    </row>
    <row r="10" spans="1:7" x14ac:dyDescent="0.3">
      <c r="A10" s="7" t="s">
        <v>503</v>
      </c>
      <c r="B10" s="8">
        <v>225879</v>
      </c>
    </row>
    <row r="11" spans="1:7" x14ac:dyDescent="0.3">
      <c r="A11" s="7" t="s">
        <v>504</v>
      </c>
      <c r="B11" s="8">
        <v>225879</v>
      </c>
    </row>
    <row r="13" spans="1:7" x14ac:dyDescent="0.3">
      <c r="A13" t="s">
        <v>509</v>
      </c>
    </row>
    <row r="14" spans="1:7" x14ac:dyDescent="0.3">
      <c r="A14">
        <v>15</v>
      </c>
    </row>
    <row r="16" spans="1:7" x14ac:dyDescent="0.3">
      <c r="B16" s="6" t="s">
        <v>510</v>
      </c>
    </row>
    <row r="17" spans="1:8" x14ac:dyDescent="0.3">
      <c r="B17" t="s">
        <v>498</v>
      </c>
      <c r="C17" t="s">
        <v>499</v>
      </c>
      <c r="D17" t="s">
        <v>500</v>
      </c>
      <c r="E17" t="s">
        <v>501</v>
      </c>
      <c r="F17" t="s">
        <v>502</v>
      </c>
      <c r="G17" t="s">
        <v>503</v>
      </c>
      <c r="H17" t="s">
        <v>504</v>
      </c>
    </row>
    <row r="18" spans="1:8" x14ac:dyDescent="0.3">
      <c r="A18" t="s">
        <v>511</v>
      </c>
      <c r="B18" s="8">
        <v>8737113821</v>
      </c>
      <c r="C18" s="8">
        <v>10730247461</v>
      </c>
      <c r="D18" s="8">
        <v>9638901517</v>
      </c>
      <c r="E18" s="8">
        <v>8253483315</v>
      </c>
      <c r="F18" s="8">
        <v>9413598059</v>
      </c>
      <c r="G18" s="8">
        <v>12830314754</v>
      </c>
      <c r="H18" s="8">
        <v>59603658927</v>
      </c>
    </row>
    <row r="21" spans="1:8" x14ac:dyDescent="0.3">
      <c r="A21" s="6" t="s">
        <v>511</v>
      </c>
      <c r="B21" s="6" t="s">
        <v>510</v>
      </c>
    </row>
    <row r="22" spans="1:8" x14ac:dyDescent="0.3">
      <c r="A22" s="6" t="s">
        <v>497</v>
      </c>
      <c r="B22" t="s">
        <v>502</v>
      </c>
      <c r="C22" t="s">
        <v>503</v>
      </c>
      <c r="F22" s="6" t="s">
        <v>511</v>
      </c>
      <c r="G22" s="6" t="s">
        <v>510</v>
      </c>
    </row>
    <row r="23" spans="1:8" x14ac:dyDescent="0.3">
      <c r="A23" s="7" t="s">
        <v>31</v>
      </c>
      <c r="B23" s="8">
        <v>1164192942</v>
      </c>
      <c r="C23" s="8">
        <v>2237301844</v>
      </c>
      <c r="F23" s="6" t="s">
        <v>497</v>
      </c>
      <c r="G23" t="s">
        <v>503</v>
      </c>
    </row>
    <row r="24" spans="1:8" x14ac:dyDescent="0.3">
      <c r="A24" s="7" t="s">
        <v>42</v>
      </c>
      <c r="B24" s="8">
        <v>1709675121</v>
      </c>
      <c r="C24" s="8">
        <v>1836791050</v>
      </c>
      <c r="F24" s="7" t="s">
        <v>31</v>
      </c>
      <c r="G24" s="11">
        <v>0.17437622434808117</v>
      </c>
    </row>
    <row r="25" spans="1:8" x14ac:dyDescent="0.3">
      <c r="A25" s="7" t="s">
        <v>34</v>
      </c>
      <c r="B25" s="8">
        <v>1074937548</v>
      </c>
      <c r="C25" s="8">
        <v>1310467183</v>
      </c>
      <c r="F25" s="7" t="s">
        <v>42</v>
      </c>
      <c r="G25" s="11">
        <v>0.14316024861567475</v>
      </c>
    </row>
    <row r="26" spans="1:8" x14ac:dyDescent="0.3">
      <c r="A26" s="7" t="s">
        <v>46</v>
      </c>
      <c r="B26" s="8">
        <v>2720119015</v>
      </c>
      <c r="C26" s="8">
        <v>3596991220</v>
      </c>
      <c r="F26" s="7" t="s">
        <v>34</v>
      </c>
      <c r="G26" s="11">
        <v>0.10213835031533007</v>
      </c>
    </row>
    <row r="27" spans="1:8" x14ac:dyDescent="0.3">
      <c r="A27" s="7" t="s">
        <v>38</v>
      </c>
      <c r="B27" s="8">
        <v>1083409403</v>
      </c>
      <c r="C27" s="8">
        <v>1418808755</v>
      </c>
      <c r="F27" s="7" t="s">
        <v>46</v>
      </c>
      <c r="G27" s="11">
        <v>0.28035097259625652</v>
      </c>
    </row>
    <row r="28" spans="1:8" x14ac:dyDescent="0.3">
      <c r="A28" s="7" t="s">
        <v>50</v>
      </c>
      <c r="B28" s="8">
        <v>1661264030</v>
      </c>
      <c r="C28" s="8">
        <v>2429954702</v>
      </c>
      <c r="F28" s="7" t="s">
        <v>38</v>
      </c>
      <c r="G28" s="11">
        <v>0.11058253692160357</v>
      </c>
    </row>
    <row r="29" spans="1:8" x14ac:dyDescent="0.3">
      <c r="F29" s="7" t="s">
        <v>50</v>
      </c>
      <c r="G29" s="11">
        <v>0.18939166720305387</v>
      </c>
    </row>
    <row r="32" spans="1:8" x14ac:dyDescent="0.3">
      <c r="A32" s="6" t="s">
        <v>497</v>
      </c>
      <c r="B32" t="s">
        <v>505</v>
      </c>
    </row>
    <row r="33" spans="1:9" x14ac:dyDescent="0.3">
      <c r="A33" s="7" t="s">
        <v>498</v>
      </c>
      <c r="B33" s="8">
        <v>16633719095</v>
      </c>
      <c r="E33" s="6" t="s">
        <v>497</v>
      </c>
      <c r="F33" t="s">
        <v>513</v>
      </c>
      <c r="G33" t="s">
        <v>514</v>
      </c>
      <c r="H33" t="s">
        <v>515</v>
      </c>
    </row>
    <row r="34" spans="1:9" x14ac:dyDescent="0.3">
      <c r="A34" s="7" t="s">
        <v>499</v>
      </c>
      <c r="B34" s="8">
        <v>19833530605</v>
      </c>
      <c r="E34" s="7" t="s">
        <v>499</v>
      </c>
      <c r="F34" s="8">
        <v>7035177</v>
      </c>
      <c r="G34" s="8">
        <v>10730247461</v>
      </c>
      <c r="H34" s="8">
        <v>3188076342</v>
      </c>
    </row>
    <row r="35" spans="1:9" x14ac:dyDescent="0.3">
      <c r="A35" s="7" t="s">
        <v>500</v>
      </c>
      <c r="B35" s="8">
        <v>19926430615</v>
      </c>
      <c r="E35" s="7" t="s">
        <v>504</v>
      </c>
      <c r="F35" s="8">
        <v>7035177</v>
      </c>
      <c r="G35" s="8">
        <v>10730247461</v>
      </c>
      <c r="H35" s="8">
        <v>3188076342</v>
      </c>
    </row>
    <row r="36" spans="1:9" x14ac:dyDescent="0.3">
      <c r="A36" s="7" t="s">
        <v>501</v>
      </c>
      <c r="B36" s="8">
        <v>19436166890</v>
      </c>
    </row>
    <row r="37" spans="1:9" x14ac:dyDescent="0.3">
      <c r="A37" s="7" t="s">
        <v>502</v>
      </c>
      <c r="B37" s="8">
        <v>20828066840</v>
      </c>
    </row>
    <row r="38" spans="1:9" x14ac:dyDescent="0.3">
      <c r="A38" s="7" t="s">
        <v>503</v>
      </c>
      <c r="B38" s="8">
        <v>25807613162.333328</v>
      </c>
    </row>
    <row r="39" spans="1:9" x14ac:dyDescent="0.3">
      <c r="A39" s="7" t="s">
        <v>504</v>
      </c>
      <c r="B39" s="8">
        <v>122465527207.33333</v>
      </c>
    </row>
    <row r="41" spans="1:9" x14ac:dyDescent="0.3">
      <c r="E41" s="6" t="s">
        <v>497</v>
      </c>
      <c r="F41" t="s">
        <v>505</v>
      </c>
      <c r="G41" t="s">
        <v>511</v>
      </c>
      <c r="H41" t="s">
        <v>512</v>
      </c>
      <c r="I41" s="11" t="s">
        <v>516</v>
      </c>
    </row>
    <row r="42" spans="1:9" x14ac:dyDescent="0.3">
      <c r="E42" s="7" t="s">
        <v>2</v>
      </c>
      <c r="F42" s="8">
        <v>1546166685</v>
      </c>
      <c r="G42" s="8">
        <v>712218956</v>
      </c>
      <c r="H42" s="8">
        <v>264536346</v>
      </c>
      <c r="I42" s="11">
        <v>0.46063530077935938</v>
      </c>
    </row>
    <row r="43" spans="1:9" x14ac:dyDescent="0.3">
      <c r="E43" s="7" t="s">
        <v>4</v>
      </c>
      <c r="F43" s="8">
        <v>1897776965</v>
      </c>
      <c r="G43" s="8">
        <v>950312323</v>
      </c>
      <c r="H43" s="8">
        <v>376075007</v>
      </c>
      <c r="I43" s="11">
        <v>0.50075026756371233</v>
      </c>
    </row>
    <row r="44" spans="1:9" x14ac:dyDescent="0.3">
      <c r="E44" s="7" t="s">
        <v>5</v>
      </c>
      <c r="F44" s="8">
        <v>1731429770</v>
      </c>
      <c r="G44" s="8">
        <v>1007622745</v>
      </c>
      <c r="H44" s="8">
        <v>301624877</v>
      </c>
      <c r="I44" s="11">
        <v>0.58195992841222777</v>
      </c>
    </row>
    <row r="45" spans="1:9" x14ac:dyDescent="0.3">
      <c r="E45" s="7" t="s">
        <v>6</v>
      </c>
      <c r="F45" s="8">
        <v>2003302315</v>
      </c>
      <c r="G45" s="8">
        <v>1153225858</v>
      </c>
      <c r="H45" s="8">
        <v>461116599</v>
      </c>
      <c r="I45" s="11">
        <v>0.57566241967828002</v>
      </c>
    </row>
    <row r="46" spans="1:9" x14ac:dyDescent="0.3">
      <c r="E46" s="7" t="s">
        <v>8</v>
      </c>
      <c r="F46" s="8">
        <v>1240876980</v>
      </c>
      <c r="G46" s="8">
        <v>594606235</v>
      </c>
      <c r="H46" s="8">
        <v>160966240</v>
      </c>
      <c r="I46" s="11">
        <v>0.47918225946942783</v>
      </c>
    </row>
    <row r="47" spans="1:9" x14ac:dyDescent="0.3">
      <c r="E47" s="7" t="s">
        <v>9</v>
      </c>
      <c r="F47" s="8">
        <v>1523584545</v>
      </c>
      <c r="G47" s="8">
        <v>1014376951</v>
      </c>
      <c r="H47" s="8">
        <v>194268714</v>
      </c>
      <c r="I47" s="11">
        <v>0.66578317188167591</v>
      </c>
    </row>
    <row r="48" spans="1:9" x14ac:dyDescent="0.3">
      <c r="E48" s="7" t="s">
        <v>10</v>
      </c>
      <c r="F48" s="8">
        <v>2181772880</v>
      </c>
      <c r="G48" s="8">
        <v>822053137</v>
      </c>
      <c r="H48" s="8">
        <v>193467977</v>
      </c>
      <c r="I48" s="11">
        <v>0.37678217771228323</v>
      </c>
    </row>
    <row r="49" spans="1:9" x14ac:dyDescent="0.3">
      <c r="E49" s="7" t="s">
        <v>12</v>
      </c>
      <c r="F49" s="8">
        <v>1599239705</v>
      </c>
      <c r="G49" s="8">
        <v>884342147</v>
      </c>
      <c r="H49" s="8">
        <v>198888205</v>
      </c>
      <c r="I49" s="11">
        <v>0.55297660771872847</v>
      </c>
    </row>
    <row r="50" spans="1:9" x14ac:dyDescent="0.3">
      <c r="E50" s="7" t="s">
        <v>13</v>
      </c>
      <c r="F50" s="8">
        <v>1541361955</v>
      </c>
      <c r="G50" s="8">
        <v>1080465796</v>
      </c>
      <c r="H50" s="8">
        <v>293544583</v>
      </c>
      <c r="I50" s="11">
        <v>0.70098122799456275</v>
      </c>
    </row>
    <row r="51" spans="1:9" x14ac:dyDescent="0.3">
      <c r="E51" s="7" t="s">
        <v>14</v>
      </c>
      <c r="F51" s="8">
        <v>1600519690</v>
      </c>
      <c r="G51" s="8">
        <v>972794150</v>
      </c>
      <c r="H51" s="8">
        <v>235238054</v>
      </c>
      <c r="I51" s="11">
        <v>0.60779892685981263</v>
      </c>
    </row>
    <row r="52" spans="1:9" x14ac:dyDescent="0.3">
      <c r="E52" s="7" t="s">
        <v>16</v>
      </c>
      <c r="F52" s="8">
        <v>1775393025</v>
      </c>
      <c r="G52" s="8">
        <v>721297762</v>
      </c>
      <c r="H52" s="8">
        <v>339357582</v>
      </c>
      <c r="I52" s="11">
        <v>0.40627497790242811</v>
      </c>
    </row>
    <row r="53" spans="1:9" x14ac:dyDescent="0.3">
      <c r="E53" s="7" t="s">
        <v>17</v>
      </c>
      <c r="F53" s="8">
        <v>1192106090</v>
      </c>
      <c r="G53" s="8">
        <v>816931401</v>
      </c>
      <c r="H53" s="8">
        <v>168992158</v>
      </c>
      <c r="I53" s="11">
        <v>0.68528414362852552</v>
      </c>
    </row>
    <row r="54" spans="1:9" x14ac:dyDescent="0.3">
      <c r="E54" s="7" t="s">
        <v>504</v>
      </c>
      <c r="F54" s="8">
        <v>19833530605</v>
      </c>
      <c r="G54" s="8">
        <v>10730247461</v>
      </c>
      <c r="H54" s="8">
        <v>3188076342</v>
      </c>
      <c r="I54" s="11">
        <v>0.54101549919180414</v>
      </c>
    </row>
    <row r="61" spans="1:9" x14ac:dyDescent="0.3">
      <c r="A61" s="6" t="s">
        <v>497</v>
      </c>
      <c r="B61" t="s">
        <v>511</v>
      </c>
      <c r="C61" t="s">
        <v>517</v>
      </c>
    </row>
    <row r="62" spans="1:9" x14ac:dyDescent="0.3">
      <c r="A62" s="7" t="s">
        <v>31</v>
      </c>
      <c r="B62" s="8">
        <v>1447384579</v>
      </c>
      <c r="C62" s="11">
        <v>0.13488827580730481</v>
      </c>
    </row>
    <row r="63" spans="1:9" x14ac:dyDescent="0.3">
      <c r="A63" s="7" t="s">
        <v>42</v>
      </c>
      <c r="B63" s="8">
        <v>2096562705</v>
      </c>
      <c r="C63" s="11">
        <v>0.19538810382706792</v>
      </c>
    </row>
    <row r="64" spans="1:9" x14ac:dyDescent="0.3">
      <c r="A64" s="7" t="s">
        <v>34</v>
      </c>
      <c r="B64" s="8">
        <v>991402464</v>
      </c>
      <c r="C64" s="11">
        <v>9.2393252588380353E-2</v>
      </c>
    </row>
    <row r="65" spans="1:6" x14ac:dyDescent="0.3">
      <c r="A65" s="7" t="s">
        <v>46</v>
      </c>
      <c r="B65" s="8">
        <v>3388792993</v>
      </c>
      <c r="C65" s="11">
        <v>0.31581685374143115</v>
      </c>
    </row>
    <row r="66" spans="1:6" x14ac:dyDescent="0.3">
      <c r="A66" s="7" t="s">
        <v>38</v>
      </c>
      <c r="B66" s="8">
        <v>1513796664</v>
      </c>
      <c r="C66" s="11">
        <v>0.14107751657191719</v>
      </c>
    </row>
    <row r="67" spans="1:6" x14ac:dyDescent="0.3">
      <c r="A67" s="7" t="s">
        <v>50</v>
      </c>
      <c r="B67" s="8">
        <v>1292308056</v>
      </c>
      <c r="C67" s="11">
        <v>0.12043599746389856</v>
      </c>
      <c r="E67" s="6" t="s">
        <v>511</v>
      </c>
      <c r="F67" s="6" t="s">
        <v>510</v>
      </c>
    </row>
    <row r="68" spans="1:6" x14ac:dyDescent="0.3">
      <c r="A68" s="7" t="s">
        <v>504</v>
      </c>
      <c r="B68" s="8">
        <v>10730247461</v>
      </c>
      <c r="C68" s="11">
        <v>1</v>
      </c>
      <c r="E68" s="6" t="s">
        <v>497</v>
      </c>
      <c r="F68" t="s">
        <v>3</v>
      </c>
    </row>
    <row r="69" spans="1:6" x14ac:dyDescent="0.3">
      <c r="E69" s="7" t="s">
        <v>498</v>
      </c>
      <c r="F69" s="8">
        <v>2349840524</v>
      </c>
    </row>
    <row r="70" spans="1:6" x14ac:dyDescent="0.3">
      <c r="E70" s="7" t="s">
        <v>499</v>
      </c>
      <c r="F70" s="8">
        <v>2670154024</v>
      </c>
    </row>
    <row r="71" spans="1:6" x14ac:dyDescent="0.3">
      <c r="E71" s="7" t="s">
        <v>500</v>
      </c>
      <c r="F71" s="8">
        <v>2377488560</v>
      </c>
    </row>
    <row r="72" spans="1:6" x14ac:dyDescent="0.3">
      <c r="E72" s="7" t="s">
        <v>501</v>
      </c>
      <c r="F72" s="8">
        <v>1981438282</v>
      </c>
    </row>
    <row r="73" spans="1:6" x14ac:dyDescent="0.3">
      <c r="E73" s="7" t="s">
        <v>502</v>
      </c>
      <c r="F73" s="8">
        <v>2416688809</v>
      </c>
    </row>
    <row r="74" spans="1:6" x14ac:dyDescent="0.3">
      <c r="E74" s="7" t="s">
        <v>503</v>
      </c>
      <c r="F74" s="8">
        <v>2394515552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target</vt:lpstr>
      <vt:lpstr>data</vt:lpstr>
      <vt:lpstr>pivot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Armin Kaviani</dc:creator>
  <cp:lastModifiedBy>Armin Kaviani</cp:lastModifiedBy>
  <dcterms:created xsi:type="dcterms:W3CDTF">2015-06-05T18:17:20Z</dcterms:created>
  <dcterms:modified xsi:type="dcterms:W3CDTF">2026-06-04T19:12:44Z</dcterms:modified>
</cp:coreProperties>
</file>